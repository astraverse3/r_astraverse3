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bcue\OneDrive\문서\Project\MillingLog\milling-log\docs\resources\"/>
    </mc:Choice>
  </mc:AlternateContent>
  <xr:revisionPtr revIDLastSave="0" documentId="13_ncr:1_{26D326CD-0F59-4B54-AFF8-6790AA818665}" xr6:coauthVersionLast="47" xr6:coauthVersionMax="47" xr10:uidLastSave="{00000000-0000-0000-0000-000000000000}"/>
  <bookViews>
    <workbookView xWindow="2370" yWindow="810" windowWidth="21870" windowHeight="13875" xr2:uid="{00000000-000D-0000-FFFF-FFFF00000000}"/>
  </bookViews>
  <sheets>
    <sheet name="이마트_260819" sheetId="15" r:id="rId1"/>
    <sheet name="택배_260818" sheetId="13" r:id="rId2"/>
    <sheet name="서울급식_060818" sheetId="12" r:id="rId3"/>
    <sheet name="해남급식_260821" sheetId="11" r:id="rId4"/>
    <sheet name="시아스_260811" sheetId="14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5" l="1"/>
  <c r="E4" i="15"/>
  <c r="F4" i="15"/>
  <c r="G4" i="15"/>
  <c r="H4" i="15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D4" i="13"/>
  <c r="E4" i="13"/>
  <c r="F4" i="13"/>
  <c r="G4" i="13"/>
  <c r="H4" i="13"/>
  <c r="I4" i="13"/>
  <c r="J4" i="13"/>
  <c r="C6" i="12" l="1"/>
  <c r="G14" i="15"/>
  <c r="F14" i="15"/>
  <c r="E14" i="15"/>
  <c r="C14" i="15"/>
  <c r="F13" i="15"/>
  <c r="E13" i="15"/>
  <c r="G12" i="15"/>
  <c r="F12" i="15"/>
  <c r="E12" i="15"/>
  <c r="C4" i="15"/>
  <c r="E4" i="14"/>
  <c r="D4" i="14"/>
  <c r="C4" i="14"/>
  <c r="B4" i="14"/>
  <c r="I13" i="15" l="1"/>
  <c r="I14" i="15"/>
  <c r="I12" i="15"/>
  <c r="C4" i="13"/>
  <c r="AD7" i="12" l="1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C4" i="12" s="1"/>
  <c r="AD6" i="12"/>
  <c r="AD4" i="12" s="1"/>
  <c r="AC6" i="12"/>
  <c r="AC4" i="12" s="1"/>
  <c r="AB6" i="12"/>
  <c r="AB4" i="12" s="1"/>
  <c r="AA6" i="12"/>
  <c r="Z6" i="12"/>
  <c r="Z4" i="12" s="1"/>
  <c r="Y6" i="12"/>
  <c r="Y4" i="12" s="1"/>
  <c r="X6" i="12"/>
  <c r="X4" i="12" s="1"/>
  <c r="W6" i="12"/>
  <c r="W4" i="12" s="1"/>
  <c r="V6" i="12"/>
  <c r="V4" i="12" s="1"/>
  <c r="U6" i="12"/>
  <c r="U4" i="12" s="1"/>
  <c r="T6" i="12"/>
  <c r="T4" i="12" s="1"/>
  <c r="S6" i="12"/>
  <c r="R6" i="12"/>
  <c r="R4" i="12" s="1"/>
  <c r="Q6" i="12"/>
  <c r="Q4" i="12" s="1"/>
  <c r="P6" i="12"/>
  <c r="P4" i="12" s="1"/>
  <c r="O6" i="12"/>
  <c r="O4" i="12" s="1"/>
  <c r="N6" i="12"/>
  <c r="N4" i="12" s="1"/>
  <c r="M6" i="12"/>
  <c r="M4" i="12" s="1"/>
  <c r="L6" i="12"/>
  <c r="L4" i="12" s="1"/>
  <c r="K6" i="12"/>
  <c r="J6" i="12"/>
  <c r="J4" i="12" s="1"/>
  <c r="I6" i="12"/>
  <c r="I4" i="12" s="1"/>
  <c r="H6" i="12"/>
  <c r="H4" i="12" s="1"/>
  <c r="G6" i="12"/>
  <c r="G4" i="12" s="1"/>
  <c r="F6" i="12"/>
  <c r="F4" i="12" s="1"/>
  <c r="E6" i="12"/>
  <c r="E4" i="12" s="1"/>
  <c r="D6" i="12"/>
  <c r="D4" i="12" s="1"/>
  <c r="K4" i="12" l="1"/>
  <c r="S4" i="12"/>
  <c r="AA4" i="12"/>
  <c r="F4" i="11"/>
  <c r="I4" i="11"/>
  <c r="N4" i="11"/>
  <c r="F9" i="11"/>
  <c r="E9" i="11"/>
  <c r="D9" i="11"/>
  <c r="C9" i="11"/>
  <c r="F8" i="11"/>
  <c r="E8" i="11"/>
  <c r="D8" i="11"/>
  <c r="C8" i="11"/>
  <c r="R7" i="11"/>
  <c r="R4" i="11" s="1"/>
  <c r="Q7" i="11"/>
  <c r="Q4" i="11" s="1"/>
  <c r="P7" i="11"/>
  <c r="P4" i="11" s="1"/>
  <c r="O7" i="11"/>
  <c r="O4" i="11" s="1"/>
  <c r="N7" i="11"/>
  <c r="M7" i="11"/>
  <c r="M4" i="11" s="1"/>
  <c r="L7" i="11"/>
  <c r="L4" i="11" s="1"/>
  <c r="K7" i="11"/>
  <c r="K4" i="11" s="1"/>
  <c r="J7" i="11"/>
  <c r="J4" i="11" s="1"/>
  <c r="I7" i="11"/>
  <c r="H7" i="11"/>
  <c r="H4" i="11" s="1"/>
  <c r="G7" i="11"/>
  <c r="G4" i="11" s="1"/>
  <c r="F7" i="11"/>
  <c r="E7" i="11"/>
  <c r="D7" i="11"/>
  <c r="C7" i="11"/>
  <c r="F6" i="11"/>
  <c r="E6" i="11"/>
  <c r="E4" i="11" s="1"/>
  <c r="D6" i="11"/>
  <c r="D4" i="11" s="1"/>
  <c r="C6" i="11"/>
  <c r="C4" i="11" s="1"/>
</calcChain>
</file>

<file path=xl/sharedStrings.xml><?xml version="1.0" encoding="utf-8"?>
<sst xmlns="http://schemas.openxmlformats.org/spreadsheetml/2006/main" count="314" uniqueCount="185">
  <si>
    <t>자연주의</t>
  </si>
  <si>
    <t>PET</t>
  </si>
  <si>
    <t>중량</t>
  </si>
  <si>
    <t>4kg</t>
  </si>
  <si>
    <t>1kg</t>
  </si>
  <si>
    <t>420g</t>
  </si>
  <si>
    <t>26/08/21 (금)
해남군공공급식</t>
    <phoneticPr fontId="5" type="noConversion"/>
  </si>
  <si>
    <t>유기농
백미
천지향5세</t>
    <phoneticPr fontId="6" type="noConversion"/>
  </si>
  <si>
    <t>유기농
찹쌀</t>
    <phoneticPr fontId="6" type="noConversion"/>
  </si>
  <si>
    <t>유기농
찹쌀현미</t>
    <phoneticPr fontId="6" type="noConversion"/>
  </si>
  <si>
    <t>유기농
현미</t>
    <phoneticPr fontId="6" type="noConversion"/>
  </si>
  <si>
    <t>포장지</t>
    <phoneticPr fontId="6" type="noConversion"/>
  </si>
  <si>
    <t>10kg</t>
    <phoneticPr fontId="6" type="noConversion"/>
  </si>
  <si>
    <t>1kg</t>
    <phoneticPr fontId="6" type="noConversion"/>
  </si>
  <si>
    <t>(발주처)</t>
    <phoneticPr fontId="6" type="noConversion"/>
  </si>
  <si>
    <t>(수령인)</t>
    <phoneticPr fontId="6" type="noConversion"/>
  </si>
  <si>
    <t>해남급식</t>
    <phoneticPr fontId="6" type="noConversion"/>
  </si>
  <si>
    <t>싱싱유통</t>
    <phoneticPr fontId="6" type="noConversion"/>
  </si>
  <si>
    <t>급식센터</t>
    <phoneticPr fontId="6" type="noConversion"/>
  </si>
  <si>
    <t>땅끝농협</t>
    <phoneticPr fontId="6" type="noConversion"/>
  </si>
  <si>
    <t>참솔</t>
    <phoneticPr fontId="6" type="noConversion"/>
  </si>
  <si>
    <t>유기농
귀리</t>
    <phoneticPr fontId="6" type="noConversion"/>
  </si>
  <si>
    <t>유기농
보리</t>
    <phoneticPr fontId="6" type="noConversion"/>
  </si>
  <si>
    <t>유기농
기장</t>
    <phoneticPr fontId="6" type="noConversion"/>
  </si>
  <si>
    <t>유기농
흑미</t>
    <phoneticPr fontId="6" type="noConversion"/>
  </si>
  <si>
    <t>유기농
차조</t>
    <phoneticPr fontId="6" type="noConversion"/>
  </si>
  <si>
    <t>유기농
발아현미</t>
    <phoneticPr fontId="6" type="noConversion"/>
  </si>
  <si>
    <t>유기농
수수</t>
    <phoneticPr fontId="6" type="noConversion"/>
  </si>
  <si>
    <t>유기농
쥐눈이콩</t>
    <phoneticPr fontId="6" type="noConversion"/>
  </si>
  <si>
    <t>유기농
팥</t>
    <phoneticPr fontId="6" type="noConversion"/>
  </si>
  <si>
    <t>유기농
서리태</t>
    <phoneticPr fontId="6" type="noConversion"/>
  </si>
  <si>
    <t>소계</t>
    <phoneticPr fontId="2" type="noConversion"/>
  </si>
  <si>
    <t>26/08/18 (화)
서울급식</t>
    <phoneticPr fontId="5" type="noConversion"/>
  </si>
  <si>
    <t>유기농
새청무</t>
    <phoneticPr fontId="15" type="noConversion"/>
  </si>
  <si>
    <t>유기농
현미</t>
    <phoneticPr fontId="15" type="noConversion"/>
  </si>
  <si>
    <t>유기농
찹쌀</t>
    <phoneticPr fontId="16" type="noConversion"/>
  </si>
  <si>
    <t>유기농
찹쌀현미</t>
    <phoneticPr fontId="15" type="noConversion"/>
  </si>
  <si>
    <t>유기농
귀리</t>
    <phoneticPr fontId="15" type="noConversion"/>
  </si>
  <si>
    <t>유기농
보리</t>
    <phoneticPr fontId="15" type="noConversion"/>
  </si>
  <si>
    <t>유기농
기장</t>
    <phoneticPr fontId="15" type="noConversion"/>
  </si>
  <si>
    <t>유기농
흑미</t>
    <phoneticPr fontId="15" type="noConversion"/>
  </si>
  <si>
    <t>유기농
차조</t>
    <phoneticPr fontId="15" type="noConversion"/>
  </si>
  <si>
    <t>유기농
발아현미</t>
    <phoneticPr fontId="2" type="noConversion"/>
  </si>
  <si>
    <t>유기농
수수</t>
    <phoneticPr fontId="15" type="noConversion"/>
  </si>
  <si>
    <t>유기농
쥐눈이콩</t>
    <phoneticPr fontId="2" type="noConversion"/>
  </si>
  <si>
    <t>유기농
팥</t>
    <phoneticPr fontId="15" type="noConversion"/>
  </si>
  <si>
    <t>칼슘기장
(일반)</t>
    <phoneticPr fontId="2" type="noConversion"/>
  </si>
  <si>
    <t>혼합곡
(친환경)</t>
    <phoneticPr fontId="2" type="noConversion"/>
  </si>
  <si>
    <t>율무
(친환경)</t>
    <phoneticPr fontId="15" type="noConversion"/>
  </si>
  <si>
    <t>녹두
(친환경)</t>
    <phoneticPr fontId="2" type="noConversion"/>
  </si>
  <si>
    <t>포장지</t>
    <phoneticPr fontId="15" type="noConversion"/>
  </si>
  <si>
    <t>(발주처)</t>
    <phoneticPr fontId="15" type="noConversion"/>
  </si>
  <si>
    <t>(수령인)</t>
    <phoneticPr fontId="15" type="noConversion"/>
  </si>
  <si>
    <t>은평구</t>
    <phoneticPr fontId="16" type="noConversion"/>
  </si>
  <si>
    <t>행복플러스</t>
    <phoneticPr fontId="16" type="noConversion"/>
  </si>
  <si>
    <t>서대문구</t>
    <phoneticPr fontId="16" type="noConversion"/>
  </si>
  <si>
    <t>여유</t>
    <phoneticPr fontId="16" type="noConversion"/>
  </si>
  <si>
    <t>26/08/18
(화)</t>
    <phoneticPr fontId="5" type="noConversion"/>
  </si>
  <si>
    <t>유기농
찹쌀</t>
    <phoneticPr fontId="15" type="noConversion"/>
  </si>
  <si>
    <t>유기농
천지향</t>
    <phoneticPr fontId="15" type="noConversion"/>
  </si>
  <si>
    <t>유기농
하이아미</t>
    <phoneticPr fontId="15" type="noConversion"/>
  </si>
  <si>
    <t>유기농
가바백미</t>
    <phoneticPr fontId="15" type="noConversion"/>
  </si>
  <si>
    <t>유기농
가바흑미</t>
    <phoneticPr fontId="15" type="noConversion"/>
  </si>
  <si>
    <t>유기농
가바
발아현미</t>
    <phoneticPr fontId="15" type="noConversion"/>
  </si>
  <si>
    <t>유기농
가바현미</t>
    <phoneticPr fontId="15" type="noConversion"/>
  </si>
  <si>
    <t>유기농
찰보리</t>
    <phoneticPr fontId="15" type="noConversion"/>
  </si>
  <si>
    <t>유기농
검정보리</t>
    <phoneticPr fontId="15" type="noConversion"/>
  </si>
  <si>
    <t>유기농
프로틴
라이스
 IPS</t>
    <phoneticPr fontId="15" type="noConversion"/>
  </si>
  <si>
    <t>유기농
IPS</t>
    <phoneticPr fontId="15" type="noConversion"/>
  </si>
  <si>
    <t>누룽지</t>
    <phoneticPr fontId="15" type="noConversion"/>
  </si>
  <si>
    <t>자연
주의</t>
    <phoneticPr fontId="15" type="noConversion"/>
  </si>
  <si>
    <t>아이담쌀</t>
    <phoneticPr fontId="15" type="noConversion"/>
  </si>
  <si>
    <t>중량</t>
    <phoneticPr fontId="15" type="noConversion"/>
  </si>
  <si>
    <t>5kg</t>
    <phoneticPr fontId="15" type="noConversion"/>
  </si>
  <si>
    <t>1kg</t>
    <phoneticPr fontId="15" type="noConversion"/>
  </si>
  <si>
    <t>4kg</t>
    <phoneticPr fontId="15" type="noConversion"/>
  </si>
  <si>
    <t>10kg</t>
    <phoneticPr fontId="15" type="noConversion"/>
  </si>
  <si>
    <t>3kg</t>
    <phoneticPr fontId="15" type="noConversion"/>
  </si>
  <si>
    <t>800g</t>
    <phoneticPr fontId="15" type="noConversion"/>
  </si>
  <si>
    <t>907g</t>
    <phoneticPr fontId="15" type="noConversion"/>
  </si>
  <si>
    <t>이마트연수점</t>
    <phoneticPr fontId="15" type="noConversion"/>
  </si>
  <si>
    <t>이마트풍산점</t>
    <phoneticPr fontId="15" type="noConversion"/>
  </si>
  <si>
    <t>이마트명일점</t>
    <phoneticPr fontId="15" type="noConversion"/>
  </si>
  <si>
    <t>이마트신월점</t>
    <phoneticPr fontId="15" type="noConversion"/>
  </si>
  <si>
    <t>이마트일산점</t>
    <phoneticPr fontId="15" type="noConversion"/>
  </si>
  <si>
    <t>이마트수성점</t>
    <phoneticPr fontId="15" type="noConversion"/>
  </si>
  <si>
    <t>이마트동인천점</t>
    <phoneticPr fontId="15" type="noConversion"/>
  </si>
  <si>
    <t>이마트광산점</t>
    <phoneticPr fontId="15" type="noConversion"/>
  </si>
  <si>
    <t>이마트본사 김보훈</t>
    <phoneticPr fontId="15" type="noConversion"/>
  </si>
  <si>
    <t>이선우</t>
    <phoneticPr fontId="15" type="noConversion"/>
  </si>
  <si>
    <t>LIUYUSHAN</t>
    <phoneticPr fontId="15" type="noConversion"/>
  </si>
  <si>
    <t>나혜경</t>
    <phoneticPr fontId="15" type="noConversion"/>
  </si>
  <si>
    <t>성수옥</t>
    <phoneticPr fontId="15" type="noConversion"/>
  </si>
  <si>
    <t>김지희</t>
    <phoneticPr fontId="15" type="noConversion"/>
  </si>
  <si>
    <t>울림생협 성산점</t>
    <phoneticPr fontId="15" type="noConversion"/>
  </si>
  <si>
    <t>울림생협 북가좌점</t>
    <phoneticPr fontId="15" type="noConversion"/>
  </si>
  <si>
    <t>꼬마박사어린이집</t>
    <phoneticPr fontId="15" type="noConversion"/>
  </si>
  <si>
    <t>별빛어린이집</t>
    <phoneticPr fontId="15" type="noConversion"/>
  </si>
  <si>
    <t>신촌어린이집</t>
    <phoneticPr fontId="15" type="noConversion"/>
  </si>
  <si>
    <t>서대문마을생협</t>
    <phoneticPr fontId="15" type="noConversion"/>
  </si>
  <si>
    <t>서보람</t>
    <phoneticPr fontId="15" type="noConversion"/>
  </si>
  <si>
    <t>임수진</t>
    <phoneticPr fontId="15" type="noConversion"/>
  </si>
  <si>
    <t>김선희</t>
    <phoneticPr fontId="15" type="noConversion"/>
  </si>
  <si>
    <t>신득희</t>
    <phoneticPr fontId="15" type="noConversion"/>
  </si>
  <si>
    <t>정승준</t>
    <phoneticPr fontId="15" type="noConversion"/>
  </si>
  <si>
    <t>박혜원</t>
    <phoneticPr fontId="15" type="noConversion"/>
  </si>
  <si>
    <t>한경철</t>
    <phoneticPr fontId="15" type="noConversion"/>
  </si>
  <si>
    <t>정우식</t>
    <phoneticPr fontId="15" type="noConversion"/>
  </si>
  <si>
    <t>김성욱</t>
    <phoneticPr fontId="15" type="noConversion"/>
  </si>
  <si>
    <t>최지애</t>
    <phoneticPr fontId="15" type="noConversion"/>
  </si>
  <si>
    <t>유종훈</t>
    <phoneticPr fontId="15" type="noConversion"/>
  </si>
  <si>
    <t>윤서우</t>
    <phoneticPr fontId="15" type="noConversion"/>
  </si>
  <si>
    <t>진 이</t>
    <phoneticPr fontId="15" type="noConversion"/>
  </si>
  <si>
    <t>임효진</t>
    <phoneticPr fontId="15" type="noConversion"/>
  </si>
  <si>
    <t>윤세라</t>
    <phoneticPr fontId="15" type="noConversion"/>
  </si>
  <si>
    <t>백민수</t>
    <phoneticPr fontId="15" type="noConversion"/>
  </si>
  <si>
    <t>박경옥</t>
    <phoneticPr fontId="15" type="noConversion"/>
  </si>
  <si>
    <t>조오제</t>
    <phoneticPr fontId="15" type="noConversion"/>
  </si>
  <si>
    <t>박정연</t>
    <phoneticPr fontId="15" type="noConversion"/>
  </si>
  <si>
    <t>박종진</t>
    <phoneticPr fontId="15" type="noConversion"/>
  </si>
  <si>
    <t>김은경</t>
    <phoneticPr fontId="15" type="noConversion"/>
  </si>
  <si>
    <t>고용식</t>
    <phoneticPr fontId="15" type="noConversion"/>
  </si>
  <si>
    <t>엄민호</t>
    <phoneticPr fontId="15" type="noConversion"/>
  </si>
  <si>
    <t>이성진</t>
    <phoneticPr fontId="15" type="noConversion"/>
  </si>
  <si>
    <t>김도윤</t>
    <phoneticPr fontId="15" type="noConversion"/>
  </si>
  <si>
    <t>정은주</t>
    <phoneticPr fontId="15" type="noConversion"/>
  </si>
  <si>
    <t>김효진</t>
    <phoneticPr fontId="15" type="noConversion"/>
  </si>
  <si>
    <t>이채원</t>
    <phoneticPr fontId="15" type="noConversion"/>
  </si>
  <si>
    <t>이학주</t>
    <phoneticPr fontId="15" type="noConversion"/>
  </si>
  <si>
    <t>임지현</t>
    <phoneticPr fontId="15" type="noConversion"/>
  </si>
  <si>
    <t>최선민</t>
    <phoneticPr fontId="15" type="noConversion"/>
  </si>
  <si>
    <t>한경주</t>
    <phoneticPr fontId="15" type="noConversion"/>
  </si>
  <si>
    <t>김지은</t>
    <phoneticPr fontId="15" type="noConversion"/>
  </si>
  <si>
    <t>엄마맘어린이집</t>
    <phoneticPr fontId="15" type="noConversion"/>
  </si>
  <si>
    <t xml:space="preserve">롯데마트 서초점 </t>
    <phoneticPr fontId="15" type="noConversion"/>
  </si>
  <si>
    <t>롯데백화점 평촌점</t>
    <phoneticPr fontId="15" type="noConversion"/>
  </si>
  <si>
    <t>이효정</t>
    <phoneticPr fontId="15" type="noConversion"/>
  </si>
  <si>
    <t>황도임</t>
    <phoneticPr fontId="15" type="noConversion"/>
  </si>
  <si>
    <t>이유나</t>
    <phoneticPr fontId="15" type="noConversion"/>
  </si>
  <si>
    <t>동동이</t>
    <phoneticPr fontId="15" type="noConversion"/>
  </si>
  <si>
    <t>예은농산</t>
    <phoneticPr fontId="15" type="noConversion"/>
  </si>
  <si>
    <t>정덕순</t>
    <phoneticPr fontId="15" type="noConversion"/>
  </si>
  <si>
    <t>울림생협 용강점</t>
    <phoneticPr fontId="15" type="noConversion"/>
  </si>
  <si>
    <t>곽지혜</t>
    <phoneticPr fontId="15" type="noConversion"/>
  </si>
  <si>
    <t>해남로컬푸드</t>
    <phoneticPr fontId="15" type="noConversion"/>
  </si>
  <si>
    <t>포장지</t>
    <phoneticPr fontId="2" type="noConversion"/>
  </si>
  <si>
    <t>8/11(화)
오후상차</t>
    <phoneticPr fontId="15" type="noConversion"/>
  </si>
  <si>
    <t>1,000kg</t>
    <phoneticPr fontId="15" type="noConversion"/>
  </si>
  <si>
    <t>200kg</t>
    <phoneticPr fontId="15" type="noConversion"/>
  </si>
  <si>
    <t>톤백</t>
    <phoneticPr fontId="2" type="noConversion"/>
  </si>
  <si>
    <t>중량</t>
    <phoneticPr fontId="2" type="noConversion"/>
  </si>
  <si>
    <t>시아스</t>
    <phoneticPr fontId="15" type="noConversion"/>
  </si>
  <si>
    <t>26/08/19(수)
옥천농협 배송</t>
    <phoneticPr fontId="5" type="noConversion"/>
  </si>
  <si>
    <t>1 kg</t>
  </si>
  <si>
    <t>현미1kg</t>
  </si>
  <si>
    <t>가바4kg</t>
  </si>
  <si>
    <t>가바1kg</t>
  </si>
  <si>
    <t>천지향4kg</t>
  </si>
  <si>
    <t>귀리420g</t>
  </si>
  <si>
    <t>5분도미4kg</t>
    <phoneticPr fontId="15" type="noConversion"/>
  </si>
  <si>
    <t xml:space="preserve"> </t>
    <phoneticPr fontId="15" type="noConversion"/>
  </si>
  <si>
    <t>1파렛</t>
    <phoneticPr fontId="15" type="noConversion"/>
  </si>
  <si>
    <t>PET</t>
    <phoneticPr fontId="2" type="noConversion"/>
  </si>
  <si>
    <t>유기농
가바현미</t>
    <phoneticPr fontId="2" type="noConversion"/>
  </si>
  <si>
    <t>유기농
가바백미</t>
    <phoneticPr fontId="2" type="noConversion"/>
  </si>
  <si>
    <t>유기농
천지향</t>
    <phoneticPr fontId="2" type="noConversion"/>
  </si>
  <si>
    <t>유기농
귀리쌀</t>
    <phoneticPr fontId="2" type="noConversion"/>
  </si>
  <si>
    <t>유기농
천지향5세
오분도미</t>
    <phoneticPr fontId="15" type="noConversion"/>
  </si>
  <si>
    <t>(발주처)</t>
    <phoneticPr fontId="5" type="noConversion"/>
  </si>
  <si>
    <t>(수령인)</t>
    <phoneticPr fontId="5" type="noConversion"/>
  </si>
  <si>
    <t>(발주처)</t>
    <phoneticPr fontId="2" type="noConversion"/>
  </si>
  <si>
    <t>(수령인)</t>
    <phoneticPr fontId="2" type="noConversion"/>
  </si>
  <si>
    <t>이마트</t>
    <phoneticPr fontId="2" type="noConversion"/>
  </si>
  <si>
    <t>여주지점</t>
    <phoneticPr fontId="2" type="noConversion"/>
  </si>
  <si>
    <t>대구지점</t>
    <phoneticPr fontId="2" type="noConversion"/>
  </si>
  <si>
    <t>시화지점</t>
    <phoneticPr fontId="2" type="noConversion"/>
  </si>
  <si>
    <t>땅끝황토친환경</t>
    <phoneticPr fontId="15" type="noConversion"/>
  </si>
  <si>
    <t>쿠팡wing</t>
    <phoneticPr fontId="15" type="noConversion"/>
  </si>
  <si>
    <t>우리아이행복밥상</t>
    <phoneticPr fontId="15" type="noConversion"/>
  </si>
  <si>
    <t>일반판매</t>
    <phoneticPr fontId="15" type="noConversion"/>
  </si>
  <si>
    <t>해남미소</t>
    <phoneticPr fontId="15" type="noConversion"/>
  </si>
  <si>
    <t>네이버스토어</t>
    <phoneticPr fontId="15" type="noConversion"/>
  </si>
  <si>
    <t>여주(이마트)</t>
    <phoneticPr fontId="2" type="noConversion"/>
  </si>
  <si>
    <t>대구(이마트)</t>
    <phoneticPr fontId="2" type="noConversion"/>
  </si>
  <si>
    <t>시화(이마트)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</si>
</sst>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\ &quot;kg&quot;"/>
    <numFmt numFmtId="178" formatCode="0\ &quot;g&quot;"/>
    <numFmt numFmtId="179" formatCode="0_);[Red]\(0\)"/>
    <numFmt numFmtId="180" formatCode="#,##0&quot;박스&quot;"/>
  </numFmts>
  <fonts count="28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28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바탕체"/>
      <family val="1"/>
      <charset val="129"/>
    </font>
    <font>
      <b/>
      <sz val="12"/>
      <color rgb="FFFF0000"/>
      <name val="맑은 고딕"/>
      <family val="3"/>
      <charset val="129"/>
      <scheme val="minor"/>
    </font>
    <font>
      <b/>
      <sz val="40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b/>
      <sz val="50"/>
      <color rgb="FF000000"/>
      <name val="맑은 고딕"/>
      <family val="3"/>
      <charset val="129"/>
    </font>
    <font>
      <sz val="48"/>
      <color rgb="FF000000"/>
      <name val="맑은 고딕"/>
      <family val="3"/>
      <charset val="129"/>
    </font>
    <font>
      <b/>
      <sz val="30"/>
      <color theme="1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26"/>
      <color rgb="FF000000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63377788628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B050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B050"/>
      </top>
      <bottom/>
      <diagonal/>
    </border>
    <border>
      <left style="thin">
        <color indexed="64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 style="thick">
        <color rgb="FF00B050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rgb="FF00B050"/>
      </bottom>
      <diagonal/>
    </border>
    <border>
      <left style="thick">
        <color rgb="FF7030A0"/>
      </left>
      <right style="thin">
        <color indexed="64"/>
      </right>
      <top style="thick">
        <color rgb="FF7030A0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ck">
        <color rgb="FF7030A0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FFC000"/>
      </left>
      <right style="thin">
        <color indexed="64"/>
      </right>
      <top style="thick">
        <color rgb="FFFFC000"/>
      </top>
      <bottom style="thick">
        <color rgb="FFFFC000"/>
      </bottom>
      <diagonal/>
    </border>
    <border>
      <left style="thin">
        <color indexed="64"/>
      </left>
      <right style="thin">
        <color indexed="64"/>
      </right>
      <top style="thick">
        <color rgb="FFFFC000"/>
      </top>
      <bottom style="thick">
        <color rgb="FFFFC000"/>
      </bottom>
      <diagonal/>
    </border>
    <border>
      <left style="thin">
        <color indexed="64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0070C0"/>
      </left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41" fontId="12" fillId="0" borderId="0">
      <alignment vertical="center"/>
    </xf>
  </cellStyleXfs>
  <cellXfs count="155">
    <xf numFmtId="0" fontId="0" fillId="0" borderId="0" xfId="0" applyNumberFormat="1"/>
    <xf numFmtId="176" fontId="9" fillId="2" borderId="3" xfId="0" quotePrefix="1" applyNumberFormat="1" applyFont="1" applyFill="1" applyBorder="1" applyAlignment="1">
      <alignment horizontal="center" vertical="center" wrapText="1" readingOrder="1"/>
    </xf>
    <xf numFmtId="176" fontId="9" fillId="0" borderId="3" xfId="0" quotePrefix="1" applyNumberFormat="1" applyFont="1" applyBorder="1" applyAlignment="1">
      <alignment horizontal="center" vertical="center" wrapText="1" readingOrder="1"/>
    </xf>
    <xf numFmtId="176" fontId="9" fillId="3" borderId="3" xfId="0" quotePrefix="1" applyNumberFormat="1" applyFont="1" applyFill="1" applyBorder="1" applyAlignment="1">
      <alignment horizontal="center" vertical="center" wrapText="1" readingOrder="1"/>
    </xf>
    <xf numFmtId="176" fontId="8" fillId="3" borderId="1" xfId="1" quotePrefix="1" applyNumberFormat="1" applyFont="1" applyFill="1" applyBorder="1" applyAlignment="1">
      <alignment horizontal="center" vertical="center" wrapText="1" shrinkToFit="1" readingOrder="1"/>
    </xf>
    <xf numFmtId="176" fontId="8" fillId="0" borderId="1" xfId="1" quotePrefix="1" applyNumberFormat="1" applyFont="1" applyBorder="1" applyAlignment="1">
      <alignment horizontal="center" vertical="center" wrapText="1" shrinkToFit="1" readingOrder="1"/>
    </xf>
    <xf numFmtId="176" fontId="8" fillId="3" borderId="3" xfId="1" quotePrefix="1" applyNumberFormat="1" applyFont="1" applyFill="1" applyBorder="1" applyAlignment="1">
      <alignment horizontal="center" vertical="center" wrapText="1" shrinkToFit="1" readingOrder="1"/>
    </xf>
    <xf numFmtId="176" fontId="8" fillId="0" borderId="2" xfId="1" quotePrefix="1" applyNumberFormat="1" applyFont="1" applyBorder="1" applyAlignment="1">
      <alignment horizontal="center" vertical="center" wrapText="1" shrinkToFit="1" readingOrder="1"/>
    </xf>
    <xf numFmtId="176" fontId="8" fillId="0" borderId="3" xfId="1" quotePrefix="1" applyNumberFormat="1" applyFont="1" applyBorder="1" applyAlignment="1">
      <alignment horizontal="center" vertical="center" wrapText="1" shrinkToFit="1" readingOrder="1"/>
    </xf>
    <xf numFmtId="176" fontId="8" fillId="3" borderId="3" xfId="1" quotePrefix="1" applyNumberFormat="1" applyFont="1" applyFill="1" applyBorder="1" applyAlignment="1">
      <alignment horizontal="center" vertical="center" shrinkToFit="1" readingOrder="1"/>
    </xf>
    <xf numFmtId="176" fontId="8" fillId="0" borderId="3" xfId="1" quotePrefix="1" applyNumberFormat="1" applyFont="1" applyBorder="1" applyAlignment="1">
      <alignment horizontal="center" vertical="center" shrinkToFit="1" readingOrder="1"/>
    </xf>
    <xf numFmtId="0" fontId="10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41" fontId="8" fillId="3" borderId="7" xfId="2" applyFont="1" applyFill="1" applyBorder="1" applyAlignment="1">
      <alignment horizontal="center" vertical="center"/>
    </xf>
    <xf numFmtId="41" fontId="8" fillId="0" borderId="7" xfId="2" applyFont="1" applyFill="1" applyBorder="1" applyAlignment="1">
      <alignment horizontal="center" vertical="center"/>
    </xf>
    <xf numFmtId="41" fontId="8" fillId="0" borderId="8" xfId="2" applyFont="1" applyFill="1" applyBorder="1" applyAlignment="1">
      <alignment horizontal="center" vertical="center"/>
    </xf>
    <xf numFmtId="41" fontId="8" fillId="3" borderId="2" xfId="2" applyFont="1" applyFill="1" applyBorder="1" applyAlignment="1">
      <alignment horizontal="center" vertical="center"/>
    </xf>
    <xf numFmtId="41" fontId="8" fillId="0" borderId="3" xfId="2" applyFont="1" applyBorder="1" applyAlignment="1">
      <alignment horizontal="center" vertical="center"/>
    </xf>
    <xf numFmtId="41" fontId="8" fillId="3" borderId="3" xfId="2" applyFont="1" applyFill="1" applyBorder="1" applyAlignment="1">
      <alignment horizontal="center" vertical="center"/>
    </xf>
    <xf numFmtId="41" fontId="8" fillId="0" borderId="3" xfId="2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41" fontId="8" fillId="3" borderId="11" xfId="2" applyFont="1" applyFill="1" applyBorder="1" applyAlignment="1">
      <alignment horizontal="center" vertical="center"/>
    </xf>
    <xf numFmtId="41" fontId="8" fillId="0" borderId="11" xfId="2" applyFont="1" applyFill="1" applyBorder="1" applyAlignment="1">
      <alignment horizontal="center" vertical="center"/>
    </xf>
    <xf numFmtId="41" fontId="8" fillId="0" borderId="11" xfId="2" applyFont="1" applyBorder="1" applyAlignment="1">
      <alignment horizontal="center" vertical="center"/>
    </xf>
    <xf numFmtId="41" fontId="8" fillId="0" borderId="12" xfId="2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41" fontId="8" fillId="3" borderId="14" xfId="2" applyFont="1" applyFill="1" applyBorder="1" applyAlignment="1">
      <alignment horizontal="center" vertical="center"/>
    </xf>
    <xf numFmtId="41" fontId="8" fillId="0" borderId="14" xfId="2" applyFont="1" applyFill="1" applyBorder="1" applyAlignment="1">
      <alignment horizontal="center" vertical="center"/>
    </xf>
    <xf numFmtId="41" fontId="8" fillId="0" borderId="15" xfId="2" applyFont="1" applyFill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41" fontId="8" fillId="3" borderId="17" xfId="2" applyFont="1" applyFill="1" applyBorder="1" applyAlignment="1">
      <alignment horizontal="center" vertical="center"/>
    </xf>
    <xf numFmtId="41" fontId="8" fillId="0" borderId="17" xfId="2" applyFont="1" applyFill="1" applyBorder="1" applyAlignment="1">
      <alignment horizontal="center" vertical="center"/>
    </xf>
    <xf numFmtId="41" fontId="8" fillId="0" borderId="18" xfId="2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176" fontId="8" fillId="0" borderId="1" xfId="3" quotePrefix="1" applyNumberFormat="1" applyFont="1" applyBorder="1" applyAlignment="1">
      <alignment horizontal="center" vertical="center" wrapText="1" readingOrder="1"/>
    </xf>
    <xf numFmtId="176" fontId="8" fillId="6" borderId="1" xfId="3" quotePrefix="1" applyNumberFormat="1" applyFont="1" applyFill="1" applyBorder="1" applyAlignment="1">
      <alignment horizontal="center" vertical="center" wrapText="1" readingOrder="1"/>
    </xf>
    <xf numFmtId="176" fontId="8" fillId="0" borderId="3" xfId="3" quotePrefix="1" applyNumberFormat="1" applyFont="1" applyBorder="1" applyAlignment="1">
      <alignment horizontal="center" vertical="center" wrapText="1" readingOrder="1"/>
    </xf>
    <xf numFmtId="176" fontId="11" fillId="6" borderId="3" xfId="3" quotePrefix="1" applyNumberFormat="1" applyFont="1" applyFill="1" applyBorder="1" applyAlignment="1">
      <alignment horizontal="center" vertical="center" wrapText="1" readingOrder="1"/>
    </xf>
    <xf numFmtId="176" fontId="11" fillId="6" borderId="1" xfId="3" quotePrefix="1" applyNumberFormat="1" applyFont="1" applyFill="1" applyBorder="1" applyAlignment="1">
      <alignment horizontal="center" vertical="center" wrapText="1" readingOrder="1"/>
    </xf>
    <xf numFmtId="176" fontId="11" fillId="0" borderId="3" xfId="3" quotePrefix="1" applyNumberFormat="1" applyFont="1" applyBorder="1" applyAlignment="1">
      <alignment horizontal="center" vertical="center" wrapText="1" readingOrder="1"/>
    </xf>
    <xf numFmtId="176" fontId="8" fillId="6" borderId="3" xfId="3" quotePrefix="1" applyNumberFormat="1" applyFont="1" applyFill="1" applyBorder="1" applyAlignment="1">
      <alignment vertical="center" wrapText="1" readingOrder="1"/>
    </xf>
    <xf numFmtId="177" fontId="8" fillId="0" borderId="3" xfId="2" quotePrefix="1" applyNumberFormat="1" applyFont="1" applyBorder="1" applyAlignment="1">
      <alignment horizontal="center" vertical="center" shrinkToFit="1" readingOrder="1"/>
    </xf>
    <xf numFmtId="177" fontId="8" fillId="6" borderId="3" xfId="2" quotePrefix="1" applyNumberFormat="1" applyFont="1" applyFill="1" applyBorder="1" applyAlignment="1">
      <alignment horizontal="center" vertical="center" shrinkToFit="1" readingOrder="1"/>
    </xf>
    <xf numFmtId="178" fontId="8" fillId="6" borderId="3" xfId="2" quotePrefix="1" applyNumberFormat="1" applyFont="1" applyFill="1" applyBorder="1" applyAlignment="1">
      <alignment horizontal="center" vertical="center" shrinkToFit="1" readingOrder="1"/>
    </xf>
    <xf numFmtId="178" fontId="8" fillId="0" borderId="3" xfId="2" quotePrefix="1" applyNumberFormat="1" applyFont="1" applyFill="1" applyBorder="1" applyAlignment="1">
      <alignment horizontal="center" vertical="center" shrinkToFit="1" readingOrder="1"/>
    </xf>
    <xf numFmtId="177" fontId="8" fillId="0" borderId="3" xfId="2" quotePrefix="1" applyNumberFormat="1" applyFont="1" applyFill="1" applyBorder="1" applyAlignment="1">
      <alignment horizontal="center" vertical="center" shrinkToFit="1" readingOrder="1"/>
    </xf>
    <xf numFmtId="0" fontId="8" fillId="0" borderId="3" xfId="3" applyFont="1" applyBorder="1" applyAlignment="1">
      <alignment horizontal="center" vertical="center"/>
    </xf>
    <xf numFmtId="41" fontId="8" fillId="6" borderId="3" xfId="2" applyFont="1" applyFill="1" applyBorder="1" applyAlignment="1">
      <alignment horizontal="center" vertical="center"/>
    </xf>
    <xf numFmtId="41" fontId="9" fillId="7" borderId="3" xfId="2" applyFont="1" applyFill="1" applyBorder="1" applyAlignment="1">
      <alignment horizontal="center" vertical="center"/>
    </xf>
    <xf numFmtId="41" fontId="11" fillId="6" borderId="3" xfId="2" applyFont="1" applyFill="1" applyBorder="1" applyAlignment="1">
      <alignment horizontal="center" vertical="center"/>
    </xf>
    <xf numFmtId="41" fontId="17" fillId="7" borderId="3" xfId="2" applyFont="1" applyFill="1" applyBorder="1" applyAlignment="1">
      <alignment horizontal="center" vertical="center"/>
    </xf>
    <xf numFmtId="176" fontId="7" fillId="3" borderId="1" xfId="4" quotePrefix="1" applyNumberFormat="1" applyFont="1" applyFill="1" applyBorder="1" applyAlignment="1">
      <alignment horizontal="center" vertical="center" wrapText="1" readingOrder="1"/>
    </xf>
    <xf numFmtId="176" fontId="7" fillId="0" borderId="1" xfId="4" quotePrefix="1" applyNumberFormat="1" applyFont="1" applyBorder="1" applyAlignment="1">
      <alignment horizontal="center" vertical="center" wrapText="1" readingOrder="1"/>
    </xf>
    <xf numFmtId="176" fontId="7" fillId="3" borderId="3" xfId="4" quotePrefix="1" applyNumberFormat="1" applyFont="1" applyFill="1" applyBorder="1" applyAlignment="1">
      <alignment horizontal="center" vertical="center" shrinkToFit="1" readingOrder="1"/>
    </xf>
    <xf numFmtId="176" fontId="7" fillId="0" borderId="3" xfId="4" quotePrefix="1" applyNumberFormat="1" applyFont="1" applyBorder="1" applyAlignment="1">
      <alignment horizontal="center" vertical="center" shrinkToFit="1" readingOrder="1"/>
    </xf>
    <xf numFmtId="0" fontId="7" fillId="0" borderId="3" xfId="4" applyFont="1" applyBorder="1" applyAlignment="1">
      <alignment horizontal="center"/>
    </xf>
    <xf numFmtId="0" fontId="8" fillId="0" borderId="3" xfId="4" applyFont="1" applyBorder="1" applyAlignment="1">
      <alignment horizontal="center"/>
    </xf>
    <xf numFmtId="0" fontId="8" fillId="3" borderId="3" xfId="4" applyFont="1" applyFill="1" applyBorder="1" applyAlignment="1">
      <alignment horizontal="center" vertical="center"/>
    </xf>
    <xf numFmtId="0" fontId="8" fillId="3" borderId="3" xfId="4" applyFont="1" applyFill="1" applyBorder="1" applyAlignment="1">
      <alignment horizontal="center"/>
    </xf>
    <xf numFmtId="176" fontId="19" fillId="0" borderId="3" xfId="4" quotePrefix="1" applyNumberFormat="1" applyFont="1" applyBorder="1" applyAlignment="1">
      <alignment horizontal="center" vertical="center" shrinkToFit="1" readingOrder="1"/>
    </xf>
    <xf numFmtId="41" fontId="20" fillId="8" borderId="3" xfId="5" quotePrefix="1" applyFont="1" applyFill="1" applyBorder="1" applyAlignment="1">
      <alignment horizontal="center" vertical="center" shrinkToFit="1" readingOrder="1"/>
    </xf>
    <xf numFmtId="0" fontId="19" fillId="0" borderId="3" xfId="4" applyFont="1" applyBorder="1" applyAlignment="1">
      <alignment horizontal="center" vertical="center" wrapText="1" shrinkToFit="1"/>
    </xf>
    <xf numFmtId="0" fontId="19" fillId="0" borderId="3" xfId="4" applyFont="1" applyBorder="1" applyAlignment="1">
      <alignment horizontal="center" vertical="center"/>
    </xf>
    <xf numFmtId="176" fontId="18" fillId="0" borderId="3" xfId="4" quotePrefix="1" applyNumberFormat="1" applyFont="1" applyBorder="1" applyAlignment="1">
      <alignment horizontal="center" vertical="center" wrapText="1" shrinkToFit="1" readingOrder="1"/>
    </xf>
    <xf numFmtId="176" fontId="19" fillId="0" borderId="1" xfId="4" quotePrefix="1" applyNumberFormat="1" applyFont="1" applyBorder="1" applyAlignment="1">
      <alignment horizontal="center" vertical="center" wrapText="1" readingOrder="1"/>
    </xf>
    <xf numFmtId="176" fontId="4" fillId="0" borderId="3" xfId="4" quotePrefix="1" applyNumberFormat="1" applyFont="1" applyBorder="1" applyAlignment="1">
      <alignment horizontal="center" vertical="center" wrapText="1" shrinkToFit="1" readingOrder="1"/>
    </xf>
    <xf numFmtId="176" fontId="4" fillId="8" borderId="3" xfId="4" quotePrefix="1" applyNumberFormat="1" applyFont="1" applyFill="1" applyBorder="1" applyAlignment="1">
      <alignment horizontal="center" vertical="center" shrinkToFit="1" readingOrder="1"/>
    </xf>
    <xf numFmtId="176" fontId="19" fillId="0" borderId="3" xfId="4" quotePrefix="1" applyNumberFormat="1" applyFont="1" applyBorder="1" applyAlignment="1">
      <alignment horizontal="center" vertical="center" wrapText="1" readingOrder="1"/>
    </xf>
    <xf numFmtId="0" fontId="21" fillId="0" borderId="0" xfId="4" applyFont="1">
      <alignment vertical="center"/>
    </xf>
    <xf numFmtId="176" fontId="19" fillId="0" borderId="1" xfId="4" quotePrefix="1" applyNumberFormat="1" applyFont="1" applyBorder="1" applyAlignment="1">
      <alignment horizontal="center" vertical="center" shrinkToFit="1" readingOrder="1"/>
    </xf>
    <xf numFmtId="41" fontId="21" fillId="0" borderId="0" xfId="5" applyFont="1">
      <alignment vertical="center"/>
    </xf>
    <xf numFmtId="0" fontId="22" fillId="0" borderId="3" xfId="4" applyFont="1" applyBorder="1" applyAlignment="1">
      <alignment horizontal="center" vertical="center"/>
    </xf>
    <xf numFmtId="41" fontId="22" fillId="0" borderId="3" xfId="5" applyFont="1" applyBorder="1" applyAlignment="1">
      <alignment horizontal="center" vertical="center"/>
    </xf>
    <xf numFmtId="43" fontId="21" fillId="0" borderId="0" xfId="5" applyNumberFormat="1" applyFont="1">
      <alignment vertical="center"/>
    </xf>
    <xf numFmtId="0" fontId="12" fillId="0" borderId="0" xfId="4">
      <alignment vertical="center"/>
    </xf>
    <xf numFmtId="41" fontId="23" fillId="0" borderId="0" xfId="5" applyFont="1">
      <alignment vertical="center"/>
    </xf>
    <xf numFmtId="43" fontId="21" fillId="0" borderId="0" xfId="4" applyNumberFormat="1" applyFont="1">
      <alignment vertical="center"/>
    </xf>
    <xf numFmtId="41" fontId="24" fillId="0" borderId="0" xfId="5" applyFont="1">
      <alignment vertical="center"/>
    </xf>
    <xf numFmtId="0" fontId="25" fillId="0" borderId="3" xfId="4" applyFont="1" applyBorder="1" applyAlignment="1">
      <alignment horizontal="center" vertical="center"/>
    </xf>
    <xf numFmtId="0" fontId="26" fillId="0" borderId="3" xfId="4" applyFont="1" applyBorder="1" applyAlignment="1">
      <alignment horizontal="center" vertical="center"/>
    </xf>
    <xf numFmtId="180" fontId="19" fillId="0" borderId="3" xfId="4" applyNumberFormat="1" applyFont="1" applyBorder="1" applyAlignment="1">
      <alignment horizontal="center" vertical="center"/>
    </xf>
    <xf numFmtId="180" fontId="13" fillId="0" borderId="0" xfId="4" applyNumberFormat="1" applyFont="1" applyAlignment="1">
      <alignment horizontal="center" vertical="center"/>
    </xf>
    <xf numFmtId="176" fontId="19" fillId="7" borderId="2" xfId="4" quotePrefix="1" applyNumberFormat="1" applyFont="1" applyFill="1" applyBorder="1" applyAlignment="1">
      <alignment horizontal="center" vertical="center" shrinkToFit="1" readingOrder="1"/>
    </xf>
    <xf numFmtId="176" fontId="19" fillId="7" borderId="3" xfId="4" quotePrefix="1" applyNumberFormat="1" applyFont="1" applyFill="1" applyBorder="1" applyAlignment="1">
      <alignment horizontal="center" vertical="center" shrinkToFit="1" readingOrder="1"/>
    </xf>
    <xf numFmtId="176" fontId="7" fillId="0" borderId="1" xfId="4" quotePrefix="1" applyNumberFormat="1" applyFont="1" applyBorder="1" applyAlignment="1">
      <alignment horizontal="center" vertical="center" wrapText="1" shrinkToFit="1" readingOrder="1"/>
    </xf>
    <xf numFmtId="176" fontId="7" fillId="3" borderId="19" xfId="4" quotePrefix="1" applyNumberFormat="1" applyFont="1" applyFill="1" applyBorder="1" applyAlignment="1">
      <alignment horizontal="center" vertical="center" wrapText="1" shrinkToFit="1" readingOrder="1"/>
    </xf>
    <xf numFmtId="176" fontId="7" fillId="3" borderId="1" xfId="4" quotePrefix="1" applyNumberFormat="1" applyFont="1" applyFill="1" applyBorder="1" applyAlignment="1">
      <alignment horizontal="center" vertical="center" wrapText="1" shrinkToFit="1" readingOrder="1"/>
    </xf>
    <xf numFmtId="0" fontId="27" fillId="0" borderId="3" xfId="0" applyFont="1" applyBorder="1" applyAlignment="1">
      <alignment horizontal="center" vertical="center"/>
    </xf>
    <xf numFmtId="0" fontId="7" fillId="0" borderId="20" xfId="4" applyFont="1" applyBorder="1" applyAlignment="1">
      <alignment horizontal="center"/>
    </xf>
    <xf numFmtId="0" fontId="7" fillId="3" borderId="3" xfId="4" applyFont="1" applyFill="1" applyBorder="1" applyAlignment="1">
      <alignment horizontal="center" vertical="center"/>
    </xf>
    <xf numFmtId="0" fontId="7" fillId="3" borderId="3" xfId="4" applyFont="1" applyFill="1" applyBorder="1" applyAlignment="1">
      <alignment horizontal="center"/>
    </xf>
    <xf numFmtId="0" fontId="27" fillId="0" borderId="0" xfId="0" applyNumberFormat="1" applyFont="1"/>
    <xf numFmtId="41" fontId="20" fillId="8" borderId="4" xfId="5" quotePrefix="1" applyFont="1" applyFill="1" applyBorder="1" applyAlignment="1">
      <alignment horizontal="center" vertical="center" shrinkToFit="1" readingOrder="1"/>
    </xf>
    <xf numFmtId="41" fontId="20" fillId="8" borderId="20" xfId="5" quotePrefix="1" applyFont="1" applyFill="1" applyBorder="1" applyAlignment="1">
      <alignment horizontal="center" vertical="center" shrinkToFit="1" readingOrder="1"/>
    </xf>
    <xf numFmtId="176" fontId="18" fillId="0" borderId="1" xfId="4" quotePrefix="1" applyNumberFormat="1" applyFont="1" applyBorder="1" applyAlignment="1">
      <alignment horizontal="center" vertical="center" wrapText="1" shrinkToFit="1" readingOrder="1"/>
    </xf>
    <xf numFmtId="176" fontId="18" fillId="0" borderId="2" xfId="4" quotePrefix="1" applyNumberFormat="1" applyFont="1" applyBorder="1" applyAlignment="1">
      <alignment horizontal="center" vertical="center" wrapText="1" shrinkToFit="1" readingOrder="1"/>
    </xf>
    <xf numFmtId="176" fontId="19" fillId="0" borderId="1" xfId="4" quotePrefix="1" applyNumberFormat="1" applyFont="1" applyBorder="1" applyAlignment="1">
      <alignment horizontal="center" vertical="center" wrapText="1" shrinkToFit="1" readingOrder="1"/>
    </xf>
    <xf numFmtId="176" fontId="19" fillId="0" borderId="2" xfId="4" quotePrefix="1" applyNumberFormat="1" applyFont="1" applyBorder="1" applyAlignment="1">
      <alignment horizontal="center" vertical="center" wrapText="1" shrinkToFit="1" readingOrder="1"/>
    </xf>
    <xf numFmtId="176" fontId="19" fillId="8" borderId="1" xfId="4" quotePrefix="1" applyNumberFormat="1" applyFont="1" applyFill="1" applyBorder="1" applyAlignment="1">
      <alignment horizontal="center" vertical="center" shrinkToFit="1" readingOrder="1"/>
    </xf>
    <xf numFmtId="176" fontId="19" fillId="8" borderId="2" xfId="4" quotePrefix="1" applyNumberFormat="1" applyFont="1" applyFill="1" applyBorder="1" applyAlignment="1">
      <alignment horizontal="center" vertical="center" shrinkToFit="1" readingOrder="1"/>
    </xf>
    <xf numFmtId="179" fontId="7" fillId="5" borderId="4" xfId="4" quotePrefix="1" applyNumberFormat="1" applyFont="1" applyFill="1" applyBorder="1" applyAlignment="1">
      <alignment horizontal="center" vertical="center" shrinkToFit="1" readingOrder="1"/>
    </xf>
    <xf numFmtId="179" fontId="7" fillId="5" borderId="20" xfId="4" quotePrefix="1" applyNumberFormat="1" applyFont="1" applyFill="1" applyBorder="1" applyAlignment="1">
      <alignment horizontal="center" vertical="center" shrinkToFit="1" readingOrder="1"/>
    </xf>
    <xf numFmtId="176" fontId="7" fillId="0" borderId="3" xfId="4" quotePrefix="1" applyNumberFormat="1" applyFont="1" applyBorder="1" applyAlignment="1">
      <alignment horizontal="center" vertical="center" shrinkToFit="1" readingOrder="1"/>
    </xf>
    <xf numFmtId="0" fontId="7" fillId="4" borderId="1" xfId="4" applyFont="1" applyFill="1" applyBorder="1" applyAlignment="1">
      <alignment horizontal="center" vertical="center" shrinkToFit="1" readingOrder="1"/>
    </xf>
    <xf numFmtId="0" fontId="7" fillId="4" borderId="2" xfId="4" applyFont="1" applyFill="1" applyBorder="1" applyAlignment="1">
      <alignment horizontal="center" vertical="center" shrinkToFit="1" readingOrder="1"/>
    </xf>
    <xf numFmtId="176" fontId="7" fillId="0" borderId="1" xfId="4" quotePrefix="1" applyNumberFormat="1" applyFont="1" applyBorder="1" applyAlignment="1">
      <alignment horizontal="center" vertical="center" wrapText="1" readingOrder="1"/>
    </xf>
    <xf numFmtId="176" fontId="7" fillId="0" borderId="19" xfId="4" quotePrefix="1" applyNumberFormat="1" applyFont="1" applyBorder="1" applyAlignment="1">
      <alignment horizontal="center" vertical="center" wrapText="1" readingOrder="1"/>
    </xf>
    <xf numFmtId="176" fontId="7" fillId="0" borderId="2" xfId="4" quotePrefix="1" applyNumberFormat="1" applyFont="1" applyBorder="1" applyAlignment="1">
      <alignment horizontal="center" vertical="center" wrapText="1" readingOrder="1"/>
    </xf>
    <xf numFmtId="176" fontId="7" fillId="3" borderId="1" xfId="4" quotePrefix="1" applyNumberFormat="1" applyFont="1" applyFill="1" applyBorder="1" applyAlignment="1">
      <alignment horizontal="center" vertical="center" wrapText="1" readingOrder="1"/>
    </xf>
    <xf numFmtId="176" fontId="7" fillId="3" borderId="19" xfId="4" quotePrefix="1" applyNumberFormat="1" applyFont="1" applyFill="1" applyBorder="1" applyAlignment="1">
      <alignment horizontal="center" vertical="center" wrapText="1" readingOrder="1"/>
    </xf>
    <xf numFmtId="176" fontId="7" fillId="3" borderId="1" xfId="4" quotePrefix="1" applyNumberFormat="1" applyFont="1" applyFill="1" applyBorder="1" applyAlignment="1">
      <alignment horizontal="center" vertical="center" wrapText="1" shrinkToFit="1" readingOrder="1"/>
    </xf>
    <xf numFmtId="176" fontId="7" fillId="3" borderId="2" xfId="4" quotePrefix="1" applyNumberFormat="1" applyFont="1" applyFill="1" applyBorder="1" applyAlignment="1">
      <alignment horizontal="center" vertical="center" wrapText="1" shrinkToFit="1" readingOrder="1"/>
    </xf>
    <xf numFmtId="176" fontId="14" fillId="0" borderId="3" xfId="4" quotePrefix="1" applyNumberFormat="1" applyFont="1" applyBorder="1" applyAlignment="1">
      <alignment horizontal="center" vertical="center" wrapText="1" shrinkToFit="1" readingOrder="1"/>
    </xf>
    <xf numFmtId="176" fontId="7" fillId="0" borderId="3" xfId="4" quotePrefix="1" applyNumberFormat="1" applyFont="1" applyBorder="1" applyAlignment="1">
      <alignment horizontal="center" vertical="center" wrapText="1" shrinkToFit="1" readingOrder="1"/>
    </xf>
    <xf numFmtId="179" fontId="8" fillId="5" borderId="4" xfId="3" quotePrefix="1" applyNumberFormat="1" applyFont="1" applyFill="1" applyBorder="1" applyAlignment="1">
      <alignment horizontal="center" vertical="center" shrinkToFit="1" readingOrder="1"/>
    </xf>
    <xf numFmtId="179" fontId="8" fillId="5" borderId="20" xfId="3" quotePrefix="1" applyNumberFormat="1" applyFont="1" applyFill="1" applyBorder="1" applyAlignment="1">
      <alignment horizontal="center" vertical="center" shrinkToFit="1" readingOrder="1"/>
    </xf>
    <xf numFmtId="176" fontId="8" fillId="0" borderId="1" xfId="3" quotePrefix="1" applyNumberFormat="1" applyFont="1" applyBorder="1" applyAlignment="1">
      <alignment horizontal="center" vertical="center" wrapText="1" readingOrder="1"/>
    </xf>
    <xf numFmtId="176" fontId="8" fillId="0" borderId="2" xfId="3" quotePrefix="1" applyNumberFormat="1" applyFont="1" applyBorder="1" applyAlignment="1">
      <alignment horizontal="center" vertical="center" wrapText="1" readingOrder="1"/>
    </xf>
    <xf numFmtId="176" fontId="8" fillId="0" borderId="1" xfId="3" quotePrefix="1" applyNumberFormat="1" applyFont="1" applyBorder="1" applyAlignment="1">
      <alignment horizontal="center" vertical="center" shrinkToFit="1" readingOrder="1"/>
    </xf>
    <xf numFmtId="176" fontId="8" fillId="0" borderId="2" xfId="3" quotePrefix="1" applyNumberFormat="1" applyFont="1" applyBorder="1" applyAlignment="1">
      <alignment horizontal="center" vertical="center" shrinkToFit="1" readingOrder="1"/>
    </xf>
    <xf numFmtId="0" fontId="8" fillId="4" borderId="1" xfId="3" applyFont="1" applyFill="1" applyBorder="1" applyAlignment="1">
      <alignment horizontal="center" vertical="center" shrinkToFit="1" readingOrder="1"/>
    </xf>
    <xf numFmtId="0" fontId="8" fillId="4" borderId="2" xfId="3" applyFont="1" applyFill="1" applyBorder="1" applyAlignment="1">
      <alignment horizontal="center" vertical="center" shrinkToFit="1" readingOrder="1"/>
    </xf>
    <xf numFmtId="176" fontId="8" fillId="0" borderId="1" xfId="3" quotePrefix="1" applyNumberFormat="1" applyFont="1" applyBorder="1" applyAlignment="1">
      <alignment horizontal="center" vertical="center" wrapText="1" shrinkToFit="1" readingOrder="1"/>
    </xf>
    <xf numFmtId="176" fontId="8" fillId="0" borderId="2" xfId="3" quotePrefix="1" applyNumberFormat="1" applyFont="1" applyBorder="1" applyAlignment="1">
      <alignment horizontal="center" vertical="center" wrapText="1" shrinkToFit="1" readingOrder="1"/>
    </xf>
    <xf numFmtId="176" fontId="8" fillId="0" borderId="19" xfId="3" quotePrefix="1" applyNumberFormat="1" applyFont="1" applyBorder="1" applyAlignment="1">
      <alignment horizontal="center" vertical="center" wrapText="1" shrinkToFit="1" readingOrder="1"/>
    </xf>
    <xf numFmtId="176" fontId="8" fillId="6" borderId="1" xfId="3" quotePrefix="1" applyNumberFormat="1" applyFont="1" applyFill="1" applyBorder="1" applyAlignment="1">
      <alignment horizontal="center" vertical="center" wrapText="1" readingOrder="1"/>
    </xf>
    <xf numFmtId="176" fontId="8" fillId="6" borderId="19" xfId="3" quotePrefix="1" applyNumberFormat="1" applyFont="1" applyFill="1" applyBorder="1" applyAlignment="1">
      <alignment horizontal="center" vertical="center" wrapText="1" readingOrder="1"/>
    </xf>
    <xf numFmtId="176" fontId="8" fillId="6" borderId="2" xfId="3" quotePrefix="1" applyNumberFormat="1" applyFont="1" applyFill="1" applyBorder="1" applyAlignment="1">
      <alignment horizontal="center" vertical="center" wrapText="1" readingOrder="1"/>
    </xf>
    <xf numFmtId="176" fontId="8" fillId="6" borderId="3" xfId="3" quotePrefix="1" applyNumberFormat="1" applyFont="1" applyFill="1" applyBorder="1" applyAlignment="1">
      <alignment horizontal="center" vertical="center" wrapText="1" readingOrder="1"/>
    </xf>
    <xf numFmtId="176" fontId="8" fillId="0" borderId="19" xfId="3" quotePrefix="1" applyNumberFormat="1" applyFont="1" applyBorder="1" applyAlignment="1">
      <alignment horizontal="center" vertical="center" wrapText="1" readingOrder="1"/>
    </xf>
    <xf numFmtId="41" fontId="8" fillId="5" borderId="4" xfId="2" quotePrefix="1" applyFont="1" applyFill="1" applyBorder="1" applyAlignment="1">
      <alignment horizontal="center" vertical="center" shrinkToFit="1" readingOrder="1"/>
    </xf>
    <xf numFmtId="41" fontId="8" fillId="5" borderId="9" xfId="2" quotePrefix="1" applyFont="1" applyFill="1" applyBorder="1" applyAlignment="1">
      <alignment horizontal="center" vertical="center" shrinkToFit="1" readingOrder="1"/>
    </xf>
    <xf numFmtId="176" fontId="8" fillId="0" borderId="1" xfId="1" quotePrefix="1" applyNumberFormat="1" applyFont="1" applyBorder="1" applyAlignment="1">
      <alignment horizontal="center" vertical="center" wrapText="1" shrinkToFit="1" readingOrder="1"/>
    </xf>
    <xf numFmtId="176" fontId="8" fillId="0" borderId="2" xfId="1" quotePrefix="1" applyNumberFormat="1" applyFont="1" applyBorder="1" applyAlignment="1">
      <alignment horizontal="center" vertical="center" wrapText="1" shrinkToFit="1" readingOrder="1"/>
    </xf>
    <xf numFmtId="176" fontId="8" fillId="3" borderId="1" xfId="1" quotePrefix="1" applyNumberFormat="1" applyFont="1" applyFill="1" applyBorder="1" applyAlignment="1">
      <alignment horizontal="center" vertical="center" wrapText="1" shrinkToFit="1" readingOrder="1"/>
    </xf>
    <xf numFmtId="176" fontId="8" fillId="3" borderId="2" xfId="1" quotePrefix="1" applyNumberFormat="1" applyFont="1" applyFill="1" applyBorder="1" applyAlignment="1">
      <alignment horizontal="center" vertical="center" wrapText="1" shrinkToFit="1" readingOrder="1"/>
    </xf>
    <xf numFmtId="176" fontId="8" fillId="0" borderId="1" xfId="1" quotePrefix="1" applyNumberFormat="1" applyFont="1" applyBorder="1" applyAlignment="1">
      <alignment horizontal="center" vertical="center" wrapText="1" readingOrder="1"/>
    </xf>
    <xf numFmtId="176" fontId="8" fillId="0" borderId="2" xfId="1" quotePrefix="1" applyNumberFormat="1" applyFont="1" applyBorder="1" applyAlignment="1">
      <alignment horizontal="center" vertical="center" wrapText="1" readingOrder="1"/>
    </xf>
    <xf numFmtId="176" fontId="8" fillId="0" borderId="1" xfId="1" quotePrefix="1" applyNumberFormat="1" applyFont="1" applyBorder="1" applyAlignment="1">
      <alignment horizontal="center" vertical="center" shrinkToFit="1" readingOrder="1"/>
    </xf>
    <xf numFmtId="176" fontId="8" fillId="0" borderId="2" xfId="1" quotePrefix="1" applyNumberFormat="1" applyFont="1" applyBorder="1" applyAlignment="1">
      <alignment horizontal="center" vertical="center" shrinkToFit="1" readingOrder="1"/>
    </xf>
    <xf numFmtId="0" fontId="8" fillId="4" borderId="1" xfId="1" applyFont="1" applyFill="1" applyBorder="1" applyAlignment="1">
      <alignment horizontal="center" vertical="center" shrinkToFit="1" readingOrder="1"/>
    </xf>
    <xf numFmtId="0" fontId="8" fillId="4" borderId="2" xfId="1" applyFont="1" applyFill="1" applyBorder="1" applyAlignment="1">
      <alignment horizontal="center" vertical="center" shrinkToFit="1" readingOrder="1"/>
    </xf>
    <xf numFmtId="176" fontId="9" fillId="2" borderId="1" xfId="0" quotePrefix="1" applyNumberFormat="1" applyFont="1" applyFill="1" applyBorder="1" applyAlignment="1">
      <alignment horizontal="center" vertical="center" wrapText="1" readingOrder="1"/>
    </xf>
    <xf numFmtId="176" fontId="9" fillId="2" borderId="2" xfId="0" quotePrefix="1" applyNumberFormat="1" applyFont="1" applyFill="1" applyBorder="1" applyAlignment="1">
      <alignment horizontal="center" vertical="center" wrapText="1" readingOrder="1"/>
    </xf>
    <xf numFmtId="176" fontId="9" fillId="0" borderId="1" xfId="0" quotePrefix="1" applyNumberFormat="1" applyFont="1" applyBorder="1" applyAlignment="1">
      <alignment horizontal="center" vertical="center" wrapText="1" readingOrder="1"/>
    </xf>
    <xf numFmtId="176" fontId="9" fillId="0" borderId="2" xfId="0" quotePrefix="1" applyNumberFormat="1" applyFont="1" applyBorder="1" applyAlignment="1">
      <alignment horizontal="center" vertical="center" wrapText="1" readingOrder="1"/>
    </xf>
    <xf numFmtId="176" fontId="19" fillId="0" borderId="1" xfId="4" quotePrefix="1" applyNumberFormat="1" applyFont="1" applyBorder="1" applyAlignment="1">
      <alignment horizontal="center" vertical="center" wrapText="1" readingOrder="1"/>
    </xf>
    <xf numFmtId="176" fontId="19" fillId="0" borderId="2" xfId="4" quotePrefix="1" applyNumberFormat="1" applyFont="1" applyBorder="1" applyAlignment="1">
      <alignment horizontal="center" vertical="center" wrapText="1" readingOrder="1"/>
    </xf>
    <xf numFmtId="0" fontId="12" fillId="0" borderId="1" xfId="4" applyBorder="1" applyAlignment="1">
      <alignment horizontal="center" vertical="center"/>
    </xf>
    <xf numFmtId="0" fontId="12" fillId="0" borderId="2" xfId="4" applyBorder="1" applyAlignment="1">
      <alignment horizontal="center" vertical="center"/>
    </xf>
    <xf numFmtId="0" fontId="19" fillId="0" borderId="1" xfId="4" applyFont="1" applyBorder="1" applyAlignment="1">
      <alignment horizontal="center" vertical="center" wrapText="1" shrinkToFit="1"/>
    </xf>
    <xf numFmtId="0" fontId="19" fillId="0" borderId="2" xfId="4" applyFont="1" applyBorder="1" applyAlignment="1">
      <alignment horizontal="center" vertical="center" wrapText="1" shrinkToFit="1"/>
    </xf>
  </cellXfs>
  <cellStyles count="6">
    <cellStyle name="쉼표 [0]" xfId="2" builtinId="6"/>
    <cellStyle name="쉼표 [0] 2 2" xfId="5" xr:uid="{BF0558D4-FBA5-42D5-A19E-06B60248CE28}"/>
    <cellStyle name="표준" xfId="0" builtinId="0"/>
    <cellStyle name="표준 2" xfId="1" xr:uid="{95E2464F-CC06-4ABB-B2F5-F580A5E1E95F}"/>
    <cellStyle name="표준 2 2" xfId="4" xr:uid="{B76C9724-2693-4F3B-9506-917BFFBC0E91}"/>
    <cellStyle name="표준 2 46" xfId="3" xr:uid="{3825CD83-DEBE-4187-9AE8-9F388821FF03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%2301.%20&#54665;&#48373;&#54540;&#47084;&#49828;%20&#48156;&#51452;&#49436;%20(2026)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%2301.%20&#44277;&#51109;%20&#48156;&#51452;&#49436;%20(2026)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주서(택배)"/>
      <sheetName val="공장발주서1-3"/>
      <sheetName val="은평구01.20"/>
      <sheetName val="서대문구01.20"/>
      <sheetName val="공장발주서1-4"/>
      <sheetName val="은평구01.26"/>
      <sheetName val="서대문구01.26"/>
      <sheetName val="공장발주서2-1"/>
      <sheetName val="은평구02.03"/>
      <sheetName val="서대문구02.03"/>
      <sheetName val="공장발주서3-1"/>
      <sheetName val="은평구02.24"/>
      <sheetName val="서대문구02.24"/>
      <sheetName val="공장발주서3-2"/>
      <sheetName val="은평구03.03"/>
      <sheetName val="서대문구03.03"/>
      <sheetName val="공장발주서3-3"/>
      <sheetName val="은평구03.10"/>
      <sheetName val="서대문구03.10"/>
      <sheetName val="공장발주서3-4"/>
      <sheetName val="은평구03.17"/>
      <sheetName val="서대문구03.17"/>
      <sheetName val="공장발주서4-1"/>
      <sheetName val="은평구03.24"/>
      <sheetName val="서대문구03.24"/>
      <sheetName val="공장발주서4-2"/>
      <sheetName val="은평구03.31"/>
      <sheetName val="서대문구03.31"/>
      <sheetName val="공장발주서4-3"/>
      <sheetName val="은평구04.07"/>
      <sheetName val="서대문구04.07"/>
      <sheetName val="공장발주서4-4"/>
      <sheetName val="은평구04.14"/>
      <sheetName val="서대문구04.14"/>
      <sheetName val="공장발주서4-5"/>
      <sheetName val="은평구04.21"/>
      <sheetName val="서대문구04.21"/>
      <sheetName val="공장발주서5-1"/>
      <sheetName val="은평구04.28"/>
      <sheetName val="서대문구04.28"/>
      <sheetName val="공장발주서5-2"/>
      <sheetName val="은평구05.04"/>
      <sheetName val="서대문구05.04"/>
      <sheetName val="공장발주서5-3"/>
      <sheetName val="은평구05.12"/>
      <sheetName val="서대문구05.12"/>
      <sheetName val="공장발주서5-4"/>
      <sheetName val="은평구05.19"/>
      <sheetName val="서대문구05.19"/>
      <sheetName val="공장발주서6-1"/>
      <sheetName val="은평구05.26"/>
      <sheetName val="서대문구05.26"/>
      <sheetName val="공장발주서6-2"/>
      <sheetName val="은평구06.02"/>
      <sheetName val="서대문구06.02"/>
      <sheetName val="발주서(서울급식) 6-3"/>
      <sheetName val="은평구06.09"/>
      <sheetName val="서대문구06.09"/>
      <sheetName val="발주서(서울급식) 6-4"/>
      <sheetName val="은평구06.16"/>
      <sheetName val="서대문구06.16"/>
      <sheetName val="발주서(서울급식) 7-1"/>
      <sheetName val="은평구06.23"/>
      <sheetName val="서대문구06.23"/>
      <sheetName val="발주서(서울급식) 7-2"/>
      <sheetName val="은평구06.30"/>
      <sheetName val="서대문구06.30"/>
      <sheetName val="발주서(서울급식) 7-3"/>
      <sheetName val="은평구07.07"/>
      <sheetName val="서대문구07.07"/>
      <sheetName val="발주서(서울급식) 7-4"/>
      <sheetName val="은평구07.14"/>
      <sheetName val="서대문구07.14"/>
      <sheetName val="발주서(서울급식) 8-1"/>
      <sheetName val="은평구08.04"/>
      <sheetName val="서대문구08.04"/>
      <sheetName val="발주서(서울급식) 8-2"/>
      <sheetName val="은평구08.11"/>
      <sheetName val="서대문구08.11"/>
      <sheetName val="발주서(서울급식) 8-3"/>
      <sheetName val="은평구08.18"/>
      <sheetName val="서대문구08.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3">
          <cell r="D3" t="str">
            <v>품명</v>
          </cell>
          <cell r="E3" t="str">
            <v>수량</v>
          </cell>
        </row>
        <row r="4">
          <cell r="E4" t="str">
            <v>10kg</v>
          </cell>
          <cell r="F4" t="str">
            <v>5kg</v>
          </cell>
          <cell r="G4" t="str">
            <v>1kg</v>
          </cell>
          <cell r="H4" t="str">
            <v>500g</v>
          </cell>
        </row>
        <row r="5">
          <cell r="E5">
            <v>91</v>
          </cell>
          <cell r="F5">
            <v>12</v>
          </cell>
          <cell r="G5">
            <v>103</v>
          </cell>
          <cell r="H5">
            <v>1</v>
          </cell>
        </row>
        <row r="6">
          <cell r="D6" t="str">
            <v>기장(친환경)</v>
          </cell>
          <cell r="G6">
            <v>5</v>
          </cell>
        </row>
        <row r="7">
          <cell r="D7" t="str">
            <v>발아현미(친환경)</v>
          </cell>
          <cell r="G7">
            <v>1</v>
          </cell>
        </row>
        <row r="8">
          <cell r="D8" t="str">
            <v>백미(친환경)</v>
          </cell>
          <cell r="E8">
            <v>15</v>
          </cell>
          <cell r="G8">
            <v>8</v>
          </cell>
        </row>
        <row r="9">
          <cell r="D9" t="str">
            <v>수수(친환경)</v>
          </cell>
          <cell r="G9">
            <v>2</v>
          </cell>
        </row>
        <row r="10">
          <cell r="D10" t="str">
            <v>찹쌀(친환경)</v>
          </cell>
          <cell r="G10">
            <v>13</v>
          </cell>
        </row>
        <row r="11">
          <cell r="D11" t="str">
            <v>흑미(친환경)</v>
          </cell>
          <cell r="G11">
            <v>1</v>
          </cell>
        </row>
        <row r="12">
          <cell r="D12" t="str">
            <v>혼합곡(친환경)</v>
          </cell>
          <cell r="G12">
            <v>2</v>
          </cell>
        </row>
        <row r="13">
          <cell r="D13" t="str">
            <v>귀리(친환경)</v>
          </cell>
          <cell r="G13">
            <v>2</v>
          </cell>
        </row>
        <row r="14">
          <cell r="D14" t="str">
            <v>기장(친환경)</v>
          </cell>
          <cell r="G14">
            <v>2</v>
          </cell>
        </row>
        <row r="15">
          <cell r="D15" t="str">
            <v>발아현미(친환경)</v>
          </cell>
          <cell r="G15">
            <v>4</v>
          </cell>
        </row>
        <row r="16">
          <cell r="D16" t="str">
            <v>백미(친환경)</v>
          </cell>
          <cell r="E16">
            <v>22</v>
          </cell>
          <cell r="G16">
            <v>3</v>
          </cell>
        </row>
        <row r="17">
          <cell r="D17" t="str">
            <v>찹쌀(친환경)</v>
          </cell>
          <cell r="G17">
            <v>22</v>
          </cell>
        </row>
        <row r="18">
          <cell r="D18" t="str">
            <v>찹쌀현미(친환경)</v>
          </cell>
          <cell r="G18">
            <v>2</v>
          </cell>
        </row>
        <row r="19">
          <cell r="D19" t="str">
            <v>혼합곡(친환경)</v>
          </cell>
          <cell r="G19">
            <v>2</v>
          </cell>
        </row>
        <row r="20">
          <cell r="D20" t="str">
            <v>기장(친환경)</v>
          </cell>
          <cell r="G20">
            <v>2</v>
          </cell>
        </row>
        <row r="21">
          <cell r="D21" t="str">
            <v>녹두(친환경)</v>
          </cell>
          <cell r="G21">
            <v>1</v>
          </cell>
        </row>
        <row r="22">
          <cell r="D22" t="str">
            <v>발아현미(친환경)</v>
          </cell>
          <cell r="G22">
            <v>4</v>
          </cell>
        </row>
        <row r="23">
          <cell r="D23" t="str">
            <v>백미(친환경)</v>
          </cell>
          <cell r="E23">
            <v>22</v>
          </cell>
          <cell r="F23">
            <v>6</v>
          </cell>
          <cell r="G23">
            <v>6</v>
          </cell>
        </row>
        <row r="24">
          <cell r="D24" t="str">
            <v>율무(친환경)</v>
          </cell>
          <cell r="G24">
            <v>2</v>
          </cell>
        </row>
        <row r="25">
          <cell r="D25" t="str">
            <v>차조(친환경)</v>
          </cell>
          <cell r="G25">
            <v>2</v>
          </cell>
        </row>
        <row r="26">
          <cell r="D26" t="str">
            <v>찹쌀(친환경)</v>
          </cell>
          <cell r="F26">
            <v>6</v>
          </cell>
          <cell r="G26">
            <v>2</v>
          </cell>
        </row>
        <row r="27">
          <cell r="D27" t="str">
            <v>흑미(친환경)</v>
          </cell>
          <cell r="G27">
            <v>1</v>
          </cell>
          <cell r="H27">
            <v>1</v>
          </cell>
        </row>
        <row r="28">
          <cell r="D28" t="str">
            <v>백미(친환경)</v>
          </cell>
          <cell r="E28">
            <v>8</v>
          </cell>
        </row>
        <row r="29">
          <cell r="D29" t="str">
            <v>백미(친환경)</v>
          </cell>
          <cell r="E29">
            <v>7</v>
          </cell>
          <cell r="G29">
            <v>6</v>
          </cell>
        </row>
        <row r="30">
          <cell r="D30" t="str">
            <v>백미(친환경)</v>
          </cell>
          <cell r="E30">
            <v>17</v>
          </cell>
          <cell r="G30">
            <v>8</v>
          </cell>
        </row>
      </sheetData>
      <sheetData sheetId="81">
        <row r="3">
          <cell r="D3" t="str">
            <v>품명</v>
          </cell>
          <cell r="E3" t="str">
            <v>수량</v>
          </cell>
        </row>
        <row r="4">
          <cell r="E4" t="str">
            <v>10kg</v>
          </cell>
          <cell r="F4" t="str">
            <v>5kg</v>
          </cell>
          <cell r="G4" t="str">
            <v>1kg</v>
          </cell>
          <cell r="H4" t="str">
            <v>500g</v>
          </cell>
        </row>
        <row r="5">
          <cell r="E5">
            <v>81</v>
          </cell>
          <cell r="F5">
            <v>7</v>
          </cell>
          <cell r="G5">
            <v>11</v>
          </cell>
          <cell r="H5">
            <v>0</v>
          </cell>
        </row>
        <row r="6">
          <cell r="D6" t="str">
            <v>백미(친환경)</v>
          </cell>
          <cell r="E6">
            <v>12</v>
          </cell>
          <cell r="F6">
            <v>2</v>
          </cell>
        </row>
        <row r="7">
          <cell r="D7" t="str">
            <v>백미(친환경)</v>
          </cell>
          <cell r="E7">
            <v>25</v>
          </cell>
          <cell r="F7">
            <v>5</v>
          </cell>
        </row>
        <row r="8">
          <cell r="D8" t="str">
            <v>기장(친환경)</v>
          </cell>
          <cell r="G8">
            <v>3</v>
          </cell>
        </row>
        <row r="9">
          <cell r="D9" t="str">
            <v>백미(친환경)</v>
          </cell>
          <cell r="E9">
            <v>29</v>
          </cell>
        </row>
        <row r="10">
          <cell r="D10" t="str">
            <v>발아현미(친환경)</v>
          </cell>
          <cell r="G10">
            <v>3</v>
          </cell>
        </row>
        <row r="11">
          <cell r="D11" t="str">
            <v>찹쌀(친환경)</v>
          </cell>
          <cell r="E11">
            <v>6</v>
          </cell>
        </row>
        <row r="12">
          <cell r="D12" t="str">
            <v>흑미(친환경)</v>
          </cell>
          <cell r="G12">
            <v>3</v>
          </cell>
        </row>
        <row r="13">
          <cell r="D13" t="str">
            <v>백미(친환경)</v>
          </cell>
          <cell r="E13">
            <v>9</v>
          </cell>
          <cell r="G13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학교별01.02"/>
      <sheetName val="공장동01.02"/>
      <sheetName val="학교별01.09"/>
      <sheetName val="공장동01.09"/>
      <sheetName val="학교별01.16"/>
      <sheetName val="공장동01.16"/>
      <sheetName val="학교별01.23"/>
      <sheetName val="공장동01.23"/>
      <sheetName val="학교별01.30"/>
      <sheetName val="공장동01.30"/>
      <sheetName val="학교별02.06"/>
      <sheetName val="공장동02.06"/>
      <sheetName val="학교별02.13"/>
      <sheetName val="공장동02.13"/>
      <sheetName val="학교별02.20"/>
      <sheetName val="공장동02.20"/>
      <sheetName val="학교별02.27"/>
      <sheetName val="공장동02.27"/>
      <sheetName val="학교별03.06"/>
      <sheetName val="공장동03.06"/>
      <sheetName val="학교별03.13"/>
      <sheetName val="공장동03.13"/>
      <sheetName val="학교별03.20"/>
      <sheetName val="공장동03.20"/>
      <sheetName val="학교별03.27"/>
      <sheetName val="공장동03.27"/>
      <sheetName val="학교별04.03"/>
      <sheetName val="공장동04.03"/>
      <sheetName val="학교별04.10"/>
      <sheetName val="공장동04.10"/>
      <sheetName val="학교별04.17"/>
      <sheetName val="공장동04.17"/>
      <sheetName val="학교별04.24"/>
      <sheetName val="공장동04.24"/>
      <sheetName val="학교별04.30"/>
      <sheetName val="공장동04.30"/>
      <sheetName val="학교별05.08"/>
      <sheetName val="공장동05.08"/>
      <sheetName val="학교별05.15"/>
      <sheetName val="공장동05.15"/>
      <sheetName val="학교별05.22"/>
      <sheetName val="공장동05.22"/>
      <sheetName val="학교별05.29"/>
      <sheetName val="공장동05.29"/>
      <sheetName val="학교별06.05"/>
      <sheetName val="공장동06.05"/>
      <sheetName val="학교별06.12"/>
      <sheetName val="공장동06.12"/>
      <sheetName val="학교별06.19"/>
      <sheetName val="공장동06.19"/>
      <sheetName val="학교별06.26"/>
      <sheetName val="공장동06.26"/>
      <sheetName val="학교별07.03"/>
      <sheetName val="공장동07.03"/>
      <sheetName val="학교별07.10"/>
      <sheetName val="공장동07.10"/>
      <sheetName val="학교별07.17"/>
      <sheetName val="공장동07.17"/>
      <sheetName val="학교별07.31"/>
      <sheetName val="공장동07.31"/>
      <sheetName val="학교별08.07"/>
      <sheetName val="공장동08.07"/>
      <sheetName val="학교별08.14"/>
      <sheetName val="공장동08.14"/>
      <sheetName val="학교별08.21"/>
      <sheetName val="공장동08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3">
          <cell r="H3">
            <v>0</v>
          </cell>
          <cell r="I3">
            <v>0</v>
          </cell>
          <cell r="J3">
            <v>3</v>
          </cell>
          <cell r="K3">
            <v>9</v>
          </cell>
          <cell r="L3">
            <v>3</v>
          </cell>
          <cell r="M3">
            <v>0</v>
          </cell>
          <cell r="N3">
            <v>3</v>
          </cell>
          <cell r="O3">
            <v>0</v>
          </cell>
          <cell r="P3">
            <v>6</v>
          </cell>
          <cell r="Q3">
            <v>0</v>
          </cell>
          <cell r="R3">
            <v>0</v>
          </cell>
          <cell r="S3">
            <v>0</v>
          </cell>
        </row>
        <row r="22">
          <cell r="C22">
            <v>66</v>
          </cell>
          <cell r="D22">
            <v>0</v>
          </cell>
          <cell r="E22">
            <v>5</v>
          </cell>
          <cell r="F22">
            <v>35</v>
          </cell>
        </row>
        <row r="43">
          <cell r="C43">
            <v>8</v>
          </cell>
          <cell r="D43">
            <v>0</v>
          </cell>
          <cell r="E43">
            <v>3</v>
          </cell>
          <cell r="F43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</row>
      </sheetData>
      <sheetData sheetId="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824D-AA0A-4B4A-B854-9C92E468E1A6}">
  <dimension ref="A1:J14"/>
  <sheetViews>
    <sheetView tabSelected="1" topLeftCell="A4" zoomScale="40" zoomScaleNormal="40" workbookViewId="0">
      <selection activeCell="B20" sqref="B20"/>
    </sheetView>
  </sheetViews>
  <sheetFormatPr defaultRowHeight="17.25" x14ac:dyDescent="0.3"/>
  <cols>
    <col min="1" max="1" width="34.88671875" customWidth="1"/>
    <col min="2" max="2" width="30.44140625" customWidth="1"/>
    <col min="3" max="8" width="29.21875" customWidth="1"/>
    <col min="9" max="9" width="23.21875" bestFit="1" customWidth="1"/>
    <col min="10" max="10" width="19.33203125" bestFit="1" customWidth="1"/>
  </cols>
  <sheetData>
    <row r="1" spans="1:10" ht="219.75" customHeight="1" x14ac:dyDescent="0.3">
      <c r="A1" s="97" t="s">
        <v>152</v>
      </c>
      <c r="B1" s="98"/>
      <c r="C1" s="70" t="s">
        <v>163</v>
      </c>
      <c r="D1" s="70" t="s">
        <v>164</v>
      </c>
      <c r="E1" s="70" t="s">
        <v>164</v>
      </c>
      <c r="F1" s="67" t="s">
        <v>165</v>
      </c>
      <c r="G1" s="70" t="s">
        <v>166</v>
      </c>
      <c r="H1" s="70" t="s">
        <v>167</v>
      </c>
      <c r="I1" s="71"/>
      <c r="J1" s="71"/>
    </row>
    <row r="2" spans="1:10" ht="92.25" customHeight="1" x14ac:dyDescent="0.3">
      <c r="A2" s="99" t="s">
        <v>145</v>
      </c>
      <c r="B2" s="100"/>
      <c r="C2" s="70" t="s">
        <v>162</v>
      </c>
      <c r="D2" s="70" t="s">
        <v>0</v>
      </c>
      <c r="E2" s="70" t="s">
        <v>0</v>
      </c>
      <c r="F2" s="67" t="s">
        <v>0</v>
      </c>
      <c r="G2" s="70" t="s">
        <v>1</v>
      </c>
      <c r="H2" s="70" t="s">
        <v>0</v>
      </c>
      <c r="I2" s="71"/>
      <c r="J2" s="71"/>
    </row>
    <row r="3" spans="1:10" ht="69.75" x14ac:dyDescent="0.3">
      <c r="A3" s="99" t="s">
        <v>150</v>
      </c>
      <c r="B3" s="100"/>
      <c r="C3" s="62" t="s">
        <v>4</v>
      </c>
      <c r="D3" s="62" t="s">
        <v>3</v>
      </c>
      <c r="E3" s="62" t="s">
        <v>153</v>
      </c>
      <c r="F3" s="72" t="s">
        <v>3</v>
      </c>
      <c r="G3" s="62" t="s">
        <v>5</v>
      </c>
      <c r="H3" s="62" t="s">
        <v>75</v>
      </c>
      <c r="I3" s="71"/>
      <c r="J3" s="71"/>
    </row>
    <row r="4" spans="1:10" ht="69.75" x14ac:dyDescent="0.3">
      <c r="A4" s="101" t="s">
        <v>31</v>
      </c>
      <c r="B4" s="102"/>
      <c r="C4" s="95">
        <f t="shared" ref="C4" si="0">SUM(C6:C8)</f>
        <v>10</v>
      </c>
      <c r="D4" s="95">
        <f t="shared" ref="D4:H4" si="1">SUM(D6:D8)</f>
        <v>0</v>
      </c>
      <c r="E4" s="95">
        <f t="shared" si="1"/>
        <v>240</v>
      </c>
      <c r="F4" s="95">
        <f t="shared" si="1"/>
        <v>64</v>
      </c>
      <c r="G4" s="95">
        <f t="shared" si="1"/>
        <v>60</v>
      </c>
      <c r="H4" s="95">
        <f t="shared" si="1"/>
        <v>0</v>
      </c>
      <c r="I4" s="73"/>
      <c r="J4" s="73"/>
    </row>
    <row r="5" spans="1:10" ht="69.75" x14ac:dyDescent="0.3">
      <c r="A5" s="86" t="s">
        <v>170</v>
      </c>
      <c r="B5" s="85" t="s">
        <v>171</v>
      </c>
      <c r="C5" s="96"/>
      <c r="D5" s="96"/>
      <c r="E5" s="96"/>
      <c r="F5" s="96"/>
      <c r="G5" s="96"/>
      <c r="H5" s="96"/>
      <c r="I5" s="73"/>
      <c r="J5" s="73"/>
    </row>
    <row r="6" spans="1:10" ht="96.75" customHeight="1" x14ac:dyDescent="0.3">
      <c r="A6" s="64" t="s">
        <v>172</v>
      </c>
      <c r="B6" s="64" t="s">
        <v>173</v>
      </c>
      <c r="C6" s="74"/>
      <c r="D6" s="75"/>
      <c r="E6" s="75">
        <v>112</v>
      </c>
      <c r="F6" s="75">
        <v>24</v>
      </c>
      <c r="G6" s="75">
        <v>20</v>
      </c>
      <c r="H6" s="75"/>
      <c r="I6" s="73"/>
      <c r="J6" s="73"/>
    </row>
    <row r="7" spans="1:10" ht="93.75" customHeight="1" x14ac:dyDescent="0.3">
      <c r="A7" s="64" t="s">
        <v>172</v>
      </c>
      <c r="B7" s="64" t="s">
        <v>174</v>
      </c>
      <c r="C7" s="74"/>
      <c r="D7" s="75"/>
      <c r="E7" s="75">
        <v>32</v>
      </c>
      <c r="F7" s="75">
        <v>24</v>
      </c>
      <c r="G7" s="75"/>
      <c r="H7" s="75"/>
      <c r="I7" s="73"/>
      <c r="J7" s="73"/>
    </row>
    <row r="8" spans="1:10" ht="95.25" customHeight="1" x14ac:dyDescent="0.3">
      <c r="A8" s="64" t="s">
        <v>172</v>
      </c>
      <c r="B8" s="64" t="s">
        <v>175</v>
      </c>
      <c r="C8" s="74">
        <v>10</v>
      </c>
      <c r="D8" s="75"/>
      <c r="E8" s="75">
        <v>96</v>
      </c>
      <c r="F8" s="75">
        <v>16</v>
      </c>
      <c r="G8" s="75">
        <v>40</v>
      </c>
      <c r="H8" s="75"/>
      <c r="I8" s="76"/>
      <c r="J8" s="76"/>
    </row>
    <row r="9" spans="1:10" ht="69.75" x14ac:dyDescent="0.3">
      <c r="A9" s="77"/>
      <c r="B9" s="77"/>
      <c r="C9" s="78"/>
      <c r="D9" s="78"/>
      <c r="E9" s="78"/>
      <c r="F9" s="78"/>
      <c r="G9" s="78"/>
      <c r="H9" s="78"/>
      <c r="I9" s="79"/>
      <c r="J9" s="79"/>
    </row>
    <row r="10" spans="1:10" ht="69.75" x14ac:dyDescent="0.3">
      <c r="A10" s="80"/>
      <c r="B10" s="80"/>
      <c r="C10" s="77"/>
      <c r="D10" s="77"/>
      <c r="E10" s="77"/>
      <c r="F10" s="77"/>
      <c r="G10" s="77"/>
      <c r="H10" s="77"/>
      <c r="I10" s="71"/>
      <c r="J10" s="71"/>
    </row>
    <row r="11" spans="1:10" ht="69.75" x14ac:dyDescent="0.3">
      <c r="A11" s="151"/>
      <c r="B11" s="152"/>
      <c r="C11" s="81" t="s">
        <v>154</v>
      </c>
      <c r="D11" s="81" t="s">
        <v>155</v>
      </c>
      <c r="E11" s="81" t="s">
        <v>156</v>
      </c>
      <c r="F11" s="81" t="s">
        <v>157</v>
      </c>
      <c r="G11" s="82" t="s">
        <v>158</v>
      </c>
      <c r="H11" s="81" t="s">
        <v>159</v>
      </c>
      <c r="I11" s="71"/>
      <c r="J11" s="71"/>
    </row>
    <row r="12" spans="1:10" ht="60.75" customHeight="1" x14ac:dyDescent="0.3">
      <c r="A12" s="153" t="s">
        <v>182</v>
      </c>
      <c r="B12" s="154"/>
      <c r="C12" s="83"/>
      <c r="D12" s="83"/>
      <c r="E12" s="83">
        <f>E6/16</f>
        <v>7</v>
      </c>
      <c r="F12" s="83">
        <f>F6/4</f>
        <v>6</v>
      </c>
      <c r="G12" s="83">
        <f>G6/20</f>
        <v>1</v>
      </c>
      <c r="H12" s="83" t="s">
        <v>160</v>
      </c>
      <c r="I12" s="84">
        <f>SUM(C12:H12)</f>
        <v>14</v>
      </c>
      <c r="J12" s="84" t="s">
        <v>161</v>
      </c>
    </row>
    <row r="13" spans="1:10" ht="60" customHeight="1" x14ac:dyDescent="0.3">
      <c r="A13" s="153" t="s">
        <v>183</v>
      </c>
      <c r="B13" s="154"/>
      <c r="C13" s="83"/>
      <c r="D13" s="83"/>
      <c r="E13" s="83">
        <f>E7/16</f>
        <v>2</v>
      </c>
      <c r="F13" s="83">
        <f>F7/4</f>
        <v>6</v>
      </c>
      <c r="G13" s="83"/>
      <c r="H13" s="83"/>
      <c r="I13" s="84">
        <f t="shared" ref="I13:I14" si="2">SUM(C13:H13)</f>
        <v>8</v>
      </c>
      <c r="J13" s="84"/>
    </row>
    <row r="14" spans="1:10" ht="54" x14ac:dyDescent="0.3">
      <c r="A14" s="153" t="s">
        <v>184</v>
      </c>
      <c r="B14" s="154"/>
      <c r="C14" s="83">
        <f>C8/10</f>
        <v>1</v>
      </c>
      <c r="D14" s="83"/>
      <c r="E14" s="83">
        <f>E8/16</f>
        <v>6</v>
      </c>
      <c r="F14" s="83">
        <f>F8/4</f>
        <v>4</v>
      </c>
      <c r="G14" s="83">
        <f t="shared" ref="G14" si="3">G8/20</f>
        <v>2</v>
      </c>
      <c r="H14" s="83"/>
      <c r="I14" s="84">
        <f t="shared" si="2"/>
        <v>13</v>
      </c>
      <c r="J14" s="84" t="s">
        <v>161</v>
      </c>
    </row>
  </sheetData>
  <mergeCells count="14">
    <mergeCell ref="A11:B11"/>
    <mergeCell ref="A12:B12"/>
    <mergeCell ref="A13:B13"/>
    <mergeCell ref="A14:B14"/>
    <mergeCell ref="A1:B1"/>
    <mergeCell ref="A2:B2"/>
    <mergeCell ref="A3:B3"/>
    <mergeCell ref="A4:B4"/>
    <mergeCell ref="C4:C5"/>
    <mergeCell ref="D4:D5"/>
    <mergeCell ref="E4:E5"/>
    <mergeCell ref="F4:F5"/>
    <mergeCell ref="G4:G5"/>
    <mergeCell ref="H4:H5"/>
  </mergeCells>
  <phoneticPr fontId="2" type="noConversion"/>
  <conditionalFormatting sqref="B6">
    <cfRule type="duplicateValues" dxfId="12" priority="16"/>
  </conditionalFormatting>
  <conditionalFormatting sqref="B7">
    <cfRule type="duplicateValues" dxfId="11" priority="17"/>
  </conditionalFormatting>
  <conditionalFormatting sqref="B8">
    <cfRule type="duplicateValues" dxfId="10" priority="14"/>
  </conditionalFormatting>
  <conditionalFormatting sqref="A6">
    <cfRule type="duplicateValues" dxfId="9" priority="10"/>
  </conditionalFormatting>
  <conditionalFormatting sqref="A7">
    <cfRule type="duplicateValues" dxfId="8" priority="11"/>
  </conditionalFormatting>
  <conditionalFormatting sqref="A8">
    <cfRule type="duplicateValues" dxfId="7" priority="8"/>
  </conditionalFormatting>
  <conditionalFormatting sqref="A12">
    <cfRule type="duplicateValues" dxfId="3" priority="2"/>
  </conditionalFormatting>
  <conditionalFormatting sqref="A13">
    <cfRule type="duplicateValues" dxfId="2" priority="3"/>
  </conditionalFormatting>
  <conditionalFormatting sqref="A14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9CBD-44BB-4627-8E5F-6EEB59E51280}">
  <dimension ref="A1:AA74"/>
  <sheetViews>
    <sheetView zoomScale="55" zoomScaleNormal="55" workbookViewId="0">
      <selection activeCell="B30" sqref="B30"/>
    </sheetView>
  </sheetViews>
  <sheetFormatPr defaultRowHeight="17.25" x14ac:dyDescent="0.3"/>
  <cols>
    <col min="1" max="1" width="25.5546875" bestFit="1" customWidth="1"/>
    <col min="2" max="2" width="26.77734375" bestFit="1" customWidth="1"/>
    <col min="3" max="3" width="12.44140625" customWidth="1"/>
    <col min="16" max="16" width="13.33203125" customWidth="1"/>
    <col min="17" max="17" width="17.21875" customWidth="1"/>
    <col min="18" max="18" width="14.109375" customWidth="1"/>
    <col min="19" max="19" width="11.88671875" customWidth="1"/>
    <col min="20" max="20" width="13.33203125" customWidth="1"/>
    <col min="21" max="21" width="15.33203125" customWidth="1"/>
    <col min="22" max="22" width="11.109375" customWidth="1"/>
    <col min="23" max="23" width="12.33203125" customWidth="1"/>
    <col min="24" max="24" width="12.77734375" customWidth="1"/>
    <col min="25" max="25" width="15.109375" customWidth="1"/>
    <col min="26" max="26" width="11.33203125" customWidth="1"/>
    <col min="27" max="27" width="11.88671875" customWidth="1"/>
  </cols>
  <sheetData>
    <row r="1" spans="1:27" ht="105" x14ac:dyDescent="0.3">
      <c r="A1" s="115" t="s">
        <v>57</v>
      </c>
      <c r="B1" s="115"/>
      <c r="C1" s="54" t="s">
        <v>58</v>
      </c>
      <c r="D1" s="108" t="s">
        <v>59</v>
      </c>
      <c r="E1" s="109"/>
      <c r="F1" s="109"/>
      <c r="G1" s="110"/>
      <c r="H1" s="111" t="s">
        <v>60</v>
      </c>
      <c r="I1" s="112"/>
      <c r="J1" s="112"/>
      <c r="K1" s="112"/>
      <c r="L1" s="112"/>
      <c r="M1" s="108" t="s">
        <v>61</v>
      </c>
      <c r="N1" s="109"/>
      <c r="O1" s="110"/>
      <c r="P1" s="54" t="s">
        <v>62</v>
      </c>
      <c r="Q1" s="55" t="s">
        <v>63</v>
      </c>
      <c r="R1" s="54" t="s">
        <v>64</v>
      </c>
      <c r="S1" s="55" t="s">
        <v>65</v>
      </c>
      <c r="T1" s="54" t="s">
        <v>37</v>
      </c>
      <c r="U1" s="55" t="s">
        <v>66</v>
      </c>
      <c r="V1" s="54" t="s">
        <v>41</v>
      </c>
      <c r="W1" s="55" t="s">
        <v>43</v>
      </c>
      <c r="X1" s="54" t="s">
        <v>39</v>
      </c>
      <c r="Y1" s="55" t="s">
        <v>67</v>
      </c>
      <c r="Z1" s="54" t="s">
        <v>68</v>
      </c>
      <c r="AA1" s="55" t="s">
        <v>69</v>
      </c>
    </row>
    <row r="2" spans="1:27" ht="52.5" x14ac:dyDescent="0.3">
      <c r="A2" s="116" t="s">
        <v>145</v>
      </c>
      <c r="B2" s="116"/>
      <c r="C2" s="54"/>
      <c r="D2" s="87"/>
      <c r="E2" s="87" t="s">
        <v>70</v>
      </c>
      <c r="F2" s="87"/>
      <c r="G2" s="87"/>
      <c r="H2" s="113" t="s">
        <v>71</v>
      </c>
      <c r="I2" s="114"/>
      <c r="J2" s="88"/>
      <c r="K2" s="89"/>
      <c r="L2" s="89"/>
      <c r="M2" s="87"/>
      <c r="N2" s="87"/>
      <c r="O2" s="87" t="s">
        <v>70</v>
      </c>
      <c r="P2" s="54"/>
      <c r="Q2" s="87"/>
      <c r="R2" s="54"/>
      <c r="S2" s="87"/>
      <c r="T2" s="54"/>
      <c r="U2" s="87"/>
      <c r="V2" s="54"/>
      <c r="W2" s="87"/>
      <c r="X2" s="54"/>
      <c r="Y2" s="87"/>
      <c r="Z2" s="54"/>
      <c r="AA2" s="87"/>
    </row>
    <row r="3" spans="1:27" ht="39" customHeight="1" x14ac:dyDescent="0.3">
      <c r="A3" s="105" t="s">
        <v>72</v>
      </c>
      <c r="B3" s="105"/>
      <c r="C3" s="56" t="s">
        <v>73</v>
      </c>
      <c r="D3" s="57" t="s">
        <v>74</v>
      </c>
      <c r="E3" s="57" t="s">
        <v>75</v>
      </c>
      <c r="F3" s="57" t="s">
        <v>73</v>
      </c>
      <c r="G3" s="57" t="s">
        <v>76</v>
      </c>
      <c r="H3" s="56" t="s">
        <v>77</v>
      </c>
      <c r="I3" s="56" t="s">
        <v>73</v>
      </c>
      <c r="J3" s="56" t="s">
        <v>75</v>
      </c>
      <c r="K3" s="56" t="s">
        <v>73</v>
      </c>
      <c r="L3" s="56" t="s">
        <v>76</v>
      </c>
      <c r="M3" s="57" t="s">
        <v>74</v>
      </c>
      <c r="N3" s="57" t="s">
        <v>77</v>
      </c>
      <c r="O3" s="57" t="s">
        <v>75</v>
      </c>
      <c r="P3" s="56" t="s">
        <v>78</v>
      </c>
      <c r="Q3" s="57" t="s">
        <v>78</v>
      </c>
      <c r="R3" s="56" t="s">
        <v>78</v>
      </c>
      <c r="S3" s="57" t="s">
        <v>74</v>
      </c>
      <c r="T3" s="56" t="s">
        <v>74</v>
      </c>
      <c r="U3" s="57" t="s">
        <v>74</v>
      </c>
      <c r="V3" s="56" t="s">
        <v>74</v>
      </c>
      <c r="W3" s="57" t="s">
        <v>74</v>
      </c>
      <c r="X3" s="56" t="s">
        <v>74</v>
      </c>
      <c r="Y3" s="57" t="s">
        <v>79</v>
      </c>
      <c r="Z3" s="56" t="s">
        <v>76</v>
      </c>
      <c r="AA3" s="57" t="s">
        <v>74</v>
      </c>
    </row>
    <row r="4" spans="1:27" ht="33.75" customHeight="1" x14ac:dyDescent="0.3">
      <c r="A4" s="106" t="s">
        <v>31</v>
      </c>
      <c r="B4" s="107"/>
      <c r="C4" s="103">
        <f t="shared" ref="C4" si="0">SUM(C6:C74)</f>
        <v>1</v>
      </c>
      <c r="D4" s="103">
        <f t="shared" ref="D4:K4" si="1">SUM(D6:D74)</f>
        <v>40</v>
      </c>
      <c r="E4" s="103">
        <f t="shared" si="1"/>
        <v>18</v>
      </c>
      <c r="F4" s="103">
        <f t="shared" si="1"/>
        <v>32</v>
      </c>
      <c r="G4" s="103">
        <f t="shared" si="1"/>
        <v>13</v>
      </c>
      <c r="H4" s="103">
        <f t="shared" si="1"/>
        <v>18</v>
      </c>
      <c r="I4" s="103">
        <f t="shared" si="1"/>
        <v>16</v>
      </c>
      <c r="J4" s="103">
        <f t="shared" si="1"/>
        <v>3</v>
      </c>
      <c r="K4" s="103">
        <f t="shared" si="1"/>
        <v>2</v>
      </c>
      <c r="L4" s="103">
        <f t="shared" ref="L4:AA4" si="2">SUM(L6:L74)</f>
        <v>23</v>
      </c>
      <c r="M4" s="103">
        <f t="shared" si="2"/>
        <v>4</v>
      </c>
      <c r="N4" s="103">
        <f t="shared" si="2"/>
        <v>5</v>
      </c>
      <c r="O4" s="103">
        <f t="shared" si="2"/>
        <v>8</v>
      </c>
      <c r="P4" s="103">
        <f t="shared" si="2"/>
        <v>1</v>
      </c>
      <c r="Q4" s="103">
        <f t="shared" si="2"/>
        <v>1</v>
      </c>
      <c r="R4" s="103">
        <f t="shared" si="2"/>
        <v>4</v>
      </c>
      <c r="S4" s="103">
        <f t="shared" si="2"/>
        <v>5</v>
      </c>
      <c r="T4" s="103">
        <f t="shared" si="2"/>
        <v>6</v>
      </c>
      <c r="U4" s="103">
        <f t="shared" si="2"/>
        <v>1</v>
      </c>
      <c r="V4" s="103">
        <f t="shared" si="2"/>
        <v>2</v>
      </c>
      <c r="W4" s="103">
        <f t="shared" si="2"/>
        <v>2</v>
      </c>
      <c r="X4" s="103">
        <f t="shared" si="2"/>
        <v>1</v>
      </c>
      <c r="Y4" s="103">
        <f t="shared" si="2"/>
        <v>1</v>
      </c>
      <c r="Z4" s="103">
        <f t="shared" si="2"/>
        <v>1</v>
      </c>
      <c r="AA4" s="103">
        <f t="shared" si="2"/>
        <v>20</v>
      </c>
    </row>
    <row r="5" spans="1:27" ht="24.75" customHeight="1" x14ac:dyDescent="0.3">
      <c r="A5" s="90" t="s">
        <v>168</v>
      </c>
      <c r="B5" s="90" t="s">
        <v>169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</row>
    <row r="6" spans="1:27" ht="26.25" x14ac:dyDescent="0.45">
      <c r="A6" s="58" t="s">
        <v>176</v>
      </c>
      <c r="B6" s="91" t="s">
        <v>80</v>
      </c>
      <c r="C6" s="92"/>
      <c r="D6" s="58"/>
      <c r="E6" s="58">
        <v>6</v>
      </c>
      <c r="F6" s="58"/>
      <c r="G6" s="58"/>
      <c r="H6" s="93"/>
      <c r="I6" s="93"/>
      <c r="J6" s="93"/>
      <c r="K6" s="93"/>
      <c r="L6" s="93"/>
      <c r="M6" s="58"/>
      <c r="N6" s="58"/>
      <c r="O6" s="58"/>
      <c r="P6" s="92"/>
      <c r="Q6" s="58"/>
      <c r="R6" s="92"/>
      <c r="S6" s="58"/>
      <c r="T6" s="92"/>
      <c r="U6" s="58"/>
      <c r="V6" s="92"/>
      <c r="W6" s="58"/>
      <c r="X6" s="92"/>
      <c r="Y6" s="58"/>
      <c r="Z6" s="92"/>
      <c r="AA6" s="58"/>
    </row>
    <row r="7" spans="1:27" ht="26.25" x14ac:dyDescent="0.45">
      <c r="A7" s="58" t="s">
        <v>176</v>
      </c>
      <c r="B7" s="58" t="s">
        <v>81</v>
      </c>
      <c r="C7" s="92"/>
      <c r="D7" s="58"/>
      <c r="E7" s="58">
        <v>4</v>
      </c>
      <c r="F7" s="58"/>
      <c r="G7" s="58"/>
      <c r="H7" s="93"/>
      <c r="I7" s="93"/>
      <c r="J7" s="93"/>
      <c r="K7" s="93"/>
      <c r="L7" s="93"/>
      <c r="M7" s="58"/>
      <c r="N7" s="58"/>
      <c r="O7" s="58"/>
      <c r="P7" s="92"/>
      <c r="Q7" s="58"/>
      <c r="R7" s="92"/>
      <c r="S7" s="58"/>
      <c r="T7" s="92"/>
      <c r="U7" s="58"/>
      <c r="V7" s="92"/>
      <c r="W7" s="58"/>
      <c r="X7" s="92"/>
      <c r="Y7" s="58"/>
      <c r="Z7" s="92"/>
      <c r="AA7" s="58"/>
    </row>
    <row r="8" spans="1:27" ht="26.25" x14ac:dyDescent="0.45">
      <c r="A8" s="58" t="s">
        <v>176</v>
      </c>
      <c r="B8" s="58" t="s">
        <v>82</v>
      </c>
      <c r="C8" s="92"/>
      <c r="D8" s="58"/>
      <c r="E8" s="58">
        <v>3</v>
      </c>
      <c r="F8" s="58"/>
      <c r="G8" s="58"/>
      <c r="H8" s="93"/>
      <c r="I8" s="93"/>
      <c r="J8" s="93"/>
      <c r="K8" s="93"/>
      <c r="L8" s="93"/>
      <c r="M8" s="58"/>
      <c r="N8" s="58"/>
      <c r="O8" s="58"/>
      <c r="P8" s="92"/>
      <c r="Q8" s="58"/>
      <c r="R8" s="92"/>
      <c r="S8" s="58"/>
      <c r="T8" s="92"/>
      <c r="U8" s="58"/>
      <c r="V8" s="92"/>
      <c r="W8" s="58"/>
      <c r="X8" s="92"/>
      <c r="Y8" s="58"/>
      <c r="Z8" s="92"/>
      <c r="AA8" s="58"/>
    </row>
    <row r="9" spans="1:27" ht="26.25" x14ac:dyDescent="0.45">
      <c r="A9" s="58" t="s">
        <v>176</v>
      </c>
      <c r="B9" s="58" t="s">
        <v>83</v>
      </c>
      <c r="C9" s="92"/>
      <c r="D9" s="58"/>
      <c r="E9" s="58">
        <v>1</v>
      </c>
      <c r="F9" s="58"/>
      <c r="G9" s="58"/>
      <c r="H9" s="93"/>
      <c r="I9" s="93"/>
      <c r="J9" s="93"/>
      <c r="K9" s="93"/>
      <c r="L9" s="93"/>
      <c r="M9" s="58"/>
      <c r="N9" s="58"/>
      <c r="O9" s="58"/>
      <c r="P9" s="92"/>
      <c r="Q9" s="58"/>
      <c r="R9" s="92"/>
      <c r="S9" s="58"/>
      <c r="T9" s="92"/>
      <c r="U9" s="58"/>
      <c r="V9" s="92"/>
      <c r="W9" s="58"/>
      <c r="X9" s="92"/>
      <c r="Y9" s="58"/>
      <c r="Z9" s="92"/>
      <c r="AA9" s="58"/>
    </row>
    <row r="10" spans="1:27" ht="26.25" x14ac:dyDescent="0.45">
      <c r="A10" s="58" t="s">
        <v>176</v>
      </c>
      <c r="B10" s="58" t="s">
        <v>84</v>
      </c>
      <c r="C10" s="92"/>
      <c r="D10" s="58"/>
      <c r="E10" s="58">
        <v>1</v>
      </c>
      <c r="F10" s="58"/>
      <c r="G10" s="58"/>
      <c r="H10" s="93"/>
      <c r="I10" s="93"/>
      <c r="J10" s="93"/>
      <c r="K10" s="93"/>
      <c r="L10" s="93"/>
      <c r="M10" s="58"/>
      <c r="N10" s="58"/>
      <c r="O10" s="58"/>
      <c r="P10" s="92"/>
      <c r="Q10" s="58"/>
      <c r="R10" s="92"/>
      <c r="S10" s="58"/>
      <c r="T10" s="92"/>
      <c r="U10" s="58"/>
      <c r="V10" s="92"/>
      <c r="W10" s="58"/>
      <c r="X10" s="92"/>
      <c r="Y10" s="58"/>
      <c r="Z10" s="92"/>
      <c r="AA10" s="58"/>
    </row>
    <row r="11" spans="1:27" ht="26.25" x14ac:dyDescent="0.45">
      <c r="A11" s="58" t="s">
        <v>176</v>
      </c>
      <c r="B11" s="58" t="s">
        <v>85</v>
      </c>
      <c r="C11" s="92"/>
      <c r="D11" s="58"/>
      <c r="E11" s="58">
        <v>1</v>
      </c>
      <c r="F11" s="58"/>
      <c r="G11" s="58"/>
      <c r="H11" s="93"/>
      <c r="I11" s="93"/>
      <c r="J11" s="93"/>
      <c r="K11" s="93"/>
      <c r="L11" s="93"/>
      <c r="M11" s="58"/>
      <c r="N11" s="58"/>
      <c r="O11" s="58"/>
      <c r="P11" s="92"/>
      <c r="Q11" s="58"/>
      <c r="R11" s="92"/>
      <c r="S11" s="58"/>
      <c r="T11" s="92"/>
      <c r="U11" s="58"/>
      <c r="V11" s="92"/>
      <c r="W11" s="58"/>
      <c r="X11" s="92"/>
      <c r="Y11" s="58"/>
      <c r="Z11" s="92"/>
      <c r="AA11" s="58"/>
    </row>
    <row r="12" spans="1:27" ht="26.25" x14ac:dyDescent="0.45">
      <c r="A12" s="58" t="s">
        <v>176</v>
      </c>
      <c r="B12" s="58" t="s">
        <v>86</v>
      </c>
      <c r="C12" s="92"/>
      <c r="D12" s="58"/>
      <c r="E12" s="58">
        <v>1</v>
      </c>
      <c r="F12" s="58"/>
      <c r="G12" s="58"/>
      <c r="H12" s="93"/>
      <c r="I12" s="93"/>
      <c r="J12" s="93"/>
      <c r="K12" s="93"/>
      <c r="L12" s="93"/>
      <c r="M12" s="58"/>
      <c r="N12" s="58"/>
      <c r="O12" s="58"/>
      <c r="P12" s="92"/>
      <c r="Q12" s="58"/>
      <c r="R12" s="92"/>
      <c r="S12" s="58"/>
      <c r="T12" s="92"/>
      <c r="U12" s="58"/>
      <c r="V12" s="92"/>
      <c r="W12" s="58"/>
      <c r="X12" s="92"/>
      <c r="Y12" s="58"/>
      <c r="Z12" s="92"/>
      <c r="AA12" s="58"/>
    </row>
    <row r="13" spans="1:27" ht="26.25" x14ac:dyDescent="0.45">
      <c r="A13" s="58" t="s">
        <v>176</v>
      </c>
      <c r="B13" s="58" t="s">
        <v>87</v>
      </c>
      <c r="C13" s="92"/>
      <c r="D13" s="58"/>
      <c r="E13" s="58">
        <v>1</v>
      </c>
      <c r="F13" s="58"/>
      <c r="G13" s="58"/>
      <c r="H13" s="93"/>
      <c r="I13" s="93"/>
      <c r="J13" s="93"/>
      <c r="K13" s="93"/>
      <c r="L13" s="93"/>
      <c r="M13" s="58"/>
      <c r="N13" s="58"/>
      <c r="O13" s="58"/>
      <c r="P13" s="92"/>
      <c r="Q13" s="58"/>
      <c r="R13" s="92"/>
      <c r="S13" s="58"/>
      <c r="T13" s="92"/>
      <c r="U13" s="58"/>
      <c r="V13" s="92"/>
      <c r="W13" s="58"/>
      <c r="X13" s="92"/>
      <c r="Y13" s="58"/>
      <c r="Z13" s="92"/>
      <c r="AA13" s="58"/>
    </row>
    <row r="14" spans="1:27" ht="26.25" x14ac:dyDescent="0.45">
      <c r="A14" s="58" t="s">
        <v>176</v>
      </c>
      <c r="B14" s="58" t="s">
        <v>88</v>
      </c>
      <c r="C14" s="92"/>
      <c r="D14" s="58"/>
      <c r="E14" s="58"/>
      <c r="F14" s="58"/>
      <c r="G14" s="58"/>
      <c r="H14" s="93"/>
      <c r="I14" s="93"/>
      <c r="J14" s="93"/>
      <c r="K14" s="93"/>
      <c r="L14" s="93"/>
      <c r="M14" s="58"/>
      <c r="N14" s="58"/>
      <c r="O14" s="58">
        <v>8</v>
      </c>
      <c r="P14" s="92"/>
      <c r="Q14" s="58"/>
      <c r="R14" s="92"/>
      <c r="S14" s="58"/>
      <c r="T14" s="92"/>
      <c r="U14" s="58"/>
      <c r="V14" s="92"/>
      <c r="W14" s="58"/>
      <c r="X14" s="92"/>
      <c r="Y14" s="58"/>
      <c r="Z14" s="92"/>
      <c r="AA14" s="58"/>
    </row>
    <row r="15" spans="1:27" ht="26.25" x14ac:dyDescent="0.45">
      <c r="A15" s="58" t="s">
        <v>177</v>
      </c>
      <c r="B15" s="58" t="s">
        <v>89</v>
      </c>
      <c r="C15" s="92"/>
      <c r="D15" s="58"/>
      <c r="E15" s="58"/>
      <c r="F15" s="58"/>
      <c r="G15" s="58"/>
      <c r="H15" s="93"/>
      <c r="I15" s="93"/>
      <c r="J15" s="93"/>
      <c r="K15" s="93"/>
      <c r="L15" s="93">
        <v>1</v>
      </c>
      <c r="M15" s="58"/>
      <c r="N15" s="58"/>
      <c r="O15" s="58"/>
      <c r="P15" s="92"/>
      <c r="Q15" s="58"/>
      <c r="R15" s="92"/>
      <c r="S15" s="58"/>
      <c r="T15" s="92"/>
      <c r="U15" s="58"/>
      <c r="V15" s="92"/>
      <c r="W15" s="58"/>
      <c r="X15" s="92"/>
      <c r="Y15" s="58"/>
      <c r="Z15" s="92"/>
      <c r="AA15" s="58"/>
    </row>
    <row r="16" spans="1:27" ht="26.25" x14ac:dyDescent="0.45">
      <c r="A16" s="58" t="s">
        <v>177</v>
      </c>
      <c r="B16" s="58" t="s">
        <v>90</v>
      </c>
      <c r="C16" s="92"/>
      <c r="D16" s="58"/>
      <c r="E16" s="58"/>
      <c r="F16" s="58"/>
      <c r="G16" s="58">
        <v>1</v>
      </c>
      <c r="H16" s="93"/>
      <c r="I16" s="93"/>
      <c r="J16" s="93"/>
      <c r="K16" s="93"/>
      <c r="L16" s="93"/>
      <c r="M16" s="58"/>
      <c r="N16" s="58"/>
      <c r="O16" s="58"/>
      <c r="P16" s="92"/>
      <c r="Q16" s="58"/>
      <c r="R16" s="92"/>
      <c r="S16" s="58"/>
      <c r="T16" s="92"/>
      <c r="U16" s="58"/>
      <c r="V16" s="92"/>
      <c r="W16" s="58"/>
      <c r="X16" s="92"/>
      <c r="Y16" s="58"/>
      <c r="Z16" s="92"/>
      <c r="AA16" s="58"/>
    </row>
    <row r="17" spans="1:27" ht="26.25" x14ac:dyDescent="0.45">
      <c r="A17" s="58" t="s">
        <v>177</v>
      </c>
      <c r="B17" s="58" t="s">
        <v>91</v>
      </c>
      <c r="C17" s="92"/>
      <c r="D17" s="58"/>
      <c r="E17" s="58"/>
      <c r="F17" s="58"/>
      <c r="G17" s="58">
        <v>1</v>
      </c>
      <c r="H17" s="93"/>
      <c r="I17" s="93"/>
      <c r="J17" s="93"/>
      <c r="K17" s="93"/>
      <c r="L17" s="93"/>
      <c r="M17" s="58"/>
      <c r="N17" s="58"/>
      <c r="O17" s="58"/>
      <c r="P17" s="92"/>
      <c r="Q17" s="58"/>
      <c r="R17" s="92"/>
      <c r="S17" s="58"/>
      <c r="T17" s="92"/>
      <c r="U17" s="58"/>
      <c r="V17" s="92"/>
      <c r="W17" s="58"/>
      <c r="X17" s="92"/>
      <c r="Y17" s="58"/>
      <c r="Z17" s="92"/>
      <c r="AA17" s="58"/>
    </row>
    <row r="18" spans="1:27" ht="26.25" x14ac:dyDescent="0.45">
      <c r="A18" s="58" t="s">
        <v>177</v>
      </c>
      <c r="B18" s="58" t="s">
        <v>92</v>
      </c>
      <c r="C18" s="92"/>
      <c r="D18" s="58"/>
      <c r="E18" s="58"/>
      <c r="F18" s="58"/>
      <c r="G18" s="58"/>
      <c r="H18" s="93"/>
      <c r="I18" s="93"/>
      <c r="J18" s="93"/>
      <c r="K18" s="93"/>
      <c r="L18" s="93"/>
      <c r="M18" s="58"/>
      <c r="N18" s="58"/>
      <c r="O18" s="58"/>
      <c r="P18" s="92"/>
      <c r="Q18" s="58"/>
      <c r="R18" s="92"/>
      <c r="S18" s="58"/>
      <c r="T18" s="92"/>
      <c r="U18" s="58"/>
      <c r="V18" s="92"/>
      <c r="W18" s="58"/>
      <c r="X18" s="92"/>
      <c r="Y18" s="58"/>
      <c r="Z18" s="92"/>
      <c r="AA18" s="58">
        <v>2</v>
      </c>
    </row>
    <row r="19" spans="1:27" ht="26.25" x14ac:dyDescent="0.45">
      <c r="A19" s="58" t="s">
        <v>177</v>
      </c>
      <c r="B19" s="58" t="s">
        <v>93</v>
      </c>
      <c r="C19" s="92"/>
      <c r="D19" s="58"/>
      <c r="E19" s="58"/>
      <c r="F19" s="58"/>
      <c r="G19" s="58"/>
      <c r="H19" s="93"/>
      <c r="I19" s="93"/>
      <c r="J19" s="93"/>
      <c r="K19" s="93"/>
      <c r="L19" s="93">
        <v>1</v>
      </c>
      <c r="M19" s="58"/>
      <c r="N19" s="58"/>
      <c r="O19" s="58"/>
      <c r="P19" s="92"/>
      <c r="Q19" s="58"/>
      <c r="R19" s="92"/>
      <c r="S19" s="58"/>
      <c r="T19" s="92"/>
      <c r="U19" s="58"/>
      <c r="V19" s="92"/>
      <c r="W19" s="58"/>
      <c r="X19" s="92"/>
      <c r="Y19" s="58"/>
      <c r="Z19" s="92"/>
      <c r="AA19" s="58"/>
    </row>
    <row r="20" spans="1:27" ht="26.25" x14ac:dyDescent="0.45">
      <c r="A20" s="58" t="s">
        <v>178</v>
      </c>
      <c r="B20" s="58" t="s">
        <v>94</v>
      </c>
      <c r="C20" s="92"/>
      <c r="D20" s="58"/>
      <c r="E20" s="58"/>
      <c r="F20" s="58">
        <v>8</v>
      </c>
      <c r="G20" s="58"/>
      <c r="H20" s="93"/>
      <c r="I20" s="93"/>
      <c r="J20" s="93"/>
      <c r="K20" s="93"/>
      <c r="L20" s="93"/>
      <c r="M20" s="58"/>
      <c r="N20" s="58"/>
      <c r="O20" s="58"/>
      <c r="P20" s="92"/>
      <c r="Q20" s="58"/>
      <c r="R20" s="92"/>
      <c r="S20" s="58"/>
      <c r="T20" s="92"/>
      <c r="U20" s="58"/>
      <c r="V20" s="92"/>
      <c r="W20" s="58"/>
      <c r="X20" s="92"/>
      <c r="Y20" s="58"/>
      <c r="Z20" s="92"/>
      <c r="AA20" s="58"/>
    </row>
    <row r="21" spans="1:27" ht="26.25" x14ac:dyDescent="0.45">
      <c r="A21" s="58" t="s">
        <v>178</v>
      </c>
      <c r="B21" s="58" t="s">
        <v>95</v>
      </c>
      <c r="C21" s="92"/>
      <c r="D21" s="58"/>
      <c r="E21" s="58"/>
      <c r="F21" s="58">
        <v>4</v>
      </c>
      <c r="G21" s="58"/>
      <c r="H21" s="93"/>
      <c r="I21" s="93"/>
      <c r="J21" s="93"/>
      <c r="K21" s="93"/>
      <c r="L21" s="93"/>
      <c r="M21" s="58"/>
      <c r="N21" s="58"/>
      <c r="O21" s="58"/>
      <c r="P21" s="92"/>
      <c r="Q21" s="58"/>
      <c r="R21" s="92"/>
      <c r="S21" s="58"/>
      <c r="T21" s="92"/>
      <c r="U21" s="58"/>
      <c r="V21" s="92"/>
      <c r="W21" s="58"/>
      <c r="X21" s="92"/>
      <c r="Y21" s="58"/>
      <c r="Z21" s="92"/>
      <c r="AA21" s="58"/>
    </row>
    <row r="22" spans="1:27" ht="26.25" x14ac:dyDescent="0.45">
      <c r="A22" s="58" t="s">
        <v>99</v>
      </c>
      <c r="B22" s="58" t="s">
        <v>96</v>
      </c>
      <c r="C22" s="92"/>
      <c r="D22" s="58"/>
      <c r="E22" s="58"/>
      <c r="F22" s="58"/>
      <c r="G22" s="58">
        <v>1</v>
      </c>
      <c r="H22" s="93"/>
      <c r="I22" s="93"/>
      <c r="J22" s="93"/>
      <c r="K22" s="93"/>
      <c r="L22" s="93"/>
      <c r="M22" s="58"/>
      <c r="N22" s="58"/>
      <c r="O22" s="58"/>
      <c r="P22" s="92"/>
      <c r="Q22" s="58"/>
      <c r="R22" s="92"/>
      <c r="S22" s="58"/>
      <c r="T22" s="92"/>
      <c r="U22" s="58"/>
      <c r="V22" s="92"/>
      <c r="W22" s="58"/>
      <c r="X22" s="92"/>
      <c r="Y22" s="58"/>
      <c r="Z22" s="92"/>
      <c r="AA22" s="58"/>
    </row>
    <row r="23" spans="1:27" ht="26.25" x14ac:dyDescent="0.45">
      <c r="A23" s="58" t="s">
        <v>99</v>
      </c>
      <c r="B23" s="58" t="s">
        <v>97</v>
      </c>
      <c r="C23" s="92"/>
      <c r="D23" s="58"/>
      <c r="E23" s="58"/>
      <c r="F23" s="58"/>
      <c r="G23" s="58">
        <v>1</v>
      </c>
      <c r="H23" s="93"/>
      <c r="I23" s="93"/>
      <c r="J23" s="93"/>
      <c r="K23" s="93"/>
      <c r="L23" s="93"/>
      <c r="M23" s="58"/>
      <c r="N23" s="58"/>
      <c r="O23" s="58"/>
      <c r="P23" s="92"/>
      <c r="Q23" s="58"/>
      <c r="R23" s="92"/>
      <c r="S23" s="58"/>
      <c r="T23" s="92"/>
      <c r="U23" s="58"/>
      <c r="V23" s="92"/>
      <c r="W23" s="58"/>
      <c r="X23" s="92"/>
      <c r="Y23" s="58"/>
      <c r="Z23" s="92"/>
      <c r="AA23" s="58"/>
    </row>
    <row r="24" spans="1:27" ht="26.25" x14ac:dyDescent="0.45">
      <c r="A24" s="58" t="s">
        <v>99</v>
      </c>
      <c r="B24" s="58" t="s">
        <v>98</v>
      </c>
      <c r="C24" s="92"/>
      <c r="D24" s="58"/>
      <c r="E24" s="58"/>
      <c r="F24" s="58"/>
      <c r="G24" s="58">
        <v>2</v>
      </c>
      <c r="H24" s="93"/>
      <c r="I24" s="93"/>
      <c r="J24" s="93"/>
      <c r="K24" s="93"/>
      <c r="L24" s="93"/>
      <c r="M24" s="58"/>
      <c r="N24" s="58"/>
      <c r="O24" s="58"/>
      <c r="P24" s="92"/>
      <c r="Q24" s="58"/>
      <c r="R24" s="92"/>
      <c r="S24" s="58"/>
      <c r="T24" s="92"/>
      <c r="U24" s="58"/>
      <c r="V24" s="92"/>
      <c r="W24" s="58"/>
      <c r="X24" s="92"/>
      <c r="Y24" s="58"/>
      <c r="Z24" s="92"/>
      <c r="AA24" s="58"/>
    </row>
    <row r="25" spans="1:27" ht="26.25" x14ac:dyDescent="0.45">
      <c r="A25" s="58" t="s">
        <v>99</v>
      </c>
      <c r="B25" s="58" t="s">
        <v>99</v>
      </c>
      <c r="C25" s="92"/>
      <c r="D25" s="58">
        <v>40</v>
      </c>
      <c r="E25" s="58"/>
      <c r="F25" s="58">
        <v>8</v>
      </c>
      <c r="G25" s="58">
        <v>4</v>
      </c>
      <c r="H25" s="93"/>
      <c r="I25" s="93"/>
      <c r="J25" s="93"/>
      <c r="K25" s="93"/>
      <c r="L25" s="93"/>
      <c r="M25" s="58"/>
      <c r="N25" s="58"/>
      <c r="O25" s="58"/>
      <c r="P25" s="92"/>
      <c r="Q25" s="58"/>
      <c r="R25" s="92"/>
      <c r="S25" s="58"/>
      <c r="T25" s="92"/>
      <c r="U25" s="58"/>
      <c r="V25" s="92"/>
      <c r="W25" s="58"/>
      <c r="X25" s="92"/>
      <c r="Y25" s="58"/>
      <c r="Z25" s="92"/>
      <c r="AA25" s="58"/>
    </row>
    <row r="26" spans="1:27" ht="26.25" x14ac:dyDescent="0.45">
      <c r="A26" s="58" t="s">
        <v>179</v>
      </c>
      <c r="B26" s="58" t="s">
        <v>100</v>
      </c>
      <c r="C26" s="92"/>
      <c r="D26" s="58"/>
      <c r="E26" s="58"/>
      <c r="F26" s="58"/>
      <c r="G26" s="58"/>
      <c r="H26" s="93"/>
      <c r="I26" s="93"/>
      <c r="J26" s="93"/>
      <c r="K26" s="93"/>
      <c r="L26" s="93"/>
      <c r="M26" s="58"/>
      <c r="N26" s="58"/>
      <c r="O26" s="58"/>
      <c r="P26" s="92"/>
      <c r="Q26" s="58"/>
      <c r="R26" s="92"/>
      <c r="S26" s="58"/>
      <c r="T26" s="92"/>
      <c r="U26" s="58"/>
      <c r="V26" s="92"/>
      <c r="W26" s="58"/>
      <c r="X26" s="92"/>
      <c r="Y26" s="58"/>
      <c r="Z26" s="92">
        <v>1</v>
      </c>
      <c r="AA26" s="58"/>
    </row>
    <row r="27" spans="1:27" ht="26.25" x14ac:dyDescent="0.45">
      <c r="A27" s="58" t="s">
        <v>180</v>
      </c>
      <c r="B27" s="58" t="s">
        <v>101</v>
      </c>
      <c r="C27" s="92"/>
      <c r="D27" s="58"/>
      <c r="E27" s="58"/>
      <c r="F27" s="58"/>
      <c r="G27" s="58"/>
      <c r="H27" s="93"/>
      <c r="I27" s="93"/>
      <c r="J27" s="93"/>
      <c r="K27" s="93"/>
      <c r="L27" s="93"/>
      <c r="M27" s="58"/>
      <c r="N27" s="58"/>
      <c r="O27" s="58"/>
      <c r="P27" s="92"/>
      <c r="Q27" s="58"/>
      <c r="R27" s="92"/>
      <c r="S27" s="58">
        <v>1</v>
      </c>
      <c r="T27" s="92"/>
      <c r="U27" s="58"/>
      <c r="V27" s="92"/>
      <c r="W27" s="58"/>
      <c r="X27" s="92"/>
      <c r="Y27" s="58"/>
      <c r="Z27" s="92"/>
      <c r="AA27" s="58"/>
    </row>
    <row r="28" spans="1:27" ht="26.25" x14ac:dyDescent="0.45">
      <c r="A28" s="58" t="s">
        <v>180</v>
      </c>
      <c r="B28" s="58" t="s">
        <v>102</v>
      </c>
      <c r="C28" s="92"/>
      <c r="D28" s="58"/>
      <c r="E28" s="58"/>
      <c r="F28" s="58"/>
      <c r="G28" s="58"/>
      <c r="H28" s="93"/>
      <c r="I28" s="93"/>
      <c r="J28" s="93"/>
      <c r="K28" s="93"/>
      <c r="L28" s="93"/>
      <c r="M28" s="58"/>
      <c r="N28" s="58"/>
      <c r="O28" s="58"/>
      <c r="P28" s="92"/>
      <c r="Q28" s="58"/>
      <c r="R28" s="92"/>
      <c r="S28" s="58">
        <v>4</v>
      </c>
      <c r="T28" s="92"/>
      <c r="U28" s="58"/>
      <c r="V28" s="92"/>
      <c r="W28" s="58"/>
      <c r="X28" s="92"/>
      <c r="Y28" s="58"/>
      <c r="Z28" s="92"/>
      <c r="AA28" s="58"/>
    </row>
    <row r="29" spans="1:27" ht="26.25" x14ac:dyDescent="0.45">
      <c r="A29" s="58" t="s">
        <v>180</v>
      </c>
      <c r="B29" s="58" t="s">
        <v>103</v>
      </c>
      <c r="C29" s="92"/>
      <c r="D29" s="58"/>
      <c r="E29" s="58"/>
      <c r="F29" s="58"/>
      <c r="G29" s="58"/>
      <c r="H29" s="93"/>
      <c r="I29" s="93"/>
      <c r="J29" s="93"/>
      <c r="K29" s="93"/>
      <c r="L29" s="93"/>
      <c r="M29" s="58"/>
      <c r="N29" s="58"/>
      <c r="O29" s="58"/>
      <c r="P29" s="92"/>
      <c r="Q29" s="58"/>
      <c r="R29" s="92"/>
      <c r="S29" s="58"/>
      <c r="T29" s="92">
        <v>2</v>
      </c>
      <c r="U29" s="58"/>
      <c r="V29" s="92"/>
      <c r="W29" s="58"/>
      <c r="X29" s="92"/>
      <c r="Y29" s="58"/>
      <c r="Z29" s="92"/>
      <c r="AA29" s="58"/>
    </row>
    <row r="30" spans="1:27" ht="26.25" x14ac:dyDescent="0.45">
      <c r="A30" s="58" t="s">
        <v>180</v>
      </c>
      <c r="B30" s="58" t="s">
        <v>104</v>
      </c>
      <c r="C30" s="92"/>
      <c r="D30" s="58"/>
      <c r="E30" s="58"/>
      <c r="F30" s="58"/>
      <c r="G30" s="58"/>
      <c r="H30" s="93"/>
      <c r="I30" s="93"/>
      <c r="J30" s="93"/>
      <c r="K30" s="93"/>
      <c r="L30" s="93"/>
      <c r="M30" s="58"/>
      <c r="N30" s="58"/>
      <c r="O30" s="58"/>
      <c r="P30" s="92"/>
      <c r="Q30" s="58"/>
      <c r="R30" s="92"/>
      <c r="S30" s="58"/>
      <c r="T30" s="92">
        <v>2</v>
      </c>
      <c r="U30" s="58"/>
      <c r="V30" s="92"/>
      <c r="W30" s="58"/>
      <c r="X30" s="92"/>
      <c r="Y30" s="58"/>
      <c r="Z30" s="92"/>
      <c r="AA30" s="58"/>
    </row>
    <row r="31" spans="1:27" ht="26.25" x14ac:dyDescent="0.45">
      <c r="A31" s="58" t="s">
        <v>180</v>
      </c>
      <c r="B31" s="58" t="s">
        <v>105</v>
      </c>
      <c r="C31" s="92"/>
      <c r="D31" s="58"/>
      <c r="E31" s="58"/>
      <c r="F31" s="58"/>
      <c r="G31" s="58"/>
      <c r="H31" s="93"/>
      <c r="I31" s="93"/>
      <c r="J31" s="93"/>
      <c r="K31" s="93"/>
      <c r="L31" s="93">
        <v>1</v>
      </c>
      <c r="M31" s="58"/>
      <c r="N31" s="58"/>
      <c r="O31" s="58"/>
      <c r="P31" s="92"/>
      <c r="Q31" s="58"/>
      <c r="R31" s="92"/>
      <c r="S31" s="58"/>
      <c r="T31" s="92"/>
      <c r="U31" s="58"/>
      <c r="V31" s="92"/>
      <c r="W31" s="58"/>
      <c r="X31" s="92"/>
      <c r="Y31" s="58"/>
      <c r="Z31" s="92"/>
      <c r="AA31" s="58"/>
    </row>
    <row r="32" spans="1:27" ht="26.25" x14ac:dyDescent="0.45">
      <c r="A32" s="58" t="s">
        <v>180</v>
      </c>
      <c r="B32" s="58" t="s">
        <v>106</v>
      </c>
      <c r="C32" s="92"/>
      <c r="D32" s="58"/>
      <c r="E32" s="58"/>
      <c r="F32" s="58"/>
      <c r="G32" s="58"/>
      <c r="H32" s="93"/>
      <c r="I32" s="93"/>
      <c r="J32" s="93"/>
      <c r="K32" s="93"/>
      <c r="L32" s="93"/>
      <c r="M32" s="58"/>
      <c r="N32" s="58"/>
      <c r="O32" s="58"/>
      <c r="P32" s="92"/>
      <c r="Q32" s="58"/>
      <c r="R32" s="92"/>
      <c r="S32" s="58"/>
      <c r="T32" s="92">
        <v>2</v>
      </c>
      <c r="U32" s="58"/>
      <c r="V32" s="92"/>
      <c r="W32" s="58"/>
      <c r="X32" s="92"/>
      <c r="Y32" s="58"/>
      <c r="Z32" s="92"/>
      <c r="AA32" s="58"/>
    </row>
    <row r="33" spans="1:27" ht="26.25" x14ac:dyDescent="0.45">
      <c r="A33" s="58" t="s">
        <v>180</v>
      </c>
      <c r="B33" s="58" t="s">
        <v>107</v>
      </c>
      <c r="C33" s="92"/>
      <c r="D33" s="58"/>
      <c r="E33" s="58"/>
      <c r="F33" s="58"/>
      <c r="G33" s="58"/>
      <c r="H33" s="93"/>
      <c r="I33" s="93"/>
      <c r="J33" s="93"/>
      <c r="K33" s="93"/>
      <c r="L33" s="93"/>
      <c r="M33" s="58"/>
      <c r="N33" s="58"/>
      <c r="O33" s="58"/>
      <c r="P33" s="92"/>
      <c r="Q33" s="58"/>
      <c r="R33" s="92"/>
      <c r="S33" s="58"/>
      <c r="T33" s="92"/>
      <c r="U33" s="58"/>
      <c r="V33" s="92"/>
      <c r="W33" s="58">
        <v>2</v>
      </c>
      <c r="X33" s="92"/>
      <c r="Y33" s="58"/>
      <c r="Z33" s="92"/>
      <c r="AA33" s="58"/>
    </row>
    <row r="34" spans="1:27" ht="26.25" x14ac:dyDescent="0.45">
      <c r="A34" s="58" t="s">
        <v>181</v>
      </c>
      <c r="B34" s="58" t="s">
        <v>108</v>
      </c>
      <c r="C34" s="92"/>
      <c r="D34" s="58"/>
      <c r="E34" s="58"/>
      <c r="F34" s="58"/>
      <c r="G34" s="58"/>
      <c r="H34" s="93"/>
      <c r="I34" s="93"/>
      <c r="J34" s="93"/>
      <c r="K34" s="93"/>
      <c r="L34" s="93">
        <v>1</v>
      </c>
      <c r="M34" s="58"/>
      <c r="N34" s="58"/>
      <c r="O34" s="58"/>
      <c r="P34" s="92"/>
      <c r="Q34" s="58"/>
      <c r="R34" s="92"/>
      <c r="S34" s="58"/>
      <c r="T34" s="92"/>
      <c r="U34" s="58"/>
      <c r="V34" s="92"/>
      <c r="W34" s="58"/>
      <c r="X34" s="92"/>
      <c r="Y34" s="58"/>
      <c r="Z34" s="92"/>
      <c r="AA34" s="58"/>
    </row>
    <row r="35" spans="1:27" ht="26.25" x14ac:dyDescent="0.45">
      <c r="A35" s="58" t="s">
        <v>181</v>
      </c>
      <c r="B35" s="58" t="s">
        <v>109</v>
      </c>
      <c r="C35" s="92"/>
      <c r="D35" s="58"/>
      <c r="E35" s="58"/>
      <c r="F35" s="58"/>
      <c r="G35" s="58"/>
      <c r="H35" s="93"/>
      <c r="I35" s="93"/>
      <c r="J35" s="93"/>
      <c r="K35" s="93"/>
      <c r="L35" s="93"/>
      <c r="M35" s="58"/>
      <c r="N35" s="58"/>
      <c r="O35" s="58"/>
      <c r="P35" s="92"/>
      <c r="Q35" s="58">
        <v>1</v>
      </c>
      <c r="R35" s="92"/>
      <c r="S35" s="58"/>
      <c r="T35" s="92"/>
      <c r="U35" s="58"/>
      <c r="V35" s="92">
        <v>1</v>
      </c>
      <c r="W35" s="58"/>
      <c r="X35" s="92"/>
      <c r="Y35" s="58"/>
      <c r="Z35" s="92"/>
      <c r="AA35" s="58"/>
    </row>
    <row r="36" spans="1:27" ht="26.25" x14ac:dyDescent="0.45">
      <c r="A36" s="58" t="s">
        <v>181</v>
      </c>
      <c r="B36" s="58" t="s">
        <v>110</v>
      </c>
      <c r="C36" s="92"/>
      <c r="D36" s="58"/>
      <c r="E36" s="58"/>
      <c r="F36" s="58"/>
      <c r="G36" s="58">
        <v>1</v>
      </c>
      <c r="H36" s="93"/>
      <c r="I36" s="93"/>
      <c r="J36" s="93"/>
      <c r="K36" s="93"/>
      <c r="L36" s="93"/>
      <c r="M36" s="58"/>
      <c r="N36" s="58"/>
      <c r="O36" s="58"/>
      <c r="P36" s="92"/>
      <c r="Q36" s="58"/>
      <c r="R36" s="92"/>
      <c r="S36" s="58"/>
      <c r="T36" s="92"/>
      <c r="U36" s="58"/>
      <c r="V36" s="92"/>
      <c r="W36" s="58"/>
      <c r="X36" s="92"/>
      <c r="Y36" s="58"/>
      <c r="Z36" s="92"/>
      <c r="AA36" s="58"/>
    </row>
    <row r="37" spans="1:27" ht="26.25" x14ac:dyDescent="0.45">
      <c r="A37" s="58" t="s">
        <v>181</v>
      </c>
      <c r="B37" s="58" t="s">
        <v>111</v>
      </c>
      <c r="C37" s="92"/>
      <c r="D37" s="58"/>
      <c r="E37" s="58"/>
      <c r="F37" s="58"/>
      <c r="G37" s="58"/>
      <c r="H37" s="93"/>
      <c r="I37" s="93"/>
      <c r="J37" s="93"/>
      <c r="K37" s="93"/>
      <c r="L37" s="93">
        <v>1</v>
      </c>
      <c r="M37" s="58"/>
      <c r="N37" s="58"/>
      <c r="O37" s="58"/>
      <c r="P37" s="92"/>
      <c r="Q37" s="58"/>
      <c r="R37" s="92"/>
      <c r="S37" s="58"/>
      <c r="T37" s="92"/>
      <c r="U37" s="58"/>
      <c r="V37" s="92"/>
      <c r="W37" s="58"/>
      <c r="X37" s="92"/>
      <c r="Y37" s="58"/>
      <c r="Z37" s="92"/>
      <c r="AA37" s="58"/>
    </row>
    <row r="38" spans="1:27" ht="26.25" x14ac:dyDescent="0.45">
      <c r="A38" s="58" t="s">
        <v>181</v>
      </c>
      <c r="B38" s="58" t="s">
        <v>112</v>
      </c>
      <c r="C38" s="92"/>
      <c r="D38" s="58"/>
      <c r="E38" s="58"/>
      <c r="F38" s="58"/>
      <c r="G38" s="58"/>
      <c r="H38" s="93"/>
      <c r="I38" s="93"/>
      <c r="J38" s="93"/>
      <c r="K38" s="93"/>
      <c r="L38" s="93"/>
      <c r="M38" s="58">
        <v>4</v>
      </c>
      <c r="N38" s="58"/>
      <c r="O38" s="58"/>
      <c r="P38" s="92"/>
      <c r="Q38" s="58"/>
      <c r="R38" s="92"/>
      <c r="S38" s="58"/>
      <c r="T38" s="92"/>
      <c r="U38" s="58"/>
      <c r="V38" s="92"/>
      <c r="W38" s="58"/>
      <c r="X38" s="92"/>
      <c r="Y38" s="58">
        <v>1</v>
      </c>
      <c r="Z38" s="92"/>
      <c r="AA38" s="58"/>
    </row>
    <row r="39" spans="1:27" ht="26.25" x14ac:dyDescent="0.45">
      <c r="A39" s="58" t="s">
        <v>181</v>
      </c>
      <c r="B39" s="58" t="s">
        <v>113</v>
      </c>
      <c r="C39" s="92"/>
      <c r="D39" s="58"/>
      <c r="E39" s="58"/>
      <c r="F39" s="58"/>
      <c r="G39" s="58"/>
      <c r="H39" s="93"/>
      <c r="I39" s="93"/>
      <c r="J39" s="93"/>
      <c r="K39" s="93">
        <v>1</v>
      </c>
      <c r="L39" s="93"/>
      <c r="M39" s="58"/>
      <c r="N39" s="58"/>
      <c r="O39" s="58"/>
      <c r="P39" s="92"/>
      <c r="Q39" s="58"/>
      <c r="R39" s="92"/>
      <c r="S39" s="58"/>
      <c r="T39" s="92"/>
      <c r="U39" s="58"/>
      <c r="V39" s="92"/>
      <c r="W39" s="58"/>
      <c r="X39" s="92"/>
      <c r="Y39" s="58"/>
      <c r="Z39" s="92"/>
      <c r="AA39" s="58"/>
    </row>
    <row r="40" spans="1:27" ht="26.25" x14ac:dyDescent="0.45">
      <c r="A40" s="58" t="s">
        <v>181</v>
      </c>
      <c r="B40" s="58" t="s">
        <v>114</v>
      </c>
      <c r="C40" s="92"/>
      <c r="D40" s="58"/>
      <c r="E40" s="58"/>
      <c r="F40" s="58"/>
      <c r="G40" s="58"/>
      <c r="H40" s="93"/>
      <c r="I40" s="93"/>
      <c r="J40" s="93"/>
      <c r="K40" s="93"/>
      <c r="L40" s="93"/>
      <c r="M40" s="58"/>
      <c r="N40" s="58"/>
      <c r="O40" s="58"/>
      <c r="P40" s="92">
        <v>1</v>
      </c>
      <c r="Q40" s="58"/>
      <c r="R40" s="92">
        <v>1</v>
      </c>
      <c r="S40" s="58"/>
      <c r="T40" s="92"/>
      <c r="U40" s="58"/>
      <c r="V40" s="92"/>
      <c r="W40" s="58"/>
      <c r="X40" s="92"/>
      <c r="Y40" s="58"/>
      <c r="Z40" s="92"/>
      <c r="AA40" s="58"/>
    </row>
    <row r="41" spans="1:27" ht="26.25" x14ac:dyDescent="0.45">
      <c r="A41" s="58" t="s">
        <v>181</v>
      </c>
      <c r="B41" s="58" t="s">
        <v>115</v>
      </c>
      <c r="C41" s="92"/>
      <c r="D41" s="58"/>
      <c r="E41" s="58"/>
      <c r="F41" s="58"/>
      <c r="G41" s="58"/>
      <c r="H41" s="93"/>
      <c r="I41" s="93"/>
      <c r="J41" s="93"/>
      <c r="K41" s="93"/>
      <c r="L41" s="93">
        <v>1</v>
      </c>
      <c r="M41" s="58"/>
      <c r="N41" s="58"/>
      <c r="O41" s="58"/>
      <c r="P41" s="92"/>
      <c r="Q41" s="58"/>
      <c r="R41" s="92"/>
      <c r="S41" s="58"/>
      <c r="T41" s="92"/>
      <c r="U41" s="58"/>
      <c r="V41" s="92"/>
      <c r="W41" s="58"/>
      <c r="X41" s="92"/>
      <c r="Y41" s="58"/>
      <c r="Z41" s="92"/>
      <c r="AA41" s="58"/>
    </row>
    <row r="42" spans="1:27" ht="26.25" x14ac:dyDescent="0.45">
      <c r="A42" s="58" t="s">
        <v>181</v>
      </c>
      <c r="B42" s="58" t="s">
        <v>116</v>
      </c>
      <c r="C42" s="92"/>
      <c r="D42" s="58"/>
      <c r="E42" s="58"/>
      <c r="F42" s="58"/>
      <c r="G42" s="58"/>
      <c r="H42" s="93"/>
      <c r="I42" s="93"/>
      <c r="J42" s="93"/>
      <c r="K42" s="93">
        <v>1</v>
      </c>
      <c r="L42" s="93"/>
      <c r="M42" s="58"/>
      <c r="N42" s="58"/>
      <c r="O42" s="58"/>
      <c r="P42" s="92"/>
      <c r="Q42" s="58"/>
      <c r="R42" s="92"/>
      <c r="S42" s="58"/>
      <c r="T42" s="92"/>
      <c r="U42" s="58">
        <v>1</v>
      </c>
      <c r="V42" s="92"/>
      <c r="W42" s="58"/>
      <c r="X42" s="92"/>
      <c r="Y42" s="58"/>
      <c r="Z42" s="92"/>
      <c r="AA42" s="58"/>
    </row>
    <row r="43" spans="1:27" ht="26.25" x14ac:dyDescent="0.45">
      <c r="A43" s="58" t="s">
        <v>181</v>
      </c>
      <c r="B43" s="58" t="s">
        <v>117</v>
      </c>
      <c r="C43" s="92"/>
      <c r="D43" s="58"/>
      <c r="E43" s="58"/>
      <c r="F43" s="58"/>
      <c r="G43" s="58"/>
      <c r="H43" s="93"/>
      <c r="I43" s="93"/>
      <c r="J43" s="93"/>
      <c r="K43" s="93"/>
      <c r="L43" s="93"/>
      <c r="M43" s="58"/>
      <c r="N43" s="58">
        <v>1</v>
      </c>
      <c r="O43" s="58"/>
      <c r="P43" s="92"/>
      <c r="Q43" s="58"/>
      <c r="R43" s="92"/>
      <c r="S43" s="58"/>
      <c r="T43" s="92"/>
      <c r="U43" s="58"/>
      <c r="V43" s="92"/>
      <c r="W43" s="58"/>
      <c r="X43" s="92"/>
      <c r="Y43" s="58"/>
      <c r="Z43" s="92"/>
      <c r="AA43" s="58"/>
    </row>
    <row r="44" spans="1:27" ht="26.25" x14ac:dyDescent="0.45">
      <c r="A44" s="58" t="s">
        <v>181</v>
      </c>
      <c r="B44" s="58" t="s">
        <v>118</v>
      </c>
      <c r="C44" s="92"/>
      <c r="D44" s="58"/>
      <c r="E44" s="58"/>
      <c r="F44" s="58"/>
      <c r="G44" s="58"/>
      <c r="H44" s="93"/>
      <c r="I44" s="93"/>
      <c r="J44" s="93"/>
      <c r="K44" s="93"/>
      <c r="L44" s="93">
        <v>1</v>
      </c>
      <c r="M44" s="58"/>
      <c r="N44" s="58"/>
      <c r="O44" s="58"/>
      <c r="P44" s="92"/>
      <c r="Q44" s="58"/>
      <c r="R44" s="92"/>
      <c r="S44" s="58"/>
      <c r="T44" s="92"/>
      <c r="U44" s="58"/>
      <c r="V44" s="92"/>
      <c r="W44" s="58"/>
      <c r="X44" s="92"/>
      <c r="Y44" s="58"/>
      <c r="Z44" s="92"/>
      <c r="AA44" s="58"/>
    </row>
    <row r="45" spans="1:27" ht="26.25" x14ac:dyDescent="0.45">
      <c r="A45" s="58" t="s">
        <v>181</v>
      </c>
      <c r="B45" s="58" t="s">
        <v>119</v>
      </c>
      <c r="C45" s="92"/>
      <c r="D45" s="58"/>
      <c r="E45" s="58"/>
      <c r="F45" s="58"/>
      <c r="G45" s="58"/>
      <c r="H45" s="93"/>
      <c r="I45" s="93"/>
      <c r="J45" s="93"/>
      <c r="K45" s="93"/>
      <c r="L45" s="93">
        <v>1</v>
      </c>
      <c r="M45" s="58"/>
      <c r="N45" s="58"/>
      <c r="O45" s="58"/>
      <c r="P45" s="92"/>
      <c r="Q45" s="58"/>
      <c r="R45" s="92"/>
      <c r="S45" s="58"/>
      <c r="T45" s="92"/>
      <c r="U45" s="58"/>
      <c r="V45" s="92"/>
      <c r="W45" s="58"/>
      <c r="X45" s="92"/>
      <c r="Y45" s="58"/>
      <c r="Z45" s="92"/>
      <c r="AA45" s="58"/>
    </row>
    <row r="46" spans="1:27" ht="26.25" x14ac:dyDescent="0.45">
      <c r="A46" s="58" t="s">
        <v>181</v>
      </c>
      <c r="B46" s="58" t="s">
        <v>120</v>
      </c>
      <c r="C46" s="92"/>
      <c r="D46" s="58"/>
      <c r="E46" s="58"/>
      <c r="F46" s="58"/>
      <c r="G46" s="58"/>
      <c r="H46" s="93"/>
      <c r="I46" s="93"/>
      <c r="J46" s="93"/>
      <c r="K46" s="93"/>
      <c r="L46" s="93">
        <v>1</v>
      </c>
      <c r="M46" s="58"/>
      <c r="N46" s="58"/>
      <c r="O46" s="58"/>
      <c r="P46" s="92"/>
      <c r="Q46" s="58"/>
      <c r="R46" s="92"/>
      <c r="S46" s="58"/>
      <c r="T46" s="92"/>
      <c r="U46" s="58"/>
      <c r="V46" s="92"/>
      <c r="W46" s="58"/>
      <c r="X46" s="92"/>
      <c r="Y46" s="58"/>
      <c r="Z46" s="92"/>
      <c r="AA46" s="58"/>
    </row>
    <row r="47" spans="1:27" ht="26.25" x14ac:dyDescent="0.45">
      <c r="A47" s="58" t="s">
        <v>181</v>
      </c>
      <c r="B47" s="58" t="s">
        <v>121</v>
      </c>
      <c r="C47" s="92"/>
      <c r="D47" s="58"/>
      <c r="E47" s="58"/>
      <c r="F47" s="58"/>
      <c r="G47" s="58"/>
      <c r="H47" s="93"/>
      <c r="I47" s="93"/>
      <c r="J47" s="93"/>
      <c r="K47" s="93"/>
      <c r="L47" s="93"/>
      <c r="M47" s="58"/>
      <c r="N47" s="58"/>
      <c r="O47" s="58"/>
      <c r="P47" s="92"/>
      <c r="Q47" s="58"/>
      <c r="R47" s="92"/>
      <c r="S47" s="58"/>
      <c r="T47" s="92"/>
      <c r="U47" s="58"/>
      <c r="V47" s="92"/>
      <c r="W47" s="58"/>
      <c r="X47" s="92">
        <v>1</v>
      </c>
      <c r="Y47" s="58"/>
      <c r="Z47" s="92"/>
      <c r="AA47" s="58"/>
    </row>
    <row r="48" spans="1:27" ht="26.25" x14ac:dyDescent="0.45">
      <c r="A48" s="58" t="s">
        <v>181</v>
      </c>
      <c r="B48" s="58" t="s">
        <v>122</v>
      </c>
      <c r="C48" s="92"/>
      <c r="D48" s="58"/>
      <c r="E48" s="58"/>
      <c r="F48" s="58"/>
      <c r="G48" s="58"/>
      <c r="H48" s="93"/>
      <c r="I48" s="93"/>
      <c r="J48" s="93"/>
      <c r="K48" s="93"/>
      <c r="L48" s="93">
        <v>1</v>
      </c>
      <c r="M48" s="58"/>
      <c r="N48" s="58"/>
      <c r="O48" s="58"/>
      <c r="P48" s="92"/>
      <c r="Q48" s="58"/>
      <c r="R48" s="92"/>
      <c r="S48" s="58"/>
      <c r="T48" s="92"/>
      <c r="U48" s="58"/>
      <c r="V48" s="92"/>
      <c r="W48" s="58"/>
      <c r="X48" s="92"/>
      <c r="Y48" s="58"/>
      <c r="Z48" s="92"/>
      <c r="AA48" s="58"/>
    </row>
    <row r="49" spans="1:27" ht="26.25" x14ac:dyDescent="0.45">
      <c r="A49" s="58" t="s">
        <v>181</v>
      </c>
      <c r="B49" s="58" t="s">
        <v>123</v>
      </c>
      <c r="C49" s="92"/>
      <c r="D49" s="58"/>
      <c r="E49" s="58"/>
      <c r="F49" s="58"/>
      <c r="G49" s="58"/>
      <c r="H49" s="93"/>
      <c r="I49" s="93"/>
      <c r="J49" s="93"/>
      <c r="K49" s="93"/>
      <c r="L49" s="93">
        <v>1</v>
      </c>
      <c r="M49" s="58"/>
      <c r="N49" s="58"/>
      <c r="O49" s="58"/>
      <c r="P49" s="92"/>
      <c r="Q49" s="58"/>
      <c r="R49" s="92"/>
      <c r="S49" s="58"/>
      <c r="T49" s="92"/>
      <c r="U49" s="58"/>
      <c r="V49" s="92"/>
      <c r="W49" s="58"/>
      <c r="X49" s="92"/>
      <c r="Y49" s="58"/>
      <c r="Z49" s="92"/>
      <c r="AA49" s="58"/>
    </row>
    <row r="50" spans="1:27" ht="26.25" x14ac:dyDescent="0.45">
      <c r="A50" s="58" t="s">
        <v>181</v>
      </c>
      <c r="B50" s="58" t="s">
        <v>124</v>
      </c>
      <c r="C50" s="92"/>
      <c r="D50" s="58"/>
      <c r="E50" s="58"/>
      <c r="F50" s="58"/>
      <c r="G50" s="58"/>
      <c r="H50" s="93"/>
      <c r="I50" s="93"/>
      <c r="J50" s="93"/>
      <c r="K50" s="93"/>
      <c r="L50" s="93"/>
      <c r="M50" s="58"/>
      <c r="N50" s="58">
        <v>1</v>
      </c>
      <c r="O50" s="58"/>
      <c r="P50" s="92"/>
      <c r="Q50" s="58"/>
      <c r="R50" s="92">
        <v>3</v>
      </c>
      <c r="S50" s="58"/>
      <c r="T50" s="92"/>
      <c r="U50" s="58"/>
      <c r="V50" s="92">
        <v>1</v>
      </c>
      <c r="W50" s="58"/>
      <c r="X50" s="92"/>
      <c r="Y50" s="58"/>
      <c r="Z50" s="92"/>
      <c r="AA50" s="58"/>
    </row>
    <row r="51" spans="1:27" ht="26.25" x14ac:dyDescent="0.45">
      <c r="A51" s="58" t="s">
        <v>181</v>
      </c>
      <c r="B51" s="58" t="s">
        <v>125</v>
      </c>
      <c r="C51" s="92"/>
      <c r="D51" s="58"/>
      <c r="E51" s="58"/>
      <c r="F51" s="58"/>
      <c r="G51" s="58"/>
      <c r="H51" s="93"/>
      <c r="I51" s="93"/>
      <c r="J51" s="93"/>
      <c r="K51" s="93"/>
      <c r="L51" s="93">
        <v>1</v>
      </c>
      <c r="M51" s="58"/>
      <c r="N51" s="58"/>
      <c r="O51" s="58"/>
      <c r="P51" s="92"/>
      <c r="Q51" s="58"/>
      <c r="R51" s="92"/>
      <c r="S51" s="58"/>
      <c r="T51" s="92"/>
      <c r="U51" s="58"/>
      <c r="V51" s="92"/>
      <c r="W51" s="58"/>
      <c r="X51" s="92"/>
      <c r="Y51" s="58"/>
      <c r="Z51" s="92"/>
      <c r="AA51" s="58"/>
    </row>
    <row r="52" spans="1:27" ht="26.25" x14ac:dyDescent="0.45">
      <c r="A52" s="58" t="s">
        <v>181</v>
      </c>
      <c r="B52" s="58" t="s">
        <v>126</v>
      </c>
      <c r="C52" s="92"/>
      <c r="D52" s="58"/>
      <c r="E52" s="58"/>
      <c r="F52" s="58"/>
      <c r="G52" s="58"/>
      <c r="H52" s="93"/>
      <c r="I52" s="93"/>
      <c r="J52" s="93"/>
      <c r="K52" s="93"/>
      <c r="L52" s="93">
        <v>1</v>
      </c>
      <c r="M52" s="58"/>
      <c r="N52" s="58"/>
      <c r="O52" s="58"/>
      <c r="P52" s="92"/>
      <c r="Q52" s="58"/>
      <c r="R52" s="92"/>
      <c r="S52" s="58"/>
      <c r="T52" s="92"/>
      <c r="U52" s="58"/>
      <c r="V52" s="92"/>
      <c r="W52" s="58"/>
      <c r="X52" s="92"/>
      <c r="Y52" s="58"/>
      <c r="Z52" s="92"/>
      <c r="AA52" s="58"/>
    </row>
    <row r="53" spans="1:27" ht="26.25" x14ac:dyDescent="0.45">
      <c r="A53" s="58" t="s">
        <v>181</v>
      </c>
      <c r="B53" s="58" t="s">
        <v>127</v>
      </c>
      <c r="C53" s="92"/>
      <c r="D53" s="58"/>
      <c r="E53" s="58"/>
      <c r="F53" s="58"/>
      <c r="G53" s="58"/>
      <c r="H53" s="93"/>
      <c r="I53" s="93"/>
      <c r="J53" s="93"/>
      <c r="K53" s="93"/>
      <c r="L53" s="93">
        <v>1</v>
      </c>
      <c r="M53" s="58"/>
      <c r="N53" s="58"/>
      <c r="O53" s="58"/>
      <c r="P53" s="92"/>
      <c r="Q53" s="58"/>
      <c r="R53" s="92"/>
      <c r="S53" s="58"/>
      <c r="T53" s="92"/>
      <c r="U53" s="58"/>
      <c r="V53" s="92"/>
      <c r="W53" s="58"/>
      <c r="X53" s="92"/>
      <c r="Y53" s="58"/>
      <c r="Z53" s="92"/>
      <c r="AA53" s="58"/>
    </row>
    <row r="54" spans="1:27" ht="26.25" x14ac:dyDescent="0.45">
      <c r="A54" s="58" t="s">
        <v>181</v>
      </c>
      <c r="B54" s="58" t="s">
        <v>126</v>
      </c>
      <c r="C54" s="92"/>
      <c r="D54" s="58"/>
      <c r="E54" s="58"/>
      <c r="F54" s="58"/>
      <c r="G54" s="58"/>
      <c r="H54" s="93"/>
      <c r="I54" s="93"/>
      <c r="J54" s="93"/>
      <c r="K54" s="93"/>
      <c r="L54" s="93">
        <v>1</v>
      </c>
      <c r="M54" s="58"/>
      <c r="N54" s="58"/>
      <c r="O54" s="58"/>
      <c r="P54" s="92"/>
      <c r="Q54" s="58"/>
      <c r="R54" s="92"/>
      <c r="S54" s="58"/>
      <c r="T54" s="92"/>
      <c r="U54" s="58"/>
      <c r="V54" s="92"/>
      <c r="W54" s="58"/>
      <c r="X54" s="92"/>
      <c r="Y54" s="58"/>
      <c r="Z54" s="92"/>
      <c r="AA54" s="58"/>
    </row>
    <row r="55" spans="1:27" ht="26.25" x14ac:dyDescent="0.45">
      <c r="A55" s="58" t="s">
        <v>181</v>
      </c>
      <c r="B55" s="58" t="s">
        <v>128</v>
      </c>
      <c r="C55" s="92"/>
      <c r="D55" s="58"/>
      <c r="E55" s="58"/>
      <c r="F55" s="58"/>
      <c r="G55" s="58"/>
      <c r="H55" s="93"/>
      <c r="I55" s="93"/>
      <c r="J55" s="93"/>
      <c r="K55" s="93"/>
      <c r="L55" s="93">
        <v>1</v>
      </c>
      <c r="M55" s="58"/>
      <c r="N55" s="58"/>
      <c r="O55" s="58"/>
      <c r="P55" s="92"/>
      <c r="Q55" s="58"/>
      <c r="R55" s="92"/>
      <c r="S55" s="58"/>
      <c r="T55" s="92"/>
      <c r="U55" s="58"/>
      <c r="V55" s="92"/>
      <c r="W55" s="58"/>
      <c r="X55" s="92"/>
      <c r="Y55" s="58"/>
      <c r="Z55" s="92"/>
      <c r="AA55" s="58"/>
    </row>
    <row r="56" spans="1:27" ht="26.25" x14ac:dyDescent="0.45">
      <c r="A56" s="58" t="s">
        <v>181</v>
      </c>
      <c r="B56" s="58" t="s">
        <v>129</v>
      </c>
      <c r="C56" s="92"/>
      <c r="D56" s="58"/>
      <c r="E56" s="58"/>
      <c r="F56" s="58"/>
      <c r="G56" s="58"/>
      <c r="H56" s="93"/>
      <c r="I56" s="93"/>
      <c r="J56" s="93"/>
      <c r="K56" s="93"/>
      <c r="L56" s="93">
        <v>1</v>
      </c>
      <c r="M56" s="58"/>
      <c r="N56" s="58"/>
      <c r="O56" s="58"/>
      <c r="P56" s="92"/>
      <c r="Q56" s="58"/>
      <c r="R56" s="92"/>
      <c r="S56" s="58"/>
      <c r="T56" s="92"/>
      <c r="U56" s="58"/>
      <c r="V56" s="92"/>
      <c r="W56" s="58"/>
      <c r="X56" s="92"/>
      <c r="Y56" s="58"/>
      <c r="Z56" s="92"/>
      <c r="AA56" s="58"/>
    </row>
    <row r="57" spans="1:27" ht="26.25" x14ac:dyDescent="0.45">
      <c r="A57" s="58" t="s">
        <v>181</v>
      </c>
      <c r="B57" s="58" t="s">
        <v>130</v>
      </c>
      <c r="C57" s="92"/>
      <c r="D57" s="58"/>
      <c r="E57" s="58"/>
      <c r="F57" s="58"/>
      <c r="G57" s="58"/>
      <c r="H57" s="93"/>
      <c r="I57" s="93"/>
      <c r="J57" s="93"/>
      <c r="K57" s="93"/>
      <c r="L57" s="93">
        <v>1</v>
      </c>
      <c r="M57" s="58"/>
      <c r="N57" s="58"/>
      <c r="O57" s="58"/>
      <c r="P57" s="92"/>
      <c r="Q57" s="58"/>
      <c r="R57" s="92"/>
      <c r="S57" s="58"/>
      <c r="T57" s="92"/>
      <c r="U57" s="58"/>
      <c r="V57" s="92"/>
      <c r="W57" s="58"/>
      <c r="X57" s="92"/>
      <c r="Y57" s="58"/>
      <c r="Z57" s="92"/>
      <c r="AA57" s="58"/>
    </row>
    <row r="58" spans="1:27" ht="26.25" x14ac:dyDescent="0.45">
      <c r="A58" s="58" t="s">
        <v>181</v>
      </c>
      <c r="B58" s="58" t="s">
        <v>131</v>
      </c>
      <c r="C58" s="92"/>
      <c r="D58" s="58"/>
      <c r="E58" s="58"/>
      <c r="F58" s="58"/>
      <c r="G58" s="58"/>
      <c r="H58" s="93"/>
      <c r="I58" s="93"/>
      <c r="J58" s="93"/>
      <c r="K58" s="93"/>
      <c r="L58" s="93">
        <v>1</v>
      </c>
      <c r="M58" s="58"/>
      <c r="N58" s="58"/>
      <c r="O58" s="58"/>
      <c r="P58" s="92"/>
      <c r="Q58" s="58"/>
      <c r="R58" s="92"/>
      <c r="S58" s="58"/>
      <c r="T58" s="92"/>
      <c r="U58" s="58"/>
      <c r="V58" s="92"/>
      <c r="W58" s="58"/>
      <c r="X58" s="92"/>
      <c r="Y58" s="58"/>
      <c r="Z58" s="92"/>
      <c r="AA58" s="58"/>
    </row>
    <row r="59" spans="1:27" ht="26.25" x14ac:dyDescent="0.45">
      <c r="A59" s="58" t="s">
        <v>181</v>
      </c>
      <c r="B59" s="58" t="s">
        <v>132</v>
      </c>
      <c r="C59" s="92"/>
      <c r="D59" s="58"/>
      <c r="E59" s="58"/>
      <c r="F59" s="58"/>
      <c r="G59" s="58"/>
      <c r="H59" s="93"/>
      <c r="I59" s="93"/>
      <c r="J59" s="93"/>
      <c r="K59" s="93"/>
      <c r="L59" s="93">
        <v>1</v>
      </c>
      <c r="M59" s="58"/>
      <c r="N59" s="58"/>
      <c r="O59" s="58"/>
      <c r="P59" s="92"/>
      <c r="Q59" s="58"/>
      <c r="R59" s="92"/>
      <c r="S59" s="58"/>
      <c r="T59" s="92"/>
      <c r="U59" s="58"/>
      <c r="V59" s="92"/>
      <c r="W59" s="58"/>
      <c r="X59" s="92"/>
      <c r="Y59" s="58"/>
      <c r="Z59" s="92"/>
      <c r="AA59" s="58"/>
    </row>
    <row r="60" spans="1:27" ht="26.25" x14ac:dyDescent="0.45">
      <c r="A60" s="58" t="s">
        <v>99</v>
      </c>
      <c r="B60" s="58" t="s">
        <v>133</v>
      </c>
      <c r="C60" s="92">
        <v>1</v>
      </c>
      <c r="D60" s="58"/>
      <c r="E60" s="58"/>
      <c r="F60" s="58"/>
      <c r="G60" s="58">
        <v>2</v>
      </c>
      <c r="H60" s="93"/>
      <c r="I60" s="93"/>
      <c r="J60" s="93"/>
      <c r="K60" s="93"/>
      <c r="L60" s="93"/>
      <c r="M60" s="58"/>
      <c r="N60" s="58"/>
      <c r="O60" s="58"/>
      <c r="P60" s="92"/>
      <c r="Q60" s="58"/>
      <c r="R60" s="92"/>
      <c r="S60" s="58"/>
      <c r="T60" s="92"/>
      <c r="U60" s="58"/>
      <c r="V60" s="92"/>
      <c r="W60" s="58"/>
      <c r="X60" s="92"/>
      <c r="Y60" s="58"/>
      <c r="Z60" s="92"/>
      <c r="AA60" s="58"/>
    </row>
    <row r="61" spans="1:27" ht="26.25" x14ac:dyDescent="0.45">
      <c r="A61" s="58" t="s">
        <v>140</v>
      </c>
      <c r="B61" s="58" t="s">
        <v>134</v>
      </c>
      <c r="C61" s="92"/>
      <c r="D61" s="58"/>
      <c r="E61" s="58"/>
      <c r="F61" s="58"/>
      <c r="G61" s="58"/>
      <c r="H61" s="93">
        <v>6</v>
      </c>
      <c r="I61" s="93"/>
      <c r="J61" s="93"/>
      <c r="K61" s="93"/>
      <c r="L61" s="93"/>
      <c r="M61" s="58"/>
      <c r="N61" s="58"/>
      <c r="O61" s="58"/>
      <c r="P61" s="92"/>
      <c r="Q61" s="58"/>
      <c r="R61" s="92"/>
      <c r="S61" s="58"/>
      <c r="T61" s="92"/>
      <c r="U61" s="58"/>
      <c r="V61" s="92"/>
      <c r="W61" s="58"/>
      <c r="X61" s="92"/>
      <c r="Y61" s="58"/>
      <c r="Z61" s="92"/>
      <c r="AA61" s="58"/>
    </row>
    <row r="62" spans="1:27" ht="26.25" x14ac:dyDescent="0.45">
      <c r="A62" s="58" t="s">
        <v>140</v>
      </c>
      <c r="B62" s="58" t="s">
        <v>135</v>
      </c>
      <c r="C62" s="92"/>
      <c r="D62" s="58"/>
      <c r="E62" s="58"/>
      <c r="F62" s="58"/>
      <c r="G62" s="58"/>
      <c r="H62" s="93">
        <v>6</v>
      </c>
      <c r="I62" s="93"/>
      <c r="J62" s="93"/>
      <c r="K62" s="93"/>
      <c r="L62" s="93"/>
      <c r="M62" s="58"/>
      <c r="N62" s="58"/>
      <c r="O62" s="58"/>
      <c r="P62" s="92"/>
      <c r="Q62" s="58"/>
      <c r="R62" s="92"/>
      <c r="S62" s="58"/>
      <c r="T62" s="92"/>
      <c r="U62" s="58"/>
      <c r="V62" s="92"/>
      <c r="W62" s="58"/>
      <c r="X62" s="92"/>
      <c r="Y62" s="58"/>
      <c r="Z62" s="92"/>
      <c r="AA62" s="58"/>
    </row>
    <row r="63" spans="1:27" ht="26.25" x14ac:dyDescent="0.45">
      <c r="A63" s="58" t="s">
        <v>140</v>
      </c>
      <c r="B63" s="58" t="s">
        <v>136</v>
      </c>
      <c r="C63" s="92"/>
      <c r="D63" s="58"/>
      <c r="E63" s="58"/>
      <c r="F63" s="58"/>
      <c r="G63" s="58"/>
      <c r="H63" s="93"/>
      <c r="I63" s="93">
        <v>2</v>
      </c>
      <c r="J63" s="93"/>
      <c r="K63" s="93"/>
      <c r="L63" s="93"/>
      <c r="M63" s="58"/>
      <c r="N63" s="58"/>
      <c r="O63" s="58"/>
      <c r="P63" s="92"/>
      <c r="Q63" s="58"/>
      <c r="R63" s="92"/>
      <c r="S63" s="58"/>
      <c r="T63" s="92"/>
      <c r="U63" s="58"/>
      <c r="V63" s="92"/>
      <c r="W63" s="58"/>
      <c r="X63" s="92"/>
      <c r="Y63" s="58"/>
      <c r="Z63" s="92"/>
      <c r="AA63" s="58"/>
    </row>
    <row r="64" spans="1:27" ht="26.25" x14ac:dyDescent="0.45">
      <c r="A64" s="58" t="s">
        <v>140</v>
      </c>
      <c r="B64" s="58" t="s">
        <v>137</v>
      </c>
      <c r="C64" s="92"/>
      <c r="D64" s="58"/>
      <c r="E64" s="58"/>
      <c r="F64" s="58"/>
      <c r="G64" s="58"/>
      <c r="H64" s="93"/>
      <c r="I64" s="93">
        <v>2</v>
      </c>
      <c r="J64" s="93"/>
      <c r="K64" s="93"/>
      <c r="L64" s="93"/>
      <c r="M64" s="58"/>
      <c r="N64" s="58"/>
      <c r="O64" s="58"/>
      <c r="P64" s="92"/>
      <c r="Q64" s="58"/>
      <c r="R64" s="92"/>
      <c r="S64" s="58"/>
      <c r="T64" s="92"/>
      <c r="U64" s="58"/>
      <c r="V64" s="92"/>
      <c r="W64" s="58"/>
      <c r="X64" s="92"/>
      <c r="Y64" s="58"/>
      <c r="Z64" s="92"/>
      <c r="AA64" s="58"/>
    </row>
    <row r="65" spans="1:27" ht="26.25" x14ac:dyDescent="0.45">
      <c r="A65" s="58" t="s">
        <v>140</v>
      </c>
      <c r="B65" s="58" t="s">
        <v>138</v>
      </c>
      <c r="C65" s="92"/>
      <c r="D65" s="58"/>
      <c r="E65" s="58"/>
      <c r="F65" s="58"/>
      <c r="G65" s="58"/>
      <c r="H65" s="93"/>
      <c r="I65" s="93">
        <v>2</v>
      </c>
      <c r="J65" s="93"/>
      <c r="K65" s="93"/>
      <c r="L65" s="93"/>
      <c r="M65" s="58"/>
      <c r="N65" s="58"/>
      <c r="O65" s="58"/>
      <c r="P65" s="92"/>
      <c r="Q65" s="58"/>
      <c r="R65" s="92"/>
      <c r="S65" s="58"/>
      <c r="T65" s="92"/>
      <c r="U65" s="58"/>
      <c r="V65" s="92"/>
      <c r="W65" s="58"/>
      <c r="X65" s="92"/>
      <c r="Y65" s="58"/>
      <c r="Z65" s="92"/>
      <c r="AA65" s="58"/>
    </row>
    <row r="66" spans="1:27" ht="26.25" x14ac:dyDescent="0.45">
      <c r="A66" s="58" t="s">
        <v>140</v>
      </c>
      <c r="B66" s="58" t="s">
        <v>139</v>
      </c>
      <c r="C66" s="92"/>
      <c r="D66" s="58"/>
      <c r="E66" s="58"/>
      <c r="F66" s="58"/>
      <c r="G66" s="58"/>
      <c r="H66" s="93"/>
      <c r="I66" s="93">
        <v>2</v>
      </c>
      <c r="J66" s="93"/>
      <c r="K66" s="93"/>
      <c r="L66" s="93"/>
      <c r="M66" s="58"/>
      <c r="N66" s="58"/>
      <c r="O66" s="58"/>
      <c r="P66" s="92"/>
      <c r="Q66" s="58"/>
      <c r="R66" s="92"/>
      <c r="S66" s="58"/>
      <c r="T66" s="92"/>
      <c r="U66" s="58"/>
      <c r="V66" s="92"/>
      <c r="W66" s="58"/>
      <c r="X66" s="92"/>
      <c r="Y66" s="58"/>
      <c r="Z66" s="92"/>
      <c r="AA66" s="58"/>
    </row>
    <row r="67" spans="1:27" ht="26.25" x14ac:dyDescent="0.45">
      <c r="A67" s="58" t="s">
        <v>140</v>
      </c>
      <c r="B67" s="58" t="s">
        <v>140</v>
      </c>
      <c r="C67" s="92"/>
      <c r="D67" s="58"/>
      <c r="E67" s="58"/>
      <c r="F67" s="58"/>
      <c r="G67" s="58"/>
      <c r="H67" s="93">
        <v>6</v>
      </c>
      <c r="I67" s="93">
        <v>8</v>
      </c>
      <c r="J67" s="93"/>
      <c r="K67" s="93"/>
      <c r="L67" s="93"/>
      <c r="M67" s="58"/>
      <c r="N67" s="58"/>
      <c r="O67" s="58"/>
      <c r="P67" s="92"/>
      <c r="Q67" s="58"/>
      <c r="R67" s="92"/>
      <c r="S67" s="58"/>
      <c r="T67" s="92"/>
      <c r="U67" s="58"/>
      <c r="V67" s="92"/>
      <c r="W67" s="58"/>
      <c r="X67" s="92"/>
      <c r="Y67" s="58"/>
      <c r="Z67" s="92"/>
      <c r="AA67" s="58"/>
    </row>
    <row r="68" spans="1:27" ht="26.25" x14ac:dyDescent="0.45">
      <c r="A68" s="58" t="s">
        <v>179</v>
      </c>
      <c r="B68" s="58" t="s">
        <v>141</v>
      </c>
      <c r="C68" s="92"/>
      <c r="D68" s="58"/>
      <c r="E68" s="58"/>
      <c r="F68" s="58"/>
      <c r="G68" s="58"/>
      <c r="H68" s="93"/>
      <c r="I68" s="93"/>
      <c r="J68" s="93"/>
      <c r="K68" s="93"/>
      <c r="L68" s="93">
        <v>2</v>
      </c>
      <c r="M68" s="58"/>
      <c r="N68" s="58"/>
      <c r="O68" s="58"/>
      <c r="P68" s="92"/>
      <c r="Q68" s="58"/>
      <c r="R68" s="92"/>
      <c r="S68" s="58"/>
      <c r="T68" s="92"/>
      <c r="U68" s="58"/>
      <c r="V68" s="92"/>
      <c r="W68" s="58"/>
      <c r="X68" s="92"/>
      <c r="Y68" s="58"/>
      <c r="Z68" s="92"/>
      <c r="AA68" s="58"/>
    </row>
    <row r="69" spans="1:27" ht="26.25" x14ac:dyDescent="0.45">
      <c r="A69" s="58" t="s">
        <v>178</v>
      </c>
      <c r="B69" s="58" t="s">
        <v>142</v>
      </c>
      <c r="C69" s="92"/>
      <c r="D69" s="58"/>
      <c r="E69" s="58"/>
      <c r="F69" s="58">
        <v>8</v>
      </c>
      <c r="G69" s="58"/>
      <c r="H69" s="93"/>
      <c r="I69" s="93"/>
      <c r="J69" s="93"/>
      <c r="K69" s="93"/>
      <c r="L69" s="93"/>
      <c r="M69" s="58"/>
      <c r="N69" s="58"/>
      <c r="O69" s="58"/>
      <c r="P69" s="92"/>
      <c r="Q69" s="58"/>
      <c r="R69" s="92"/>
      <c r="S69" s="58"/>
      <c r="T69" s="92"/>
      <c r="U69" s="58"/>
      <c r="V69" s="92"/>
      <c r="W69" s="58"/>
      <c r="X69" s="92"/>
      <c r="Y69" s="58"/>
      <c r="Z69" s="92"/>
      <c r="AA69" s="58"/>
    </row>
    <row r="70" spans="1:27" ht="26.25" x14ac:dyDescent="0.45">
      <c r="A70" s="58" t="s">
        <v>178</v>
      </c>
      <c r="B70" s="58" t="s">
        <v>95</v>
      </c>
      <c r="C70" s="92"/>
      <c r="D70" s="58"/>
      <c r="E70" s="58"/>
      <c r="F70" s="58">
        <v>4</v>
      </c>
      <c r="G70" s="58"/>
      <c r="H70" s="93"/>
      <c r="I70" s="93"/>
      <c r="J70" s="93"/>
      <c r="K70" s="93"/>
      <c r="L70" s="93"/>
      <c r="M70" s="58"/>
      <c r="N70" s="58"/>
      <c r="O70" s="58"/>
      <c r="P70" s="92"/>
      <c r="Q70" s="58"/>
      <c r="R70" s="92"/>
      <c r="S70" s="58"/>
      <c r="T70" s="92"/>
      <c r="U70" s="58"/>
      <c r="V70" s="92"/>
      <c r="W70" s="58"/>
      <c r="X70" s="92"/>
      <c r="Y70" s="58"/>
      <c r="Z70" s="92"/>
      <c r="AA70" s="58"/>
    </row>
    <row r="71" spans="1:27" ht="26.25" x14ac:dyDescent="0.45">
      <c r="A71" s="58" t="s">
        <v>181</v>
      </c>
      <c r="B71" s="58" t="s">
        <v>143</v>
      </c>
      <c r="C71" s="92"/>
      <c r="D71" s="58"/>
      <c r="E71" s="58"/>
      <c r="F71" s="58"/>
      <c r="G71" s="58"/>
      <c r="H71" s="93"/>
      <c r="I71" s="93"/>
      <c r="J71" s="93"/>
      <c r="K71" s="93"/>
      <c r="L71" s="93">
        <v>1</v>
      </c>
      <c r="M71" s="58"/>
      <c r="N71" s="58"/>
      <c r="O71" s="58"/>
      <c r="P71" s="92"/>
      <c r="Q71" s="58"/>
      <c r="R71" s="92"/>
      <c r="S71" s="58"/>
      <c r="T71" s="92"/>
      <c r="U71" s="58"/>
      <c r="V71" s="92"/>
      <c r="W71" s="58"/>
      <c r="X71" s="92"/>
      <c r="Y71" s="58"/>
      <c r="Z71" s="92"/>
      <c r="AA71" s="58"/>
    </row>
    <row r="72" spans="1:27" ht="26.25" x14ac:dyDescent="0.45">
      <c r="A72" s="58"/>
      <c r="B72" s="59"/>
      <c r="C72" s="60"/>
      <c r="D72" s="59"/>
      <c r="E72" s="59"/>
      <c r="F72" s="59"/>
      <c r="G72" s="59"/>
      <c r="H72" s="61"/>
      <c r="I72" s="61"/>
      <c r="J72" s="61"/>
      <c r="K72" s="61"/>
      <c r="L72" s="61"/>
      <c r="M72" s="59"/>
      <c r="N72" s="59"/>
      <c r="O72" s="59"/>
      <c r="P72" s="60"/>
      <c r="Q72" s="59"/>
      <c r="R72" s="60"/>
      <c r="S72" s="59"/>
      <c r="T72" s="60"/>
      <c r="U72" s="59"/>
      <c r="V72" s="60"/>
      <c r="W72" s="59"/>
      <c r="X72" s="60"/>
      <c r="Y72" s="59"/>
      <c r="Z72" s="60"/>
      <c r="AA72" s="59"/>
    </row>
    <row r="73" spans="1:27" ht="26.25" x14ac:dyDescent="0.45">
      <c r="A73" s="58"/>
      <c r="B73" s="59"/>
      <c r="C73" s="60"/>
      <c r="D73" s="59"/>
      <c r="E73" s="59"/>
      <c r="F73" s="59"/>
      <c r="G73" s="59"/>
      <c r="H73" s="61"/>
      <c r="I73" s="61"/>
      <c r="J73" s="61"/>
      <c r="K73" s="61"/>
      <c r="L73" s="61"/>
      <c r="M73" s="59"/>
      <c r="N73" s="59"/>
      <c r="O73" s="59"/>
      <c r="P73" s="60"/>
      <c r="Q73" s="59"/>
      <c r="R73" s="60"/>
      <c r="S73" s="59"/>
      <c r="T73" s="60"/>
      <c r="U73" s="59"/>
      <c r="V73" s="60"/>
      <c r="W73" s="59"/>
      <c r="X73" s="60"/>
      <c r="Y73" s="59"/>
      <c r="Z73" s="60"/>
      <c r="AA73" s="59"/>
    </row>
    <row r="74" spans="1:27" s="94" customFormat="1" ht="26.25" customHeight="1" x14ac:dyDescent="0.45">
      <c r="A74" s="58" t="s">
        <v>144</v>
      </c>
      <c r="B74" s="58" t="s">
        <v>144</v>
      </c>
      <c r="C74" s="92"/>
      <c r="D74" s="58"/>
      <c r="E74" s="58"/>
      <c r="F74" s="58"/>
      <c r="G74" s="58"/>
      <c r="H74" s="93"/>
      <c r="I74" s="93"/>
      <c r="J74" s="93">
        <v>3</v>
      </c>
      <c r="K74" s="93"/>
      <c r="L74" s="93"/>
      <c r="M74" s="58"/>
      <c r="N74" s="58">
        <v>3</v>
      </c>
      <c r="O74" s="58"/>
      <c r="P74" s="92"/>
      <c r="Q74" s="58"/>
      <c r="R74" s="92"/>
      <c r="S74" s="58"/>
      <c r="T74" s="92"/>
      <c r="U74" s="58"/>
      <c r="V74" s="92"/>
      <c r="W74" s="58"/>
      <c r="X74" s="92"/>
      <c r="Y74" s="58"/>
      <c r="Z74" s="92"/>
      <c r="AA74" s="58">
        <v>18</v>
      </c>
    </row>
  </sheetData>
  <mergeCells count="33">
    <mergeCell ref="A1:B1"/>
    <mergeCell ref="A2:B2"/>
    <mergeCell ref="F4:F5"/>
    <mergeCell ref="D1:G1"/>
    <mergeCell ref="H1:L1"/>
    <mergeCell ref="M1:O1"/>
    <mergeCell ref="H2:I2"/>
    <mergeCell ref="A3:B3"/>
    <mergeCell ref="A4:B4"/>
    <mergeCell ref="C4:C5"/>
    <mergeCell ref="D4:D5"/>
    <mergeCell ref="E4:E5"/>
    <mergeCell ref="R4:R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Y4:Y5"/>
    <mergeCell ref="Z4:Z5"/>
    <mergeCell ref="AA4:AA5"/>
    <mergeCell ref="S4:S5"/>
    <mergeCell ref="T4:T5"/>
    <mergeCell ref="U4:U5"/>
    <mergeCell ref="V4:V5"/>
    <mergeCell ref="W4:W5"/>
    <mergeCell ref="X4:X5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26C3-A2CC-4022-9236-360EBACD3A3E}">
  <dimension ref="A1:AD8"/>
  <sheetViews>
    <sheetView workbookViewId="0">
      <selection activeCell="C11" sqref="C11"/>
    </sheetView>
  </sheetViews>
  <sheetFormatPr defaultRowHeight="17.25" x14ac:dyDescent="0.3"/>
  <cols>
    <col min="1" max="1" width="8.6640625" bestFit="1" customWidth="1"/>
    <col min="2" max="2" width="10.44140625" bestFit="1" customWidth="1"/>
  </cols>
  <sheetData>
    <row r="1" spans="1:30" ht="45.75" customHeight="1" x14ac:dyDescent="0.3">
      <c r="A1" s="125" t="s">
        <v>32</v>
      </c>
      <c r="B1" s="126"/>
      <c r="C1" s="125" t="s">
        <v>33</v>
      </c>
      <c r="D1" s="127"/>
      <c r="E1" s="126"/>
      <c r="F1" s="128" t="s">
        <v>34</v>
      </c>
      <c r="G1" s="129"/>
      <c r="H1" s="130"/>
      <c r="I1" s="119" t="s">
        <v>35</v>
      </c>
      <c r="J1" s="132"/>
      <c r="K1" s="120"/>
      <c r="L1" s="128" t="s">
        <v>36</v>
      </c>
      <c r="M1" s="129"/>
      <c r="N1" s="130"/>
      <c r="O1" s="37" t="s">
        <v>37</v>
      </c>
      <c r="P1" s="38" t="s">
        <v>38</v>
      </c>
      <c r="Q1" s="37" t="s">
        <v>39</v>
      </c>
      <c r="R1" s="128" t="s">
        <v>40</v>
      </c>
      <c r="S1" s="130"/>
      <c r="T1" s="37" t="s">
        <v>41</v>
      </c>
      <c r="U1" s="38" t="s">
        <v>42</v>
      </c>
      <c r="V1" s="39" t="s">
        <v>43</v>
      </c>
      <c r="W1" s="131" t="s">
        <v>44</v>
      </c>
      <c r="X1" s="131"/>
      <c r="Y1" s="119" t="s">
        <v>45</v>
      </c>
      <c r="Z1" s="120"/>
      <c r="AA1" s="40" t="s">
        <v>46</v>
      </c>
      <c r="AB1" s="41" t="s">
        <v>47</v>
      </c>
      <c r="AC1" s="42" t="s">
        <v>48</v>
      </c>
      <c r="AD1" s="40" t="s">
        <v>49</v>
      </c>
    </row>
    <row r="2" spans="1:30" ht="41.25" customHeight="1" x14ac:dyDescent="0.3">
      <c r="A2" s="125" t="s">
        <v>50</v>
      </c>
      <c r="B2" s="126"/>
      <c r="C2" s="125"/>
      <c r="D2" s="127"/>
      <c r="E2" s="126"/>
      <c r="F2" s="128"/>
      <c r="G2" s="129"/>
      <c r="H2" s="130"/>
      <c r="I2" s="125"/>
      <c r="J2" s="127"/>
      <c r="K2" s="126"/>
      <c r="L2" s="128"/>
      <c r="M2" s="129"/>
      <c r="N2" s="130"/>
      <c r="O2" s="39"/>
      <c r="P2" s="43"/>
      <c r="Q2" s="39"/>
      <c r="R2" s="43"/>
      <c r="S2" s="43"/>
      <c r="T2" s="39"/>
      <c r="U2" s="43"/>
      <c r="V2" s="39"/>
      <c r="W2" s="128"/>
      <c r="X2" s="130"/>
      <c r="Y2" s="119"/>
      <c r="Z2" s="120"/>
      <c r="AA2" s="43"/>
      <c r="AB2" s="43"/>
      <c r="AC2" s="39"/>
      <c r="AD2" s="43"/>
    </row>
    <row r="3" spans="1:30" ht="41.25" customHeight="1" x14ac:dyDescent="0.3">
      <c r="A3" s="121" t="s">
        <v>2</v>
      </c>
      <c r="B3" s="122"/>
      <c r="C3" s="44">
        <v>1</v>
      </c>
      <c r="D3" s="44">
        <v>5</v>
      </c>
      <c r="E3" s="44">
        <v>10</v>
      </c>
      <c r="F3" s="45">
        <v>1</v>
      </c>
      <c r="G3" s="45">
        <v>5</v>
      </c>
      <c r="H3" s="45">
        <v>10</v>
      </c>
      <c r="I3" s="44">
        <v>1</v>
      </c>
      <c r="J3" s="44">
        <v>5</v>
      </c>
      <c r="K3" s="44">
        <v>10</v>
      </c>
      <c r="L3" s="45">
        <v>1</v>
      </c>
      <c r="M3" s="45">
        <v>5</v>
      </c>
      <c r="N3" s="45">
        <v>10</v>
      </c>
      <c r="O3" s="44">
        <v>1</v>
      </c>
      <c r="P3" s="45">
        <v>1</v>
      </c>
      <c r="Q3" s="44">
        <v>1</v>
      </c>
      <c r="R3" s="46">
        <v>500</v>
      </c>
      <c r="S3" s="45">
        <v>1</v>
      </c>
      <c r="T3" s="44">
        <v>1</v>
      </c>
      <c r="U3" s="45">
        <v>1</v>
      </c>
      <c r="V3" s="44">
        <v>1</v>
      </c>
      <c r="W3" s="46">
        <v>500</v>
      </c>
      <c r="X3" s="45">
        <v>1</v>
      </c>
      <c r="Y3" s="47">
        <v>500</v>
      </c>
      <c r="Z3" s="48">
        <v>1</v>
      </c>
      <c r="AA3" s="45">
        <v>1</v>
      </c>
      <c r="AB3" s="45">
        <v>1</v>
      </c>
      <c r="AC3" s="44">
        <v>1</v>
      </c>
      <c r="AD3" s="45">
        <v>1</v>
      </c>
    </row>
    <row r="4" spans="1:30" ht="27" customHeight="1" x14ac:dyDescent="0.3">
      <c r="A4" s="123" t="s">
        <v>31</v>
      </c>
      <c r="B4" s="124"/>
      <c r="C4" s="117">
        <f t="shared" ref="C4:AD4" si="0">SUM(C5:C8)</f>
        <v>33</v>
      </c>
      <c r="D4" s="117">
        <f t="shared" si="0"/>
        <v>13</v>
      </c>
      <c r="E4" s="117">
        <f t="shared" si="0"/>
        <v>168</v>
      </c>
      <c r="F4" s="117">
        <f t="shared" si="0"/>
        <v>0</v>
      </c>
      <c r="G4" s="117">
        <f t="shared" si="0"/>
        <v>0</v>
      </c>
      <c r="H4" s="117">
        <f t="shared" si="0"/>
        <v>0</v>
      </c>
      <c r="I4" s="117">
        <f t="shared" si="0"/>
        <v>37</v>
      </c>
      <c r="J4" s="117">
        <f t="shared" si="0"/>
        <v>6</v>
      </c>
      <c r="K4" s="117">
        <f t="shared" si="0"/>
        <v>6</v>
      </c>
      <c r="L4" s="117">
        <f t="shared" si="0"/>
        <v>2</v>
      </c>
      <c r="M4" s="117">
        <f t="shared" si="0"/>
        <v>0</v>
      </c>
      <c r="N4" s="117">
        <f t="shared" si="0"/>
        <v>0</v>
      </c>
      <c r="O4" s="117">
        <f t="shared" si="0"/>
        <v>2</v>
      </c>
      <c r="P4" s="117">
        <f t="shared" si="0"/>
        <v>0</v>
      </c>
      <c r="Q4" s="117">
        <f t="shared" si="0"/>
        <v>12</v>
      </c>
      <c r="R4" s="117">
        <f t="shared" si="0"/>
        <v>1</v>
      </c>
      <c r="S4" s="117">
        <f t="shared" si="0"/>
        <v>5</v>
      </c>
      <c r="T4" s="117">
        <f t="shared" si="0"/>
        <v>2</v>
      </c>
      <c r="U4" s="117">
        <f t="shared" si="0"/>
        <v>12</v>
      </c>
      <c r="V4" s="117">
        <f t="shared" si="0"/>
        <v>2</v>
      </c>
      <c r="W4" s="117">
        <f t="shared" si="0"/>
        <v>0</v>
      </c>
      <c r="X4" s="117">
        <f t="shared" si="0"/>
        <v>0</v>
      </c>
      <c r="Y4" s="117">
        <f t="shared" si="0"/>
        <v>0</v>
      </c>
      <c r="Z4" s="117">
        <f t="shared" si="0"/>
        <v>0</v>
      </c>
      <c r="AA4" s="117">
        <f t="shared" si="0"/>
        <v>0</v>
      </c>
      <c r="AB4" s="117">
        <f t="shared" si="0"/>
        <v>4</v>
      </c>
      <c r="AC4" s="117">
        <f t="shared" si="0"/>
        <v>2</v>
      </c>
      <c r="AD4" s="117">
        <f t="shared" si="0"/>
        <v>1</v>
      </c>
    </row>
    <row r="5" spans="1:30" ht="24.75" customHeight="1" x14ac:dyDescent="0.3">
      <c r="A5" s="49" t="s">
        <v>51</v>
      </c>
      <c r="B5" s="49" t="s">
        <v>52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</row>
    <row r="6" spans="1:30" ht="41.25" customHeight="1" x14ac:dyDescent="0.3">
      <c r="A6" s="49" t="s">
        <v>53</v>
      </c>
      <c r="B6" s="49" t="s">
        <v>54</v>
      </c>
      <c r="C6" s="17">
        <f>SUMIFS('[1]은평구08.18'!$G:$G, '[1]은평구08.18'!$D:$D, "백미(친환경)")</f>
        <v>31</v>
      </c>
      <c r="D6" s="17">
        <f>SUMIFS('[1]은평구08.18'!$F:$F, '[1]은평구08.18'!$D:$D, "백미(친환경)")</f>
        <v>6</v>
      </c>
      <c r="E6" s="17">
        <f>SUMIFS('[1]은평구08.18'!$E:$E, '[1]은평구08.18'!$D:$D, "백미(친환경)")</f>
        <v>91</v>
      </c>
      <c r="F6" s="50">
        <f>SUMIFS('[1]은평구08.18'!$G:$G, '[1]은평구08.18'!$D:$D, "현미(친환경)")</f>
        <v>0</v>
      </c>
      <c r="G6" s="50">
        <f>SUMIFS('[1]은평구08.18'!$F:$F, '[1]은평구08.18'!$D:$D, "현미(친환경)")</f>
        <v>0</v>
      </c>
      <c r="H6" s="50">
        <f>SUMIFS('[1]은평구08.18'!$E:$E, '[1]은평구08.18'!$D:$D, "현미(친환경)")</f>
        <v>0</v>
      </c>
      <c r="I6" s="51">
        <f>SUMIFS('[1]은평구08.18'!$G:$G, '[1]은평구08.18'!$D:$D, "찹쌀(친환경)")</f>
        <v>37</v>
      </c>
      <c r="J6" s="51">
        <f>SUMIFS('[1]은평구08.18'!$F:$F, '[1]은평구08.18'!$D:$D, "찹쌀(친환경)")</f>
        <v>6</v>
      </c>
      <c r="K6" s="51">
        <f>SUMIFS('[1]은평구08.18'!$E:$E, '[1]은평구08.18'!$D:$D, "찹쌀(친환경)")</f>
        <v>0</v>
      </c>
      <c r="L6" s="50">
        <f>SUMIFS('[1]은평구08.18'!$G:$G, '[1]은평구08.18'!$D:$D, "찹쌀현미(친환경)")</f>
        <v>2</v>
      </c>
      <c r="M6" s="50">
        <f>SUMIFS('[1]은평구08.18'!$F:$F, '[1]은평구08.18'!$D:$D, "찹쌀현미(친환경)")</f>
        <v>0</v>
      </c>
      <c r="N6" s="50">
        <f>SUMIFS('[1]은평구08.18'!$E:$E, '[1]은평구08.18'!$D:$D, "찹쌀현미(친환경)")</f>
        <v>0</v>
      </c>
      <c r="O6" s="51">
        <f>SUMIFS('[1]은평구08.18'!$G:$G, '[1]은평구08.18'!$D:$D, "귀리(친환경)")</f>
        <v>2</v>
      </c>
      <c r="P6" s="50">
        <f>SUMIFS('[1]은평구08.18'!$G:$G, '[1]은평구08.18'!$D:$D, "보리(친환경)")</f>
        <v>0</v>
      </c>
      <c r="Q6" s="51">
        <f>SUMIFS('[1]은평구08.18'!$G:$G, '[1]은평구08.18'!$D:$D, "기장(친환경)")</f>
        <v>9</v>
      </c>
      <c r="R6" s="50">
        <f>SUMIFS('[1]은평구08.18'!$H:$H, '[1]은평구08.18'!$D:$D, "흑미(친환경)")</f>
        <v>1</v>
      </c>
      <c r="S6" s="50">
        <f>SUMIFS('[1]은평구08.18'!$G:$G, '[1]은평구08.18'!$D:$D, "흑미(친환경)")</f>
        <v>2</v>
      </c>
      <c r="T6" s="51">
        <f>SUMIFS('[1]은평구08.18'!$G:$G, '[1]은평구08.18'!$D:$D, "차조(친환경)")</f>
        <v>2</v>
      </c>
      <c r="U6" s="50">
        <f>SUMIFS('[1]은평구08.18'!$G:$G, '[1]은평구08.18'!$D:$D, "발아현미(친환경)")</f>
        <v>9</v>
      </c>
      <c r="V6" s="51">
        <f>SUMIFS('[1]은평구08.18'!$G:$G, '[1]은평구08.18'!$D:$D, "수수(친환경)")</f>
        <v>2</v>
      </c>
      <c r="W6" s="50">
        <f>SUMIFS('[1]은평구08.18'!$H:$H, '[1]은평구08.18'!$D:$D, "쥐눈이콩(친환경)")</f>
        <v>0</v>
      </c>
      <c r="X6" s="50">
        <f>SUMIFS('[1]은평구08.18'!$G:$G, '[1]은평구08.18'!$D:$D, "쥐눈이콩(친환경)")</f>
        <v>0</v>
      </c>
      <c r="Y6" s="51">
        <f>SUMIFS('[1]은평구08.18'!$H:$H, '[1]은평구08.18'!$D:$D, "팥(친환경)")</f>
        <v>0</v>
      </c>
      <c r="Z6" s="51">
        <f>SUMIFS('[1]은평구08.18'!$G:$G, '[1]은평구08.18'!$D:$D, "팥(친환경)")</f>
        <v>0</v>
      </c>
      <c r="AA6" s="52">
        <f>SUMIFS('[1]은평구08.18'!$G:$G, '[1]은평구08.18'!$D:$D, "칼슘기장(일반)")</f>
        <v>0</v>
      </c>
      <c r="AB6" s="52">
        <f>SUMIFS('[1]은평구08.18'!$G:$G, '[1]은평구08.18'!$D:$D, "혼합곡(친환경)")</f>
        <v>4</v>
      </c>
      <c r="AC6" s="53">
        <f>SUMIFS('[1]은평구08.18'!$G:$G, '[1]은평구08.18'!$D:$D, "율무(친환경)")</f>
        <v>2</v>
      </c>
      <c r="AD6" s="52">
        <f>SUMIFS('[1]은평구08.18'!$G:$G, '[1]은평구08.18'!$D:$D, "녹두(친환경)")</f>
        <v>1</v>
      </c>
    </row>
    <row r="7" spans="1:30" ht="41.25" customHeight="1" x14ac:dyDescent="0.3">
      <c r="A7" s="49" t="s">
        <v>55</v>
      </c>
      <c r="B7" s="49" t="s">
        <v>54</v>
      </c>
      <c r="C7" s="51">
        <f>SUMIFS([1]서대문구08.18!$G:$G, [1]서대문구08.18!$D:$D, "백미(친환경)")</f>
        <v>2</v>
      </c>
      <c r="D7" s="51">
        <f>SUMIFS([1]서대문구08.18!$F:$F, [1]서대문구08.18!$D:$D, "백미(친환경)")</f>
        <v>7</v>
      </c>
      <c r="E7" s="51">
        <f>SUMIFS([1]서대문구08.18!$E:$E, [1]서대문구08.18!$D:$D, "백미(친환경)")</f>
        <v>75</v>
      </c>
      <c r="F7" s="50">
        <f>SUMIFS([1]서대문구08.18!$G:$G, [1]서대문구08.18!$D:$D, "현미(친환경)")</f>
        <v>0</v>
      </c>
      <c r="G7" s="50">
        <f>SUMIFS([1]서대문구08.18!$F:$F, [1]서대문구08.18!$D:$D, "현미(친환경)")</f>
        <v>0</v>
      </c>
      <c r="H7" s="50">
        <f>SUMIFS([1]서대문구08.18!$E:$E, [1]서대문구08.18!$D:$D, "현미(친환경)")</f>
        <v>0</v>
      </c>
      <c r="I7" s="51">
        <f>SUMIFS([1]서대문구08.18!$G:$G, [1]서대문구08.18!$D:$D, "찹쌀(친환경)")</f>
        <v>0</v>
      </c>
      <c r="J7" s="51">
        <f>SUMIFS([1]서대문구08.18!$F:$F, [1]서대문구08.18!$D:$D, "찹쌀(친환경)")</f>
        <v>0</v>
      </c>
      <c r="K7" s="51">
        <f>SUMIFS([1]서대문구08.18!$E:$E, [1]서대문구08.18!$D:$D, "찹쌀(친환경)")</f>
        <v>6</v>
      </c>
      <c r="L7" s="50">
        <f>SUMIFS([1]서대문구08.18!$G:$G, [1]서대문구08.18!$D:$D, "찹쌀현미(친환경)")</f>
        <v>0</v>
      </c>
      <c r="M7" s="50">
        <f>SUMIFS([1]서대문구08.18!$F:$F, [1]서대문구08.18!$D:$D, "찹쌀현미(친환경)")</f>
        <v>0</v>
      </c>
      <c r="N7" s="50">
        <f>SUMIFS([1]서대문구08.18!$E:$E, [1]서대문구08.18!$D:$D, "찹쌀현미(친환경)")</f>
        <v>0</v>
      </c>
      <c r="O7" s="51">
        <f>SUMIFS([1]서대문구08.18!$G:$G, [1]서대문구08.18!$D:$D, "귀리(친환경)")</f>
        <v>0</v>
      </c>
      <c r="P7" s="50">
        <f>SUMIFS([1]서대문구08.18!$G:$G, [1]서대문구08.18!$D:$D, "보리(친환경)")</f>
        <v>0</v>
      </c>
      <c r="Q7" s="51">
        <f>SUMIFS([1]서대문구08.18!$G:$G, [1]서대문구08.18!$D:$D, "기장(친환경)")</f>
        <v>3</v>
      </c>
      <c r="R7" s="50">
        <f>SUMIFS([1]서대문구08.18!$H:$H, [1]서대문구08.18!$D:$D, "흑미(친환경)")</f>
        <v>0</v>
      </c>
      <c r="S7" s="50">
        <f>SUMIFS([1]서대문구08.18!$G:$G, [1]서대문구08.18!$D:$D, "흑미(친환경)")</f>
        <v>3</v>
      </c>
      <c r="T7" s="51">
        <f>SUMIFS([1]서대문구08.18!$G:$G, [1]서대문구08.18!$D:$D, "차조(친환경)")</f>
        <v>0</v>
      </c>
      <c r="U7" s="50">
        <f>SUMIFS([1]서대문구08.18!$G:$G, [1]서대문구08.18!$D:$D, "발아현미(친환경)")</f>
        <v>3</v>
      </c>
      <c r="V7" s="51">
        <f>SUMIFS([1]서대문구08.18!$G:$G, [1]서대문구08.18!$D:$D, "수수(친환경)")</f>
        <v>0</v>
      </c>
      <c r="W7" s="50">
        <f>SUMIFS([1]서대문구08.18!$H:$H, [1]서대문구08.18!$D:$D, "쥐눈이콩(친환경)")</f>
        <v>0</v>
      </c>
      <c r="X7" s="50">
        <f>SUMIFS([1]서대문구08.18!$G:$G, [1]서대문구08.18!$D:$D, "쥐눈이콩(친환경)")</f>
        <v>0</v>
      </c>
      <c r="Y7" s="51">
        <f>SUMIFS([1]서대문구08.18!$H:$H, [1]서대문구08.18!$D:$D, "팥(친환경)")</f>
        <v>0</v>
      </c>
      <c r="Z7" s="51">
        <f>SUMIFS([1]서대문구08.18!$G:$G, [1]서대문구08.18!$D:$D, "팥(친환경)")</f>
        <v>0</v>
      </c>
      <c r="AA7" s="52">
        <f>SUMIFS([1]서대문구08.18!$G:$G, [1]서대문구08.18!$D:$D, "칼슘기장(일반)")</f>
        <v>0</v>
      </c>
      <c r="AB7" s="50">
        <f>SUMIFS([1]서대문구08.18!$G:$G, [1]서대문구08.18!$D:$D, "혼합곡(친환경)")</f>
        <v>0</v>
      </c>
      <c r="AC7" s="53">
        <f>SUMIFS([1]서대문구08.18!$G:$G, [1]서대문구08.18!$D:$D, "율무(친환경)")</f>
        <v>0</v>
      </c>
      <c r="AD7" s="50">
        <f>SUMIFS([1]서대문구08.18!$G:$G, [1]서대문구08.18!$D:$D, "녹두(친환경)")</f>
        <v>0</v>
      </c>
    </row>
    <row r="8" spans="1:30" ht="41.25" customHeight="1" x14ac:dyDescent="0.3">
      <c r="A8" s="49" t="s">
        <v>56</v>
      </c>
      <c r="B8" s="49" t="s">
        <v>54</v>
      </c>
      <c r="C8" s="51"/>
      <c r="D8" s="51"/>
      <c r="E8" s="51">
        <v>2</v>
      </c>
      <c r="F8" s="50"/>
      <c r="G8" s="50"/>
      <c r="H8" s="50"/>
      <c r="I8" s="51"/>
      <c r="J8" s="51"/>
      <c r="K8" s="51"/>
      <c r="L8" s="50"/>
      <c r="M8" s="50"/>
      <c r="N8" s="50"/>
      <c r="O8" s="51"/>
      <c r="P8" s="50"/>
      <c r="Q8" s="51"/>
      <c r="R8" s="50"/>
      <c r="S8" s="50"/>
      <c r="T8" s="51"/>
      <c r="U8" s="50"/>
      <c r="V8" s="51"/>
      <c r="W8" s="50"/>
      <c r="X8" s="50"/>
      <c r="Y8" s="51"/>
      <c r="Z8" s="51"/>
      <c r="AA8" s="52"/>
      <c r="AB8" s="50"/>
      <c r="AC8" s="53"/>
      <c r="AD8" s="50"/>
    </row>
  </sheetData>
  <mergeCells count="45">
    <mergeCell ref="W1:X1"/>
    <mergeCell ref="Y1:Z1"/>
    <mergeCell ref="A1:B1"/>
    <mergeCell ref="C1:E1"/>
    <mergeCell ref="F1:H1"/>
    <mergeCell ref="I1:K1"/>
    <mergeCell ref="L1:N1"/>
    <mergeCell ref="R1:S1"/>
    <mergeCell ref="Y2:Z2"/>
    <mergeCell ref="A3:B3"/>
    <mergeCell ref="A4:B4"/>
    <mergeCell ref="C4:C5"/>
    <mergeCell ref="D4:D5"/>
    <mergeCell ref="E4:E5"/>
    <mergeCell ref="F4:F5"/>
    <mergeCell ref="G4:G5"/>
    <mergeCell ref="H4:H5"/>
    <mergeCell ref="I4:I5"/>
    <mergeCell ref="A2:B2"/>
    <mergeCell ref="C2:E2"/>
    <mergeCell ref="F2:H2"/>
    <mergeCell ref="I2:K2"/>
    <mergeCell ref="L2:N2"/>
    <mergeCell ref="W2:X2"/>
    <mergeCell ref="U4:U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AB4:AB5"/>
    <mergeCell ref="AC4:AC5"/>
    <mergeCell ref="AD4:AD5"/>
    <mergeCell ref="V4:V5"/>
    <mergeCell ref="W4:W5"/>
    <mergeCell ref="X4:X5"/>
    <mergeCell ref="Y4:Y5"/>
    <mergeCell ref="Z4:Z5"/>
    <mergeCell ref="AA4:AA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65F9-9F55-4998-A252-C9280FF7C646}">
  <dimension ref="A1:R10"/>
  <sheetViews>
    <sheetView zoomScaleNormal="100" workbookViewId="0">
      <selection activeCell="G12" sqref="G12"/>
    </sheetView>
  </sheetViews>
  <sheetFormatPr defaultRowHeight="17.25" x14ac:dyDescent="0.3"/>
  <cols>
    <col min="1" max="1" width="12.44140625" bestFit="1" customWidth="1"/>
    <col min="2" max="2" width="10.5546875" customWidth="1"/>
  </cols>
  <sheetData>
    <row r="1" spans="1:18" ht="48.75" customHeight="1" x14ac:dyDescent="0.3">
      <c r="A1" s="135" t="s">
        <v>6</v>
      </c>
      <c r="B1" s="136"/>
      <c r="C1" s="145" t="s">
        <v>7</v>
      </c>
      <c r="D1" s="146"/>
      <c r="E1" s="147" t="s">
        <v>8</v>
      </c>
      <c r="F1" s="148"/>
      <c r="G1" s="1" t="s">
        <v>9</v>
      </c>
      <c r="H1" s="2" t="s">
        <v>10</v>
      </c>
      <c r="I1" s="3" t="s">
        <v>21</v>
      </c>
      <c r="J1" s="2" t="s">
        <v>22</v>
      </c>
      <c r="K1" s="3" t="s">
        <v>23</v>
      </c>
      <c r="L1" s="2" t="s">
        <v>24</v>
      </c>
      <c r="M1" s="3" t="s">
        <v>25</v>
      </c>
      <c r="N1" s="2" t="s">
        <v>26</v>
      </c>
      <c r="O1" s="3" t="s">
        <v>27</v>
      </c>
      <c r="P1" s="2" t="s">
        <v>28</v>
      </c>
      <c r="Q1" s="3" t="s">
        <v>29</v>
      </c>
      <c r="R1" s="2" t="s">
        <v>30</v>
      </c>
    </row>
    <row r="2" spans="1:18" ht="40.5" customHeight="1" x14ac:dyDescent="0.3">
      <c r="A2" s="135" t="s">
        <v>11</v>
      </c>
      <c r="B2" s="136"/>
      <c r="C2" s="137"/>
      <c r="D2" s="138"/>
      <c r="E2" s="139"/>
      <c r="F2" s="140"/>
      <c r="G2" s="4"/>
      <c r="H2" s="5"/>
      <c r="I2" s="4"/>
      <c r="J2" s="5"/>
      <c r="K2" s="4"/>
      <c r="L2" s="5"/>
      <c r="M2" s="6"/>
      <c r="N2" s="7"/>
      <c r="O2" s="4"/>
      <c r="P2" s="5"/>
      <c r="Q2" s="4"/>
      <c r="R2" s="8"/>
    </row>
    <row r="3" spans="1:18" ht="40.5" customHeight="1" x14ac:dyDescent="0.3">
      <c r="A3" s="141" t="s">
        <v>2</v>
      </c>
      <c r="B3" s="142"/>
      <c r="C3" s="9" t="s">
        <v>12</v>
      </c>
      <c r="D3" s="9" t="s">
        <v>13</v>
      </c>
      <c r="E3" s="10" t="s">
        <v>12</v>
      </c>
      <c r="F3" s="10" t="s">
        <v>13</v>
      </c>
      <c r="G3" s="9" t="s">
        <v>13</v>
      </c>
      <c r="H3" s="10" t="s">
        <v>13</v>
      </c>
      <c r="I3" s="9" t="s">
        <v>13</v>
      </c>
      <c r="J3" s="10" t="s">
        <v>13</v>
      </c>
      <c r="K3" s="9" t="s">
        <v>13</v>
      </c>
      <c r="L3" s="10" t="s">
        <v>13</v>
      </c>
      <c r="M3" s="9" t="s">
        <v>13</v>
      </c>
      <c r="N3" s="10" t="s">
        <v>13</v>
      </c>
      <c r="O3" s="9" t="s">
        <v>13</v>
      </c>
      <c r="P3" s="10" t="s">
        <v>13</v>
      </c>
      <c r="Q3" s="9" t="s">
        <v>13</v>
      </c>
      <c r="R3" s="10" t="s">
        <v>13</v>
      </c>
    </row>
    <row r="4" spans="1:18" ht="32.25" customHeight="1" x14ac:dyDescent="0.3">
      <c r="A4" s="143" t="s">
        <v>31</v>
      </c>
      <c r="B4" s="144"/>
      <c r="C4" s="133">
        <f t="shared" ref="C4" si="0">SUM(C5:C11)</f>
        <v>74</v>
      </c>
      <c r="D4" s="133">
        <f t="shared" ref="D4:R4" si="1">SUM(D5:D11)</f>
        <v>0</v>
      </c>
      <c r="E4" s="133">
        <f t="shared" si="1"/>
        <v>8</v>
      </c>
      <c r="F4" s="133">
        <f t="shared" si="1"/>
        <v>35</v>
      </c>
      <c r="G4" s="133">
        <f t="shared" si="1"/>
        <v>0</v>
      </c>
      <c r="H4" s="133">
        <f t="shared" si="1"/>
        <v>0</v>
      </c>
      <c r="I4" s="133">
        <f t="shared" si="1"/>
        <v>3</v>
      </c>
      <c r="J4" s="133">
        <f t="shared" si="1"/>
        <v>9</v>
      </c>
      <c r="K4" s="133">
        <f t="shared" si="1"/>
        <v>3</v>
      </c>
      <c r="L4" s="133">
        <f t="shared" si="1"/>
        <v>0</v>
      </c>
      <c r="M4" s="133">
        <f t="shared" si="1"/>
        <v>3</v>
      </c>
      <c r="N4" s="133">
        <f t="shared" si="1"/>
        <v>0</v>
      </c>
      <c r="O4" s="133">
        <f t="shared" si="1"/>
        <v>6</v>
      </c>
      <c r="P4" s="133">
        <f t="shared" si="1"/>
        <v>0</v>
      </c>
      <c r="Q4" s="133">
        <f t="shared" si="1"/>
        <v>0</v>
      </c>
      <c r="R4" s="133">
        <f t="shared" si="1"/>
        <v>0</v>
      </c>
    </row>
    <row r="5" spans="1:18" ht="27" customHeight="1" thickBot="1" x14ac:dyDescent="0.35">
      <c r="A5" s="11" t="s">
        <v>14</v>
      </c>
      <c r="B5" s="11" t="s">
        <v>15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</row>
    <row r="6" spans="1:18" ht="40.5" customHeight="1" thickTop="1" thickBot="1" x14ac:dyDescent="0.35">
      <c r="A6" s="12" t="s">
        <v>16</v>
      </c>
      <c r="B6" s="36" t="s">
        <v>17</v>
      </c>
      <c r="C6" s="13">
        <f>'[2]학교별08.21'!C22</f>
        <v>66</v>
      </c>
      <c r="D6" s="13">
        <f>'[2]학교별08.21'!D22</f>
        <v>0</v>
      </c>
      <c r="E6" s="14">
        <f>'[2]학교별08.21'!E22</f>
        <v>5</v>
      </c>
      <c r="F6" s="15">
        <f>'[2]학교별08.21'!F22</f>
        <v>35</v>
      </c>
      <c r="G6" s="16"/>
      <c r="H6" s="17"/>
      <c r="I6" s="18"/>
      <c r="J6" s="17"/>
      <c r="K6" s="18"/>
      <c r="L6" s="17"/>
      <c r="M6" s="18"/>
      <c r="N6" s="19"/>
      <c r="O6" s="18"/>
      <c r="P6" s="19"/>
      <c r="Q6" s="18"/>
      <c r="R6" s="17"/>
    </row>
    <row r="7" spans="1:18" ht="40.5" customHeight="1" thickTop="1" thickBot="1" x14ac:dyDescent="0.35">
      <c r="A7" s="20" t="s">
        <v>16</v>
      </c>
      <c r="B7" s="21" t="s">
        <v>18</v>
      </c>
      <c r="C7" s="22">
        <f>'[2]학교별08.21'!C43</f>
        <v>8</v>
      </c>
      <c r="D7" s="22">
        <f>'[2]학교별08.21'!D43</f>
        <v>0</v>
      </c>
      <c r="E7" s="23">
        <f>'[2]학교별08.21'!E43</f>
        <v>3</v>
      </c>
      <c r="F7" s="23">
        <f>'[2]학교별08.21'!F43</f>
        <v>0</v>
      </c>
      <c r="G7" s="22">
        <f>'[2]학교별08.21'!H3</f>
        <v>0</v>
      </c>
      <c r="H7" s="24">
        <f>'[2]학교별08.21'!I3</f>
        <v>0</v>
      </c>
      <c r="I7" s="22">
        <f>'[2]학교별08.21'!J3</f>
        <v>3</v>
      </c>
      <c r="J7" s="24">
        <f>'[2]학교별08.21'!K3</f>
        <v>9</v>
      </c>
      <c r="K7" s="22">
        <f>'[2]학교별08.21'!L3</f>
        <v>3</v>
      </c>
      <c r="L7" s="24">
        <f>'[2]학교별08.21'!M3</f>
        <v>0</v>
      </c>
      <c r="M7" s="22">
        <f>'[2]학교별08.21'!N3</f>
        <v>3</v>
      </c>
      <c r="N7" s="23">
        <f>'[2]학교별08.21'!O3</f>
        <v>0</v>
      </c>
      <c r="O7" s="22">
        <f>'[2]학교별08.21'!P3</f>
        <v>6</v>
      </c>
      <c r="P7" s="23">
        <f>'[2]학교별08.21'!Q3</f>
        <v>0</v>
      </c>
      <c r="Q7" s="22">
        <f>'[2]학교별08.21'!R3</f>
        <v>0</v>
      </c>
      <c r="R7" s="25">
        <f>'[2]학교별08.21'!S3</f>
        <v>0</v>
      </c>
    </row>
    <row r="8" spans="1:18" ht="40.5" customHeight="1" thickTop="1" thickBot="1" x14ac:dyDescent="0.35">
      <c r="A8" s="26" t="s">
        <v>16</v>
      </c>
      <c r="B8" s="27" t="s">
        <v>19</v>
      </c>
      <c r="C8" s="28">
        <f>'[2]학교별08.21'!C52</f>
        <v>0</v>
      </c>
      <c r="D8" s="28">
        <f>'[2]학교별08.21'!D52</f>
        <v>0</v>
      </c>
      <c r="E8" s="29">
        <f>'[2]학교별08.21'!E52</f>
        <v>0</v>
      </c>
      <c r="F8" s="30">
        <f>'[2]학교별08.21'!F52</f>
        <v>0</v>
      </c>
      <c r="G8" s="16"/>
      <c r="H8" s="17"/>
      <c r="I8" s="18"/>
      <c r="J8" s="17"/>
      <c r="K8" s="18"/>
      <c r="L8" s="17"/>
      <c r="M8" s="18"/>
      <c r="N8" s="19"/>
      <c r="O8" s="18"/>
      <c r="P8" s="19"/>
      <c r="Q8" s="18"/>
      <c r="R8" s="17"/>
    </row>
    <row r="9" spans="1:18" ht="40.5" customHeight="1" thickTop="1" thickBot="1" x14ac:dyDescent="0.35">
      <c r="A9" s="31" t="s">
        <v>16</v>
      </c>
      <c r="B9" s="32" t="s">
        <v>20</v>
      </c>
      <c r="C9" s="33">
        <f>'[2]학교별08.21'!C62</f>
        <v>0</v>
      </c>
      <c r="D9" s="33">
        <f>'[2]학교별08.21'!D62</f>
        <v>0</v>
      </c>
      <c r="E9" s="34">
        <f>'[2]학교별08.21'!E62</f>
        <v>0</v>
      </c>
      <c r="F9" s="35">
        <f>'[2]학교별08.21'!F62</f>
        <v>0</v>
      </c>
      <c r="G9" s="16"/>
      <c r="H9" s="17"/>
      <c r="I9" s="18"/>
      <c r="J9" s="17"/>
      <c r="K9" s="18"/>
      <c r="L9" s="17"/>
      <c r="M9" s="18"/>
      <c r="N9" s="19"/>
      <c r="O9" s="18"/>
      <c r="P9" s="19"/>
      <c r="Q9" s="18"/>
      <c r="R9" s="17"/>
    </row>
    <row r="10" spans="1:18" ht="18" thickTop="1" x14ac:dyDescent="0.3"/>
  </sheetData>
  <mergeCells count="24">
    <mergeCell ref="A1:B1"/>
    <mergeCell ref="C1:D1"/>
    <mergeCell ref="E1:F1"/>
    <mergeCell ref="A2:B2"/>
    <mergeCell ref="C2:D2"/>
    <mergeCell ref="E2:F2"/>
    <mergeCell ref="A3:B3"/>
    <mergeCell ref="A4:B4"/>
    <mergeCell ref="C4:C5"/>
    <mergeCell ref="D4:D5"/>
    <mergeCell ref="E4:E5"/>
    <mergeCell ref="F4:F5"/>
    <mergeCell ref="R4:R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ECAD-2371-4119-B41A-7F79B4D0C258}">
  <dimension ref="A1:E5"/>
  <sheetViews>
    <sheetView zoomScale="40" zoomScaleNormal="40" workbookViewId="0">
      <selection activeCell="E18" sqref="E18"/>
    </sheetView>
  </sheetViews>
  <sheetFormatPr defaultRowHeight="17.25" x14ac:dyDescent="0.3"/>
  <cols>
    <col min="1" max="1" width="54" customWidth="1"/>
    <col min="2" max="5" width="25.44140625" bestFit="1" customWidth="1"/>
  </cols>
  <sheetData>
    <row r="1" spans="1:5" ht="156" customHeight="1" x14ac:dyDescent="0.3">
      <c r="A1" s="66" t="s">
        <v>146</v>
      </c>
      <c r="B1" s="149" t="s">
        <v>61</v>
      </c>
      <c r="C1" s="150"/>
      <c r="D1" s="149" t="s">
        <v>64</v>
      </c>
      <c r="E1" s="150"/>
    </row>
    <row r="2" spans="1:5" ht="82.5" customHeight="1" x14ac:dyDescent="0.3">
      <c r="A2" s="68" t="s">
        <v>145</v>
      </c>
      <c r="B2" s="67" t="s">
        <v>149</v>
      </c>
      <c r="C2" s="67" t="s">
        <v>149</v>
      </c>
      <c r="D2" s="67" t="s">
        <v>149</v>
      </c>
      <c r="E2" s="67" t="s">
        <v>149</v>
      </c>
    </row>
    <row r="3" spans="1:5" ht="78.75" customHeight="1" x14ac:dyDescent="0.3">
      <c r="A3" s="68" t="s">
        <v>150</v>
      </c>
      <c r="B3" s="62" t="s">
        <v>147</v>
      </c>
      <c r="C3" s="62" t="s">
        <v>148</v>
      </c>
      <c r="D3" s="62" t="s">
        <v>147</v>
      </c>
      <c r="E3" s="62" t="s">
        <v>148</v>
      </c>
    </row>
    <row r="4" spans="1:5" ht="129.75" customHeight="1" x14ac:dyDescent="0.3">
      <c r="A4" s="69" t="s">
        <v>31</v>
      </c>
      <c r="B4" s="63">
        <f>SUM(B5:B5)</f>
        <v>1</v>
      </c>
      <c r="C4" s="63">
        <f>SUM(C5:C5)</f>
        <v>1</v>
      </c>
      <c r="D4" s="63">
        <f>SUM(D5:D5)</f>
        <v>1</v>
      </c>
      <c r="E4" s="63">
        <f>SUM(E5:E5)</f>
        <v>1</v>
      </c>
    </row>
    <row r="5" spans="1:5" ht="131.25" customHeight="1" x14ac:dyDescent="0.3">
      <c r="A5" s="64" t="s">
        <v>151</v>
      </c>
      <c r="B5" s="65">
        <v>1</v>
      </c>
      <c r="C5" s="65">
        <v>1</v>
      </c>
      <c r="D5" s="65">
        <v>1</v>
      </c>
      <c r="E5" s="65">
        <v>1</v>
      </c>
    </row>
  </sheetData>
  <mergeCells count="2">
    <mergeCell ref="B1:C1"/>
    <mergeCell ref="D1:E1"/>
  </mergeCells>
  <phoneticPr fontId="2" type="noConversion"/>
  <conditionalFormatting sqref="A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이마트_260819</vt:lpstr>
      <vt:lpstr>택배_260818</vt:lpstr>
      <vt:lpstr>서울급식_060818</vt:lpstr>
      <vt:lpstr>해남급식_260821</vt:lpstr>
      <vt:lpstr>시아스_260811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Heejoon Moon</cp:lastModifiedBy>
  <dcterms:modified xsi:type="dcterms:W3CDTF">2026-08-20T01:32:37Z</dcterms:modified>
</cp:coreProperties>
</file>