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2~26\업체별출하\3.출고내역\출고지시서\2026\"/>
    </mc:Choice>
  </mc:AlternateContent>
  <bookViews>
    <workbookView xWindow="0" yWindow="0" windowWidth="28800" windowHeight="12285" firstSheet="16" activeTab="23"/>
  </bookViews>
  <sheets>
    <sheet name="공장출고지서26.06.01(이마트)" sheetId="1" r:id="rId1"/>
    <sheet name="6.1" sheetId="2" r:id="rId2"/>
    <sheet name="공장출고지서26.06.03(이마트)" sheetId="3" r:id="rId3"/>
    <sheet name="6.4" sheetId="4" r:id="rId4"/>
    <sheet name="공장출고지서26.06.05(이마트)" sheetId="5" r:id="rId5"/>
    <sheet name="공장출고지서26.06.08(이마트)" sheetId="7" r:id="rId6"/>
    <sheet name="6.8" sheetId="6" r:id="rId7"/>
    <sheet name="6.9" sheetId="8" r:id="rId8"/>
    <sheet name="공장출고지서26.06.10(이마트)" sheetId="9" r:id="rId9"/>
    <sheet name="6.10" sheetId="10" r:id="rId10"/>
    <sheet name="공장출고지서26.06.12(이마트)" sheetId="13" r:id="rId11"/>
    <sheet name="6.11" sheetId="11" r:id="rId12"/>
    <sheet name="6.12" sheetId="12" r:id="rId13"/>
    <sheet name="공장출고지서26.06.15(이마트)" sheetId="14" r:id="rId14"/>
    <sheet name="6.15" sheetId="15" r:id="rId15"/>
    <sheet name="6.15 (로컬,급식)" sheetId="16" r:id="rId16"/>
    <sheet name="6.16" sheetId="17" r:id="rId17"/>
    <sheet name="맘스6.17" sheetId="18" r:id="rId18"/>
    <sheet name="노벨6.18" sheetId="20" r:id="rId19"/>
    <sheet name="공장출고지서26.06.17(이마트)" sheetId="19" r:id="rId20"/>
    <sheet name="6.17" sheetId="21" r:id="rId21"/>
    <sheet name="6.18" sheetId="22" r:id="rId22"/>
    <sheet name="6.19" sheetId="23" r:id="rId23"/>
    <sheet name="공장출고지서26.06.19(이마트)" sheetId="24" r:id="rId24"/>
  </sheets>
  <definedNames>
    <definedName name="_xlnm.Print_Area" localSheetId="1">'6.1'!$A$1:$R$42</definedName>
    <definedName name="_xlnm.Print_Area" localSheetId="9">'6.10'!$A$1:$P$21</definedName>
    <definedName name="_xlnm.Print_Area" localSheetId="11">'6.11'!$A$1:$Q$20</definedName>
    <definedName name="_xlnm.Print_Area" localSheetId="12">'6.12'!$A$1:$O$26</definedName>
    <definedName name="_xlnm.Print_Area" localSheetId="14">'6.15'!$A$1:$R$37</definedName>
    <definedName name="_xlnm.Print_Area" localSheetId="15">'6.15 (로컬,급식)'!$A$1:$G$6</definedName>
    <definedName name="_xlnm.Print_Area" localSheetId="16">'6.16'!$A$1:$I$19</definedName>
    <definedName name="_xlnm.Print_Area" localSheetId="20">'6.17'!$A$1:$K$20</definedName>
    <definedName name="_xlnm.Print_Area" localSheetId="21">'6.18'!$A$1:$N$42</definedName>
    <definedName name="_xlnm.Print_Area" localSheetId="22">'6.19'!$A$1:$N$42</definedName>
    <definedName name="_xlnm.Print_Area" localSheetId="3">'6.4'!$A$1:$Y$52</definedName>
    <definedName name="_xlnm.Print_Area" localSheetId="6">'6.8'!$A$1:$T$48</definedName>
    <definedName name="_xlnm.Print_Area" localSheetId="7">'6.9'!$A$1:$M$18</definedName>
    <definedName name="_xlnm.Print_Area" localSheetId="0">'공장출고지서26.06.01(이마트)'!$A$1:$K$13</definedName>
    <definedName name="_xlnm.Print_Area" localSheetId="2">'공장출고지서26.06.03(이마트)'!$A$1:$I$13</definedName>
    <definedName name="_xlnm.Print_Area" localSheetId="4">'공장출고지서26.06.05(이마트)'!$A$1:$I$13</definedName>
    <definedName name="_xlnm.Print_Area" localSheetId="5">'공장출고지서26.06.08(이마트)'!$A$1:$I$13</definedName>
    <definedName name="_xlnm.Print_Area" localSheetId="8">'공장출고지서26.06.10(이마트)'!$A$1:$I$13</definedName>
    <definedName name="_xlnm.Print_Area" localSheetId="10">'공장출고지서26.06.12(이마트)'!$A$1:$I$13</definedName>
    <definedName name="_xlnm.Print_Area" localSheetId="13">'공장출고지서26.06.15(이마트)'!$A$1:$L$13</definedName>
    <definedName name="_xlnm.Print_Area" localSheetId="19">'공장출고지서26.06.17(이마트)'!$A$1:$I$13</definedName>
    <definedName name="_xlnm.Print_Area" localSheetId="23">'공장출고지서26.06.19(이마트)'!$A$1:$I$13</definedName>
    <definedName name="_xlnm.Print_Area" localSheetId="18">노벨6.18!$A$1:$B$5</definedName>
    <definedName name="_xlnm.Print_Area" localSheetId="17">맘스6.17!$A$1:$B$5</definedName>
    <definedName name="_xlnm.Print_Titles" localSheetId="1">'6.1'!$1:$3</definedName>
    <definedName name="_xlnm.Print_Titles" localSheetId="9">'6.10'!$1:$3</definedName>
    <definedName name="_xlnm.Print_Titles" localSheetId="11">'6.11'!$1:$3</definedName>
    <definedName name="_xlnm.Print_Titles" localSheetId="12">'6.12'!$1:$3</definedName>
    <definedName name="_xlnm.Print_Titles" localSheetId="14">'6.15'!$1:$3</definedName>
    <definedName name="_xlnm.Print_Titles" localSheetId="15">'6.15 (로컬,급식)'!$1:$3</definedName>
    <definedName name="_xlnm.Print_Titles" localSheetId="16">'6.16'!$1:$3</definedName>
    <definedName name="_xlnm.Print_Titles" localSheetId="20">'6.17'!$1:$3</definedName>
    <definedName name="_xlnm.Print_Titles" localSheetId="21">'6.18'!$1:$3</definedName>
    <definedName name="_xlnm.Print_Titles" localSheetId="22">'6.19'!$1:$3</definedName>
    <definedName name="_xlnm.Print_Titles" localSheetId="3">'6.4'!$1:$3</definedName>
    <definedName name="_xlnm.Print_Titles" localSheetId="6">'6.8'!$1:$3</definedName>
    <definedName name="_xlnm.Print_Titles" localSheetId="7">'6.9'!$1:$3</definedName>
    <definedName name="_xlnm.Print_Titles" localSheetId="0">'공장출고지서26.06.01(이마트)'!$A:$A,'공장출고지서26.06.01(이마트)'!$1:$4</definedName>
    <definedName name="_xlnm.Print_Titles" localSheetId="2">'공장출고지서26.06.03(이마트)'!$A:$A,'공장출고지서26.06.03(이마트)'!$1:$4</definedName>
    <definedName name="_xlnm.Print_Titles" localSheetId="4">'공장출고지서26.06.05(이마트)'!$A:$A,'공장출고지서26.06.05(이마트)'!$1:$4</definedName>
    <definedName name="_xlnm.Print_Titles" localSheetId="5">'공장출고지서26.06.08(이마트)'!$A:$A,'공장출고지서26.06.08(이마트)'!$1:$4</definedName>
    <definedName name="_xlnm.Print_Titles" localSheetId="8">'공장출고지서26.06.10(이마트)'!$A:$A,'공장출고지서26.06.10(이마트)'!$1:$4</definedName>
    <definedName name="_xlnm.Print_Titles" localSheetId="10">'공장출고지서26.06.12(이마트)'!$A:$A,'공장출고지서26.06.12(이마트)'!$1:$4</definedName>
    <definedName name="_xlnm.Print_Titles" localSheetId="13">'공장출고지서26.06.15(이마트)'!$A:$A,'공장출고지서26.06.15(이마트)'!$1:$4</definedName>
    <definedName name="_xlnm.Print_Titles" localSheetId="19">'공장출고지서26.06.17(이마트)'!$A:$A,'공장출고지서26.06.17(이마트)'!$1:$4</definedName>
    <definedName name="_xlnm.Print_Titles" localSheetId="23">'공장출고지서26.06.19(이마트)'!$A:$A,'공장출고지서26.06.19(이마트)'!$1:$4</definedName>
    <definedName name="_xlnm.Print_Titles" localSheetId="18">노벨6.18!$A:$A,노벨6.18!$1:$4</definedName>
    <definedName name="_xlnm.Print_Titles" localSheetId="17">맘스6.17!$A:$A,맘스6.17!$1:$4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4" l="1"/>
  <c r="E7" i="24"/>
  <c r="D7" i="24"/>
  <c r="D13" i="24" s="1"/>
  <c r="F12" i="24"/>
  <c r="C12" i="24"/>
  <c r="E13" i="24"/>
  <c r="D12" i="24"/>
  <c r="G11" i="24"/>
  <c r="D11" i="24"/>
  <c r="C11" i="24"/>
  <c r="D4" i="24"/>
  <c r="G4" i="24"/>
  <c r="F4" i="24"/>
  <c r="E4" i="24"/>
  <c r="C4" i="24"/>
  <c r="B4" i="24"/>
  <c r="H13" i="24" l="1"/>
  <c r="H11" i="24"/>
  <c r="H12" i="24"/>
  <c r="N4" i="23"/>
  <c r="M4" i="23"/>
  <c r="L4" i="23"/>
  <c r="K4" i="23"/>
  <c r="J4" i="23"/>
  <c r="I4" i="23"/>
  <c r="H4" i="23"/>
  <c r="G4" i="23"/>
  <c r="F4" i="23"/>
  <c r="E4" i="23"/>
  <c r="D4" i="23"/>
  <c r="C4" i="23"/>
  <c r="B4" i="23"/>
  <c r="I4" i="22"/>
  <c r="C4" i="22" l="1"/>
  <c r="D4" i="22"/>
  <c r="E4" i="22"/>
  <c r="F4" i="22"/>
  <c r="G4" i="22"/>
  <c r="H4" i="22"/>
  <c r="J4" i="22"/>
  <c r="K4" i="22"/>
  <c r="L4" i="22"/>
  <c r="M4" i="22"/>
  <c r="N4" i="22"/>
  <c r="B4" i="22"/>
  <c r="F4" i="21" l="1"/>
  <c r="E4" i="21"/>
  <c r="J4" i="21" l="1"/>
  <c r="I4" i="21"/>
  <c r="K4" i="21"/>
  <c r="H4" i="21"/>
  <c r="G4" i="21"/>
  <c r="D4" i="21"/>
  <c r="C4" i="21"/>
  <c r="B4" i="21"/>
  <c r="E11" i="19" l="1"/>
  <c r="D11" i="19" l="1"/>
  <c r="B11" i="19"/>
  <c r="B4" i="20"/>
  <c r="C11" i="19" l="1"/>
  <c r="D7" i="19"/>
  <c r="D13" i="19" s="1"/>
  <c r="G11" i="19"/>
  <c r="B12" i="19"/>
  <c r="E13" i="19"/>
  <c r="D12" i="19"/>
  <c r="F4" i="19"/>
  <c r="G4" i="19"/>
  <c r="D4" i="19"/>
  <c r="C4" i="19"/>
  <c r="B4" i="19"/>
  <c r="H12" i="19" l="1"/>
  <c r="H13" i="19"/>
  <c r="F11" i="19"/>
  <c r="H11" i="19" s="1"/>
  <c r="E4" i="19"/>
  <c r="E4" i="17"/>
  <c r="D4" i="17"/>
  <c r="B4" i="18" l="1"/>
  <c r="I4" i="17" l="1"/>
  <c r="H4" i="17"/>
  <c r="G4" i="17"/>
  <c r="F4" i="17"/>
  <c r="C4" i="17"/>
  <c r="B4" i="17"/>
  <c r="C4" i="16" l="1"/>
  <c r="D4" i="16"/>
  <c r="E4" i="16"/>
  <c r="F4" i="16"/>
  <c r="G4" i="16"/>
  <c r="B4" i="16"/>
  <c r="C4" i="15" l="1"/>
  <c r="E4" i="15" l="1"/>
  <c r="D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B4" i="15" l="1"/>
  <c r="F11" i="14"/>
  <c r="B11" i="14"/>
  <c r="C7" i="14"/>
  <c r="G5" i="14"/>
  <c r="G6" i="14"/>
  <c r="D12" i="14" l="1"/>
  <c r="L13" i="14"/>
  <c r="L12" i="14"/>
  <c r="G12" i="14"/>
  <c r="G13" i="14"/>
  <c r="G11" i="14"/>
  <c r="E13" i="14"/>
  <c r="E11" i="14"/>
  <c r="D11" i="14"/>
  <c r="D13" i="14"/>
  <c r="C4" i="14"/>
  <c r="G4" i="14"/>
  <c r="F4" i="14"/>
  <c r="E4" i="14"/>
  <c r="D4" i="14"/>
  <c r="B4" i="14"/>
  <c r="L11" i="14" l="1"/>
  <c r="H11" i="14"/>
  <c r="H12" i="14"/>
  <c r="C13" i="14"/>
  <c r="H13" i="14" s="1"/>
  <c r="F4" i="12"/>
  <c r="D4" i="12" l="1"/>
  <c r="E7" i="13" l="1"/>
  <c r="E6" i="13"/>
  <c r="F5" i="13"/>
  <c r="B11" i="13"/>
  <c r="F11" i="13" l="1"/>
  <c r="D13" i="13"/>
  <c r="D12" i="13"/>
  <c r="C12" i="13"/>
  <c r="E11" i="13"/>
  <c r="D11" i="13"/>
  <c r="E13" i="13"/>
  <c r="E12" i="13"/>
  <c r="G4" i="13"/>
  <c r="F4" i="13"/>
  <c r="D4" i="13"/>
  <c r="C4" i="13"/>
  <c r="B4" i="13"/>
  <c r="H11" i="13" l="1"/>
  <c r="H13" i="13"/>
  <c r="H12" i="13"/>
  <c r="E4" i="13"/>
  <c r="O4" i="12"/>
  <c r="N4" i="12"/>
  <c r="M4" i="12"/>
  <c r="L4" i="12"/>
  <c r="K4" i="12"/>
  <c r="J4" i="12"/>
  <c r="I4" i="12"/>
  <c r="H4" i="12"/>
  <c r="G4" i="12"/>
  <c r="E4" i="12"/>
  <c r="C4" i="12"/>
  <c r="B4" i="12"/>
  <c r="E4" i="11" l="1"/>
  <c r="D4" i="11"/>
  <c r="F4" i="11"/>
  <c r="O4" i="11" l="1"/>
  <c r="C4" i="11"/>
  <c r="G4" i="11" l="1"/>
  <c r="H4" i="11"/>
  <c r="I4" i="11" l="1"/>
  <c r="J4" i="11"/>
  <c r="N4" i="11"/>
  <c r="M4" i="11" l="1"/>
  <c r="Q4" i="11" l="1"/>
  <c r="P4" i="11"/>
  <c r="L4" i="11"/>
  <c r="K4" i="11"/>
  <c r="B4" i="11"/>
  <c r="H4" i="10" l="1"/>
  <c r="I4" i="10"/>
  <c r="O4" i="10" l="1"/>
  <c r="P4" i="10" l="1"/>
  <c r="N4" i="10"/>
  <c r="M4" i="10"/>
  <c r="L4" i="10"/>
  <c r="K4" i="10"/>
  <c r="J4" i="10"/>
  <c r="G4" i="10"/>
  <c r="F4" i="10"/>
  <c r="E4" i="10"/>
  <c r="D4" i="10"/>
  <c r="C4" i="10"/>
  <c r="B4" i="10"/>
  <c r="D5" i="9" l="1"/>
  <c r="B13" i="9"/>
  <c r="B12" i="9"/>
  <c r="E6" i="9"/>
  <c r="F4" i="8" l="1"/>
  <c r="B4" i="8" l="1"/>
  <c r="D4" i="8"/>
  <c r="E7" i="9"/>
  <c r="F13" i="9"/>
  <c r="D13" i="9"/>
  <c r="F12" i="9"/>
  <c r="E12" i="9"/>
  <c r="D12" i="9"/>
  <c r="C12" i="9"/>
  <c r="E11" i="9"/>
  <c r="D11" i="9"/>
  <c r="H11" i="9" s="1"/>
  <c r="E13" i="9"/>
  <c r="G4" i="9"/>
  <c r="F4" i="9"/>
  <c r="D4" i="9"/>
  <c r="C4" i="9"/>
  <c r="B4" i="9"/>
  <c r="H12" i="9" l="1"/>
  <c r="H13" i="9"/>
  <c r="E4" i="9"/>
  <c r="E4" i="8"/>
  <c r="G4" i="8"/>
  <c r="H4" i="8"/>
  <c r="I4" i="8"/>
  <c r="J4" i="8"/>
  <c r="K4" i="8"/>
  <c r="L4" i="8"/>
  <c r="M4" i="8"/>
  <c r="C4" i="8"/>
  <c r="F8" i="6" l="1"/>
  <c r="E8" i="6"/>
  <c r="F4" i="6"/>
  <c r="E4" i="6"/>
  <c r="D8" i="6"/>
  <c r="D4" i="6"/>
  <c r="B8" i="6" l="1"/>
  <c r="C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L4" i="6" l="1"/>
  <c r="F11" i="7" l="1"/>
  <c r="B4" i="6" l="1"/>
  <c r="C4" i="6"/>
  <c r="G4" i="6"/>
  <c r="H4" i="6"/>
  <c r="I4" i="6"/>
  <c r="J4" i="6"/>
  <c r="K4" i="6"/>
  <c r="M4" i="6"/>
  <c r="N4" i="6"/>
  <c r="O4" i="6"/>
  <c r="P4" i="6"/>
  <c r="Q4" i="6"/>
  <c r="R4" i="6"/>
  <c r="S4" i="6"/>
  <c r="T4" i="6"/>
  <c r="E7" i="7" l="1"/>
  <c r="E4" i="7" s="1"/>
  <c r="D7" i="7"/>
  <c r="D13" i="7" s="1"/>
  <c r="B13" i="7"/>
  <c r="F12" i="7"/>
  <c r="E12" i="7"/>
  <c r="D12" i="7"/>
  <c r="C12" i="7"/>
  <c r="B12" i="7"/>
  <c r="E11" i="7"/>
  <c r="D11" i="7"/>
  <c r="C13" i="7"/>
  <c r="C4" i="7"/>
  <c r="G4" i="7"/>
  <c r="F4" i="7"/>
  <c r="D4" i="7"/>
  <c r="B4" i="7"/>
  <c r="E13" i="7" l="1"/>
  <c r="H13" i="7" s="1"/>
  <c r="H12" i="7"/>
  <c r="H11" i="7"/>
  <c r="E7" i="5"/>
  <c r="C7" i="5"/>
  <c r="E12" i="5"/>
  <c r="E6" i="5"/>
  <c r="C6" i="5"/>
  <c r="B12" i="5"/>
  <c r="B13" i="5"/>
  <c r="C13" i="5" l="1"/>
  <c r="E11" i="5"/>
  <c r="E13" i="5"/>
  <c r="F12" i="5"/>
  <c r="D13" i="5"/>
  <c r="D12" i="5"/>
  <c r="C12" i="5"/>
  <c r="D11" i="5"/>
  <c r="C11" i="5"/>
  <c r="G4" i="5"/>
  <c r="F4" i="5"/>
  <c r="E4" i="5"/>
  <c r="D4" i="5"/>
  <c r="B4" i="5"/>
  <c r="H13" i="5" l="1"/>
  <c r="H12" i="5"/>
  <c r="H11" i="5"/>
  <c r="C4" i="5"/>
  <c r="I4" i="4"/>
  <c r="J4" i="4"/>
  <c r="Y4" i="4" l="1"/>
  <c r="V4" i="4"/>
  <c r="P4" i="4"/>
  <c r="C4" i="4" l="1"/>
  <c r="M4" i="4" l="1"/>
  <c r="X4" i="4"/>
  <c r="W4" i="4"/>
  <c r="U4" i="4"/>
  <c r="T4" i="4"/>
  <c r="S4" i="4"/>
  <c r="R4" i="4"/>
  <c r="Q4" i="4"/>
  <c r="O4" i="4"/>
  <c r="N4" i="4"/>
  <c r="L4" i="4"/>
  <c r="K4" i="4"/>
  <c r="H4" i="4"/>
  <c r="G4" i="4"/>
  <c r="F4" i="4"/>
  <c r="E4" i="4"/>
  <c r="D4" i="4"/>
  <c r="B4" i="4"/>
  <c r="C7" i="3" l="1"/>
  <c r="D13" i="3"/>
  <c r="C4" i="3" l="1"/>
  <c r="D12" i="3"/>
  <c r="C12" i="3"/>
  <c r="H12" i="3"/>
  <c r="D11" i="3"/>
  <c r="C11" i="3"/>
  <c r="D4" i="3"/>
  <c r="G4" i="3"/>
  <c r="F4" i="3"/>
  <c r="E4" i="3"/>
  <c r="B4" i="3"/>
  <c r="H11" i="3" l="1"/>
  <c r="C13" i="3"/>
  <c r="H4" i="2"/>
  <c r="G4" i="2"/>
  <c r="H13" i="3" l="1"/>
  <c r="C4" i="2"/>
  <c r="D4" i="2"/>
  <c r="E4" i="2"/>
  <c r="F4" i="2"/>
  <c r="I4" i="2"/>
  <c r="J4" i="2"/>
  <c r="K4" i="2"/>
  <c r="L4" i="2"/>
  <c r="M4" i="2"/>
  <c r="N4" i="2"/>
  <c r="O4" i="2"/>
  <c r="P4" i="2"/>
  <c r="Q4" i="2"/>
  <c r="R4" i="2"/>
  <c r="B4" i="2"/>
  <c r="D7" i="1" l="1"/>
  <c r="D13" i="1" s="1"/>
  <c r="C7" i="1"/>
  <c r="B12" i="1"/>
  <c r="K13" i="1" l="1"/>
  <c r="K12" i="1"/>
  <c r="K11" i="1"/>
  <c r="E13" i="1"/>
  <c r="C13" i="1"/>
  <c r="E12" i="1"/>
  <c r="E11" i="1"/>
  <c r="C11" i="1"/>
  <c r="C12" i="1"/>
  <c r="D11" i="1"/>
  <c r="G4" i="1"/>
  <c r="F4" i="1"/>
  <c r="E4" i="1"/>
  <c r="C4" i="1"/>
  <c r="B4" i="1"/>
  <c r="H11" i="1" l="1"/>
  <c r="H12" i="1"/>
  <c r="H13" i="1"/>
  <c r="D4" i="1"/>
</calcChain>
</file>

<file path=xl/sharedStrings.xml><?xml version="1.0" encoding="utf-8"?>
<sst xmlns="http://schemas.openxmlformats.org/spreadsheetml/2006/main" count="988" uniqueCount="460">
  <si>
    <t>PET
유기농
가바현미</t>
  </si>
  <si>
    <t>자연주의
유기농
가바백미</t>
  </si>
  <si>
    <t>자연주의
유기농
천지향</t>
  </si>
  <si>
    <t>PET
유기농
귀리쌀</t>
  </si>
  <si>
    <t>1kg</t>
  </si>
  <si>
    <t>4kg</t>
  </si>
  <si>
    <t>1 kg</t>
  </si>
  <si>
    <t>420g</t>
  </si>
  <si>
    <t>8kg</t>
  </si>
  <si>
    <t>(         )</t>
  </si>
  <si>
    <t>여주(이마트)</t>
  </si>
  <si>
    <t>대구(이마트)</t>
  </si>
  <si>
    <t>시화(이마트)</t>
  </si>
  <si>
    <t>현미1kg</t>
  </si>
  <si>
    <t>가바4kg</t>
  </si>
  <si>
    <t>가바1kg</t>
  </si>
  <si>
    <t>천지향4kg</t>
  </si>
  <si>
    <t>귀리420g</t>
  </si>
  <si>
    <t>천지향8kg</t>
  </si>
  <si>
    <t>26/06/01(월)
옥천농협 배송</t>
    <phoneticPr fontId="4" type="noConversion"/>
  </si>
  <si>
    <t>유기농
천지향</t>
    <phoneticPr fontId="3" type="noConversion"/>
  </si>
  <si>
    <t>유기농
찹쌀</t>
    <phoneticPr fontId="3" type="noConversion"/>
  </si>
  <si>
    <t>유기농
현미</t>
    <phoneticPr fontId="3" type="noConversion"/>
  </si>
  <si>
    <t>유기농
하이아미</t>
    <phoneticPr fontId="3" type="noConversion"/>
  </si>
  <si>
    <t>유기농
차조</t>
    <phoneticPr fontId="3" type="noConversion"/>
  </si>
  <si>
    <t>농가명</t>
  </si>
  <si>
    <t>중량</t>
  </si>
  <si>
    <t>5kg</t>
    <phoneticPr fontId="3" type="noConversion"/>
  </si>
  <si>
    <t>10kg</t>
    <phoneticPr fontId="3" type="noConversion"/>
  </si>
  <si>
    <t>3kg</t>
    <phoneticPr fontId="3" type="noConversion"/>
  </si>
  <si>
    <t>1kg</t>
    <phoneticPr fontId="3" type="noConversion"/>
  </si>
  <si>
    <t>택배 소계</t>
  </si>
  <si>
    <t>26/06/01
(월)</t>
    <phoneticPr fontId="4" type="noConversion"/>
  </si>
  <si>
    <t>천지향 4kg 
56박스</t>
    <phoneticPr fontId="3" type="noConversion"/>
  </si>
  <si>
    <t xml:space="preserve">천지향 4kg </t>
    <phoneticPr fontId="3" type="noConversion"/>
  </si>
  <si>
    <t>3파렛</t>
    <phoneticPr fontId="3" type="noConversion"/>
  </si>
  <si>
    <t>1파렛</t>
    <phoneticPr fontId="3" type="noConversion"/>
  </si>
  <si>
    <t>1파렛</t>
    <phoneticPr fontId="3" type="noConversion"/>
  </si>
  <si>
    <t>김수홍</t>
    <phoneticPr fontId="3" type="noConversion"/>
  </si>
  <si>
    <t>정근성</t>
    <phoneticPr fontId="3" type="noConversion"/>
  </si>
  <si>
    <t>최수아</t>
    <phoneticPr fontId="3" type="noConversion"/>
  </si>
  <si>
    <t>꼬마박사어린이집</t>
    <phoneticPr fontId="3" type="noConversion"/>
  </si>
  <si>
    <t>별빛어린이집</t>
    <phoneticPr fontId="3" type="noConversion"/>
  </si>
  <si>
    <t>신촌어린이집</t>
    <phoneticPr fontId="3" type="noConversion"/>
  </si>
  <si>
    <t>엄마맘어린이집</t>
    <phoneticPr fontId="3" type="noConversion"/>
  </si>
  <si>
    <t>서대문생협</t>
    <phoneticPr fontId="3" type="noConversion"/>
  </si>
  <si>
    <t>김대천</t>
    <phoneticPr fontId="3" type="noConversion"/>
  </si>
  <si>
    <t>정인경</t>
    <phoneticPr fontId="3" type="noConversion"/>
  </si>
  <si>
    <t>이연주</t>
    <phoneticPr fontId="3" type="noConversion"/>
  </si>
  <si>
    <t>김윤덕</t>
    <phoneticPr fontId="3" type="noConversion"/>
  </si>
  <si>
    <t>윤청하</t>
    <phoneticPr fontId="3" type="noConversion"/>
  </si>
  <si>
    <t>최보람</t>
    <phoneticPr fontId="3" type="noConversion"/>
  </si>
  <si>
    <t>임채림</t>
    <phoneticPr fontId="3" type="noConversion"/>
  </si>
  <si>
    <t>손상우</t>
    <phoneticPr fontId="3" type="noConversion"/>
  </si>
  <si>
    <t>최은진</t>
    <phoneticPr fontId="3" type="noConversion"/>
  </si>
  <si>
    <t>지인선</t>
    <phoneticPr fontId="3" type="noConversion"/>
  </si>
  <si>
    <t>최혜진</t>
    <phoneticPr fontId="3" type="noConversion"/>
  </si>
  <si>
    <t>김보혜</t>
    <phoneticPr fontId="3" type="noConversion"/>
  </si>
  <si>
    <t>김소연</t>
    <phoneticPr fontId="3" type="noConversion"/>
  </si>
  <si>
    <t>문치국</t>
    <phoneticPr fontId="3" type="noConversion"/>
  </si>
  <si>
    <t>김문희</t>
    <phoneticPr fontId="3" type="noConversion"/>
  </si>
  <si>
    <t>단형철</t>
    <phoneticPr fontId="3" type="noConversion"/>
  </si>
  <si>
    <t>조상민</t>
    <phoneticPr fontId="3" type="noConversion"/>
  </si>
  <si>
    <t>김주현</t>
    <phoneticPr fontId="3" type="noConversion"/>
  </si>
  <si>
    <t>김민정</t>
    <phoneticPr fontId="3" type="noConversion"/>
  </si>
  <si>
    <t>지선옥</t>
    <phoneticPr fontId="3" type="noConversion"/>
  </si>
  <si>
    <t>권시연</t>
    <phoneticPr fontId="3" type="noConversion"/>
  </si>
  <si>
    <t>김민지</t>
    <phoneticPr fontId="3" type="noConversion"/>
  </si>
  <si>
    <t>최문정</t>
    <phoneticPr fontId="3" type="noConversion"/>
  </si>
  <si>
    <t>최윤미</t>
    <phoneticPr fontId="3" type="noConversion"/>
  </si>
  <si>
    <t>김유라</t>
    <phoneticPr fontId="3" type="noConversion"/>
  </si>
  <si>
    <t>유기농
가바백미</t>
    <phoneticPr fontId="3" type="noConversion"/>
  </si>
  <si>
    <t>임애경</t>
    <phoneticPr fontId="3" type="noConversion"/>
  </si>
  <si>
    <t>구민정</t>
    <phoneticPr fontId="3" type="noConversion"/>
  </si>
  <si>
    <t>이유진</t>
    <phoneticPr fontId="3" type="noConversion"/>
  </si>
  <si>
    <t>하지원</t>
    <phoneticPr fontId="3" type="noConversion"/>
  </si>
  <si>
    <t>유기농
가바흑미</t>
    <phoneticPr fontId="3" type="noConversion"/>
  </si>
  <si>
    <t>유기농
가바
발아현미</t>
    <phoneticPr fontId="16" type="noConversion"/>
  </si>
  <si>
    <t>유기농
귀리</t>
    <phoneticPr fontId="3" type="noConversion"/>
  </si>
  <si>
    <t>유기농
검정보리</t>
    <phoneticPr fontId="16" type="noConversion"/>
  </si>
  <si>
    <t>유기농
수수</t>
    <phoneticPr fontId="3" type="noConversion"/>
  </si>
  <si>
    <t>유기농
기장</t>
    <phoneticPr fontId="3" type="noConversion"/>
  </si>
  <si>
    <t>800g</t>
    <phoneticPr fontId="3" type="noConversion"/>
  </si>
  <si>
    <t>1kg</t>
    <phoneticPr fontId="3" type="noConversion"/>
  </si>
  <si>
    <t>유기농
프로틴
라이스</t>
    <phoneticPr fontId="3" type="noConversion"/>
  </si>
  <si>
    <t>907g</t>
    <phoneticPr fontId="3" type="noConversion"/>
  </si>
  <si>
    <t>26/06/03(수)
옥천농협 배송</t>
    <phoneticPr fontId="4" type="noConversion"/>
  </si>
  <si>
    <t>26/06/04
(목)</t>
    <phoneticPr fontId="4" type="noConversion"/>
  </si>
  <si>
    <t>김경환</t>
    <phoneticPr fontId="3" type="noConversion"/>
  </si>
  <si>
    <t>고은어린이집</t>
    <phoneticPr fontId="3" type="noConversion"/>
  </si>
  <si>
    <t>김혜정</t>
    <phoneticPr fontId="3" type="noConversion"/>
  </si>
  <si>
    <t>김순자님</t>
    <phoneticPr fontId="3" type="noConversion"/>
  </si>
  <si>
    <t>중량</t>
    <phoneticPr fontId="3" type="noConversion"/>
  </si>
  <si>
    <t>한귀호매니저님</t>
    <phoneticPr fontId="3" type="noConversion"/>
  </si>
  <si>
    <t>킹덤 라이스
더 단백쌀
(IPS)</t>
    <phoneticPr fontId="3" type="noConversion"/>
  </si>
  <si>
    <t>비즈도아가루드밀라</t>
    <phoneticPr fontId="3" type="noConversion"/>
  </si>
  <si>
    <t>손유성</t>
    <phoneticPr fontId="3" type="noConversion"/>
  </si>
  <si>
    <t>안유동</t>
    <phoneticPr fontId="3" type="noConversion"/>
  </si>
  <si>
    <t>김욱한</t>
    <phoneticPr fontId="3" type="noConversion"/>
  </si>
  <si>
    <t>김수경</t>
    <phoneticPr fontId="3" type="noConversion"/>
  </si>
  <si>
    <t>부영희</t>
    <phoneticPr fontId="3" type="noConversion"/>
  </si>
  <si>
    <t>전민서</t>
    <phoneticPr fontId="3" type="noConversion"/>
  </si>
  <si>
    <t>조은성</t>
    <phoneticPr fontId="3" type="noConversion"/>
  </si>
  <si>
    <t>조인숙</t>
    <phoneticPr fontId="3" type="noConversion"/>
  </si>
  <si>
    <t>고정훈</t>
    <phoneticPr fontId="3" type="noConversion"/>
  </si>
  <si>
    <t>양훈혜</t>
    <phoneticPr fontId="3" type="noConversion"/>
  </si>
  <si>
    <t>정다영</t>
    <phoneticPr fontId="3" type="noConversion"/>
  </si>
  <si>
    <t>안승권</t>
    <phoneticPr fontId="3" type="noConversion"/>
  </si>
  <si>
    <t>구정화</t>
    <phoneticPr fontId="3" type="noConversion"/>
  </si>
  <si>
    <t>박효진</t>
    <phoneticPr fontId="3" type="noConversion"/>
  </si>
  <si>
    <t>성명희</t>
    <phoneticPr fontId="3" type="noConversion"/>
  </si>
  <si>
    <t>울림생협 성산점</t>
    <phoneticPr fontId="3" type="noConversion"/>
  </si>
  <si>
    <t>이도담</t>
    <phoneticPr fontId="3" type="noConversion"/>
  </si>
  <si>
    <t>ryung</t>
    <phoneticPr fontId="3" type="noConversion"/>
  </si>
  <si>
    <t>임지현</t>
    <phoneticPr fontId="3" type="noConversion"/>
  </si>
  <si>
    <t>백윤정</t>
    <phoneticPr fontId="3" type="noConversion"/>
  </si>
  <si>
    <t>정태식</t>
    <phoneticPr fontId="3" type="noConversion"/>
  </si>
  <si>
    <t>소지형</t>
    <phoneticPr fontId="3" type="noConversion"/>
  </si>
  <si>
    <t>김현진</t>
    <phoneticPr fontId="3" type="noConversion"/>
  </si>
  <si>
    <t>김유진</t>
    <phoneticPr fontId="3" type="noConversion"/>
  </si>
  <si>
    <t>김창호</t>
    <phoneticPr fontId="3" type="noConversion"/>
  </si>
  <si>
    <t>김민재</t>
    <phoneticPr fontId="3" type="noConversion"/>
  </si>
  <si>
    <t>유윤선</t>
    <phoneticPr fontId="3" type="noConversion"/>
  </si>
  <si>
    <t>구혜민</t>
    <phoneticPr fontId="3" type="noConversion"/>
  </si>
  <si>
    <t>최윤경</t>
    <phoneticPr fontId="3" type="noConversion"/>
  </si>
  <si>
    <t>임정혁</t>
    <phoneticPr fontId="3" type="noConversion"/>
  </si>
  <si>
    <t>김동근</t>
    <phoneticPr fontId="3" type="noConversion"/>
  </si>
  <si>
    <t>임진희</t>
    <phoneticPr fontId="3" type="noConversion"/>
  </si>
  <si>
    <t>김은실</t>
    <phoneticPr fontId="3" type="noConversion"/>
  </si>
  <si>
    <t>이순규</t>
    <phoneticPr fontId="3" type="noConversion"/>
  </si>
  <si>
    <t>강혜정</t>
    <phoneticPr fontId="3" type="noConversion"/>
  </si>
  <si>
    <t>임효진</t>
    <phoneticPr fontId="3" type="noConversion"/>
  </si>
  <si>
    <t>이현정</t>
    <phoneticPr fontId="3" type="noConversion"/>
  </si>
  <si>
    <t>김지민</t>
    <phoneticPr fontId="3" type="noConversion"/>
  </si>
  <si>
    <t>정현이</t>
    <phoneticPr fontId="3" type="noConversion"/>
  </si>
  <si>
    <t>유기농
가바현미</t>
    <phoneticPr fontId="16" type="noConversion"/>
  </si>
  <si>
    <t>유기농
가바
발아현미</t>
    <phoneticPr fontId="3" type="noConversion"/>
  </si>
  <si>
    <t>유기농
찰보리</t>
    <phoneticPr fontId="16" type="noConversion"/>
  </si>
  <si>
    <t>유기농
귀리</t>
    <phoneticPr fontId="3" type="noConversion"/>
  </si>
  <si>
    <t>800g</t>
    <phoneticPr fontId="3" type="noConversion"/>
  </si>
  <si>
    <t>1kg</t>
    <phoneticPr fontId="3" type="noConversion"/>
  </si>
  <si>
    <t>유기농
수수</t>
    <phoneticPr fontId="16" type="noConversion"/>
  </si>
  <si>
    <t>유기농
검정보리</t>
    <phoneticPr fontId="3" type="noConversion"/>
  </si>
  <si>
    <t>유기농
기장</t>
    <phoneticPr fontId="16" type="noConversion"/>
  </si>
  <si>
    <t>누룽지</t>
    <phoneticPr fontId="3" type="noConversion"/>
  </si>
  <si>
    <t>1kg</t>
    <phoneticPr fontId="3" type="noConversion"/>
  </si>
  <si>
    <t>1kg</t>
    <phoneticPr fontId="3" type="noConversion"/>
  </si>
  <si>
    <t>증정용
요리용쌀
1set</t>
    <phoneticPr fontId="3" type="noConversion"/>
  </si>
  <si>
    <t>300g*3</t>
    <phoneticPr fontId="3" type="noConversion"/>
  </si>
  <si>
    <t>예은농산</t>
    <phoneticPr fontId="3" type="noConversion"/>
  </si>
  <si>
    <t>유혜선</t>
    <phoneticPr fontId="3" type="noConversion"/>
  </si>
  <si>
    <t>26/06/05(금)
옥천농협 배송</t>
    <phoneticPr fontId="4" type="noConversion"/>
  </si>
  <si>
    <t>26/06/08
(월)</t>
    <phoneticPr fontId="4" type="noConversion"/>
  </si>
  <si>
    <t>창원1</t>
    <phoneticPr fontId="3" type="noConversion"/>
  </si>
  <si>
    <t>인천4</t>
    <phoneticPr fontId="3" type="noConversion"/>
  </si>
  <si>
    <t>이천2</t>
    <phoneticPr fontId="3" type="noConversion"/>
  </si>
  <si>
    <t>26/06/08(월)
옥천농협 배송</t>
    <phoneticPr fontId="4" type="noConversion"/>
  </si>
  <si>
    <t>금고깃집 본점</t>
    <phoneticPr fontId="3" type="noConversion"/>
  </si>
  <si>
    <t>금고깃집하늘점</t>
    <phoneticPr fontId="3" type="noConversion"/>
  </si>
  <si>
    <t>주혜선</t>
    <phoneticPr fontId="3" type="noConversion"/>
  </si>
  <si>
    <t>예일어린이집</t>
    <phoneticPr fontId="3" type="noConversion"/>
  </si>
  <si>
    <t>별빛어린이집</t>
    <phoneticPr fontId="3" type="noConversion"/>
  </si>
  <si>
    <t>신촌어린이집</t>
    <phoneticPr fontId="3" type="noConversion"/>
  </si>
  <si>
    <t>채영덕</t>
    <phoneticPr fontId="3" type="noConversion"/>
  </si>
  <si>
    <t>권윤희</t>
    <phoneticPr fontId="3" type="noConversion"/>
  </si>
  <si>
    <t>곽은하</t>
    <phoneticPr fontId="3" type="noConversion"/>
  </si>
  <si>
    <t>서윤주</t>
    <phoneticPr fontId="3" type="noConversion"/>
  </si>
  <si>
    <t>이순단</t>
    <phoneticPr fontId="3" type="noConversion"/>
  </si>
  <si>
    <t>차수연</t>
    <phoneticPr fontId="3" type="noConversion"/>
  </si>
  <si>
    <t>김미경</t>
    <phoneticPr fontId="3" type="noConversion"/>
  </si>
  <si>
    <t>배석한</t>
    <phoneticPr fontId="3" type="noConversion"/>
  </si>
  <si>
    <t>지윤미</t>
    <phoneticPr fontId="3" type="noConversion"/>
  </si>
  <si>
    <t>김지영</t>
    <phoneticPr fontId="3" type="noConversion"/>
  </si>
  <si>
    <t>앵글러MG</t>
    <phoneticPr fontId="3" type="noConversion"/>
  </si>
  <si>
    <t>유종훈</t>
    <phoneticPr fontId="3" type="noConversion"/>
  </si>
  <si>
    <t>이가연</t>
    <phoneticPr fontId="3" type="noConversion"/>
  </si>
  <si>
    <t>이상훈</t>
    <phoneticPr fontId="3" type="noConversion"/>
  </si>
  <si>
    <t>이현숙</t>
    <phoneticPr fontId="3" type="noConversion"/>
  </si>
  <si>
    <t>조준완</t>
    <phoneticPr fontId="3" type="noConversion"/>
  </si>
  <si>
    <t>류재원</t>
    <phoneticPr fontId="3" type="noConversion"/>
  </si>
  <si>
    <t>이용찬</t>
    <phoneticPr fontId="3" type="noConversion"/>
  </si>
  <si>
    <t>문형선</t>
    <phoneticPr fontId="3" type="noConversion"/>
  </si>
  <si>
    <t>성연붕</t>
    <phoneticPr fontId="3" type="noConversion"/>
  </si>
  <si>
    <t>강진경</t>
    <phoneticPr fontId="3" type="noConversion"/>
  </si>
  <si>
    <t>정인영</t>
    <phoneticPr fontId="3" type="noConversion"/>
  </si>
  <si>
    <t>김미현</t>
    <phoneticPr fontId="3" type="noConversion"/>
  </si>
  <si>
    <t>임택</t>
    <phoneticPr fontId="3" type="noConversion"/>
  </si>
  <si>
    <t>한은정</t>
    <phoneticPr fontId="3" type="noConversion"/>
  </si>
  <si>
    <t>박지현</t>
    <phoneticPr fontId="3" type="noConversion"/>
  </si>
  <si>
    <t>송미숙</t>
    <phoneticPr fontId="3" type="noConversion"/>
  </si>
  <si>
    <t>송혜진</t>
    <phoneticPr fontId="3" type="noConversion"/>
  </si>
  <si>
    <t>유기농
차조</t>
    <phoneticPr fontId="16" type="noConversion"/>
  </si>
  <si>
    <t>유기농
기장</t>
    <phoneticPr fontId="16" type="noConversion"/>
  </si>
  <si>
    <t>윤금자</t>
    <phoneticPr fontId="3" type="noConversion"/>
  </si>
  <si>
    <t>4kg</t>
    <phoneticPr fontId="3" type="noConversion"/>
  </si>
  <si>
    <t>자연
주의</t>
    <phoneticPr fontId="3" type="noConversion"/>
  </si>
  <si>
    <t>정봄이</t>
    <phoneticPr fontId="3" type="noConversion"/>
  </si>
  <si>
    <t>이은영</t>
    <phoneticPr fontId="3" type="noConversion"/>
  </si>
  <si>
    <t>김재마로</t>
    <phoneticPr fontId="3" type="noConversion"/>
  </si>
  <si>
    <t>증정용
요리용쌀
1set</t>
    <phoneticPr fontId="16" type="noConversion"/>
  </si>
  <si>
    <t>샛별어린이집</t>
    <phoneticPr fontId="3" type="noConversion"/>
  </si>
  <si>
    <t>한지선</t>
    <phoneticPr fontId="3" type="noConversion"/>
  </si>
  <si>
    <t>송나경</t>
    <phoneticPr fontId="3" type="noConversion"/>
  </si>
  <si>
    <t>문상현</t>
    <phoneticPr fontId="3" type="noConversion"/>
  </si>
  <si>
    <t>이정실</t>
    <phoneticPr fontId="3" type="noConversion"/>
  </si>
  <si>
    <t>신명가</t>
    <phoneticPr fontId="3" type="noConversion"/>
  </si>
  <si>
    <t>서유진</t>
    <phoneticPr fontId="3" type="noConversion"/>
  </si>
  <si>
    <t>원진희</t>
    <phoneticPr fontId="3" type="noConversion"/>
  </si>
  <si>
    <t>김해리</t>
    <phoneticPr fontId="3" type="noConversion"/>
  </si>
  <si>
    <t>지하림</t>
    <phoneticPr fontId="3" type="noConversion"/>
  </si>
  <si>
    <t>26/06/10(수)
옥천농협 배송</t>
    <phoneticPr fontId="4" type="noConversion"/>
  </si>
  <si>
    <t>이정오</t>
    <phoneticPr fontId="3" type="noConversion"/>
  </si>
  <si>
    <t>1kg</t>
    <phoneticPr fontId="3" type="noConversion"/>
  </si>
  <si>
    <t>유기농
찰현미</t>
    <phoneticPr fontId="16" type="noConversion"/>
  </si>
  <si>
    <t>서대문생협</t>
    <phoneticPr fontId="3" type="noConversion"/>
  </si>
  <si>
    <t>은현어린이집</t>
    <phoneticPr fontId="3" type="noConversion"/>
  </si>
  <si>
    <t>5kg</t>
    <phoneticPr fontId="3" type="noConversion"/>
  </si>
  <si>
    <t>김민정</t>
    <phoneticPr fontId="3" type="noConversion"/>
  </si>
  <si>
    <t>유기농
귀리</t>
    <phoneticPr fontId="16" type="noConversion"/>
  </si>
  <si>
    <t>1kg</t>
    <phoneticPr fontId="3" type="noConversion"/>
  </si>
  <si>
    <t>300g*3</t>
    <phoneticPr fontId="3" type="noConversion"/>
  </si>
  <si>
    <t>고고</t>
    <phoneticPr fontId="3" type="noConversion"/>
  </si>
  <si>
    <t>정수연</t>
    <phoneticPr fontId="3" type="noConversion"/>
  </si>
  <si>
    <t>26/06/10
(수)</t>
    <phoneticPr fontId="4" type="noConversion"/>
  </si>
  <si>
    <t>26/06/09
(화)</t>
    <phoneticPr fontId="4" type="noConversion"/>
  </si>
  <si>
    <t>우리아이행복밥상</t>
    <phoneticPr fontId="3" type="noConversion"/>
  </si>
  <si>
    <t>고은어린이집</t>
    <phoneticPr fontId="3" type="noConversion"/>
  </si>
  <si>
    <t>또오기어린이집</t>
    <phoneticPr fontId="3" type="noConversion"/>
  </si>
  <si>
    <t>이유진님</t>
    <phoneticPr fontId="3" type="noConversion"/>
  </si>
  <si>
    <t>김나래</t>
    <phoneticPr fontId="3" type="noConversion"/>
  </si>
  <si>
    <t>정주희</t>
    <phoneticPr fontId="3" type="noConversion"/>
  </si>
  <si>
    <t>이영미</t>
    <phoneticPr fontId="3" type="noConversion"/>
  </si>
  <si>
    <t>전혜민</t>
    <phoneticPr fontId="3" type="noConversion"/>
  </si>
  <si>
    <t>김혜리</t>
    <phoneticPr fontId="3" type="noConversion"/>
  </si>
  <si>
    <t>이나연</t>
    <phoneticPr fontId="3" type="noConversion"/>
  </si>
  <si>
    <t>유송이</t>
    <phoneticPr fontId="3" type="noConversion"/>
  </si>
  <si>
    <t>조경희</t>
    <phoneticPr fontId="3" type="noConversion"/>
  </si>
  <si>
    <t>박지현</t>
    <phoneticPr fontId="3" type="noConversion"/>
  </si>
  <si>
    <t>예은농산</t>
    <phoneticPr fontId="3" type="noConversion"/>
  </si>
  <si>
    <t>윤영석</t>
    <phoneticPr fontId="3" type="noConversion"/>
  </si>
  <si>
    <t>김미화</t>
    <phoneticPr fontId="3" type="noConversion"/>
  </si>
  <si>
    <t>26/06/11
(목)</t>
    <phoneticPr fontId="4" type="noConversion"/>
  </si>
  <si>
    <t>김호림</t>
  </si>
  <si>
    <t>김숙</t>
  </si>
  <si>
    <t>윤기선님</t>
    <phoneticPr fontId="3" type="noConversion"/>
  </si>
  <si>
    <t>삼성이화어린이집</t>
    <phoneticPr fontId="3" type="noConversion"/>
  </si>
  <si>
    <t>김유숙</t>
    <phoneticPr fontId="3" type="noConversion"/>
  </si>
  <si>
    <t>이상례</t>
    <phoneticPr fontId="3" type="noConversion"/>
  </si>
  <si>
    <t>이은영</t>
    <phoneticPr fontId="3" type="noConversion"/>
  </si>
  <si>
    <t>이호석</t>
    <phoneticPr fontId="3" type="noConversion"/>
  </si>
  <si>
    <t>사공숙</t>
    <phoneticPr fontId="3" type="noConversion"/>
  </si>
  <si>
    <t>조수정</t>
    <phoneticPr fontId="3" type="noConversion"/>
  </si>
  <si>
    <t>임은옥</t>
    <phoneticPr fontId="3" type="noConversion"/>
  </si>
  <si>
    <t>김준형</t>
    <phoneticPr fontId="3" type="noConversion"/>
  </si>
  <si>
    <t>조오제</t>
    <phoneticPr fontId="3" type="noConversion"/>
  </si>
  <si>
    <t>유기농
가바
발아현미</t>
    <phoneticPr fontId="3" type="noConversion"/>
  </si>
  <si>
    <t>유기농
가바현미</t>
    <phoneticPr fontId="3" type="noConversion"/>
  </si>
  <si>
    <t>유기농
검정보리</t>
    <phoneticPr fontId="3" type="noConversion"/>
  </si>
  <si>
    <t>유기농
수수</t>
    <phoneticPr fontId="3" type="noConversion"/>
  </si>
  <si>
    <t>유기농
귀리</t>
    <phoneticPr fontId="3" type="noConversion"/>
  </si>
  <si>
    <t>유기농
차조</t>
    <phoneticPr fontId="3" type="noConversion"/>
  </si>
  <si>
    <t>800g</t>
    <phoneticPr fontId="3" type="noConversion"/>
  </si>
  <si>
    <t>1kg</t>
    <phoneticPr fontId="3" type="noConversion"/>
  </si>
  <si>
    <t>300g*3</t>
    <phoneticPr fontId="3" type="noConversion"/>
  </si>
  <si>
    <t>유기농
가바백미</t>
    <phoneticPr fontId="3" type="noConversion"/>
  </si>
  <si>
    <t>3kg</t>
    <phoneticPr fontId="3" type="noConversion"/>
  </si>
  <si>
    <t>임승균</t>
    <phoneticPr fontId="3" type="noConversion"/>
  </si>
  <si>
    <t>전경</t>
    <phoneticPr fontId="3" type="noConversion"/>
  </si>
  <si>
    <t>유기농
찰현미</t>
    <phoneticPr fontId="3" type="noConversion"/>
  </si>
  <si>
    <t>5kg</t>
    <phoneticPr fontId="3" type="noConversion"/>
  </si>
  <si>
    <t>누룽지</t>
    <phoneticPr fontId="3" type="noConversion"/>
  </si>
  <si>
    <t>1kg</t>
    <phoneticPr fontId="3" type="noConversion"/>
  </si>
  <si>
    <t>유기농
찰보리</t>
    <phoneticPr fontId="3" type="noConversion"/>
  </si>
  <si>
    <t>함다영</t>
    <phoneticPr fontId="3" type="noConversion"/>
  </si>
  <si>
    <t>26/06/12
(금)</t>
    <phoneticPr fontId="4" type="noConversion"/>
  </si>
  <si>
    <t>대구2</t>
    <phoneticPr fontId="3" type="noConversion"/>
  </si>
  <si>
    <t>동탄1</t>
    <phoneticPr fontId="3" type="noConversion"/>
  </si>
  <si>
    <t>창원1</t>
    <phoneticPr fontId="3" type="noConversion"/>
  </si>
  <si>
    <t>26/06/12(금)
옥천농협 배송</t>
    <phoneticPr fontId="4" type="noConversion"/>
  </si>
  <si>
    <t>신선희</t>
    <phoneticPr fontId="3" type="noConversion"/>
  </si>
  <si>
    <t>울림생협 성산점</t>
    <phoneticPr fontId="3" type="noConversion"/>
  </si>
  <si>
    <t>울림생협 용강점</t>
    <phoneticPr fontId="3" type="noConversion"/>
  </si>
  <si>
    <t>울림생협 북가좌점</t>
    <phoneticPr fontId="3" type="noConversion"/>
  </si>
  <si>
    <t>울림생협 망원점</t>
    <phoneticPr fontId="3" type="noConversion"/>
  </si>
  <si>
    <t>이준상</t>
    <phoneticPr fontId="3" type="noConversion"/>
  </si>
  <si>
    <t>10kg</t>
    <phoneticPr fontId="3" type="noConversion"/>
  </si>
  <si>
    <t>자스민쌀
향렬/CJ6</t>
    <phoneticPr fontId="3" type="noConversion"/>
  </si>
  <si>
    <t>서울디아스포라교회</t>
    <phoneticPr fontId="3" type="noConversion"/>
  </si>
  <si>
    <t>진</t>
    <phoneticPr fontId="3" type="noConversion"/>
  </si>
  <si>
    <t>한진수</t>
    <phoneticPr fontId="3" type="noConversion"/>
  </si>
  <si>
    <t>고유미</t>
    <phoneticPr fontId="3" type="noConversion"/>
  </si>
  <si>
    <t>권미리</t>
    <phoneticPr fontId="3" type="noConversion"/>
  </si>
  <si>
    <t>신영진</t>
    <phoneticPr fontId="3" type="noConversion"/>
  </si>
  <si>
    <t>남용범</t>
    <phoneticPr fontId="3" type="noConversion"/>
  </si>
  <si>
    <t>한경주</t>
    <phoneticPr fontId="3" type="noConversion"/>
  </si>
  <si>
    <t>박수연</t>
    <phoneticPr fontId="3" type="noConversion"/>
  </si>
  <si>
    <t>이수아</t>
    <phoneticPr fontId="3" type="noConversion"/>
  </si>
  <si>
    <t>유기농
가바
발아현미</t>
    <phoneticPr fontId="3" type="noConversion"/>
  </si>
  <si>
    <t>채진희</t>
    <phoneticPr fontId="3" type="noConversion"/>
  </si>
  <si>
    <t>진  이</t>
    <phoneticPr fontId="3" type="noConversion"/>
  </si>
  <si>
    <t>유기농
차조</t>
    <phoneticPr fontId="3" type="noConversion"/>
  </si>
  <si>
    <t>1kg</t>
    <phoneticPr fontId="3" type="noConversion"/>
  </si>
  <si>
    <t>26/06/15(월)
옥천농협 배송</t>
    <phoneticPr fontId="4" type="noConversion"/>
  </si>
  <si>
    <t>천지향 8kg 
56박스</t>
    <phoneticPr fontId="3" type="noConversion"/>
  </si>
  <si>
    <t xml:space="preserve">천지향 8kg </t>
    <phoneticPr fontId="3" type="noConversion"/>
  </si>
  <si>
    <t>9파렛</t>
    <phoneticPr fontId="3" type="noConversion"/>
  </si>
  <si>
    <t>6파렛</t>
    <phoneticPr fontId="3" type="noConversion"/>
  </si>
  <si>
    <t>6파렛</t>
    <phoneticPr fontId="3" type="noConversion"/>
  </si>
  <si>
    <t>10파렛</t>
    <phoneticPr fontId="3" type="noConversion"/>
  </si>
  <si>
    <t>7파렛</t>
    <phoneticPr fontId="3" type="noConversion"/>
  </si>
  <si>
    <t>7파렛</t>
    <phoneticPr fontId="3" type="noConversion"/>
  </si>
  <si>
    <t>26/06/15
(월)</t>
    <phoneticPr fontId="4" type="noConversion"/>
  </si>
  <si>
    <t>최서은</t>
    <phoneticPr fontId="3" type="noConversion"/>
  </si>
  <si>
    <t>맹효진담당자</t>
    <phoneticPr fontId="3" type="noConversion"/>
  </si>
  <si>
    <t>이남숙</t>
    <phoneticPr fontId="3" type="noConversion"/>
  </si>
  <si>
    <t>정미선</t>
    <phoneticPr fontId="3" type="noConversion"/>
  </si>
  <si>
    <t>전양아</t>
    <phoneticPr fontId="3" type="noConversion"/>
  </si>
  <si>
    <t>윤수연</t>
    <phoneticPr fontId="3" type="noConversion"/>
  </si>
  <si>
    <t>이유진</t>
    <phoneticPr fontId="3" type="noConversion"/>
  </si>
  <si>
    <t>정성은</t>
    <phoneticPr fontId="3" type="noConversion"/>
  </si>
  <si>
    <t>안세미</t>
    <phoneticPr fontId="3" type="noConversion"/>
  </si>
  <si>
    <t>김은영</t>
    <phoneticPr fontId="3" type="noConversion"/>
  </si>
  <si>
    <t>홍기선</t>
    <phoneticPr fontId="3" type="noConversion"/>
  </si>
  <si>
    <t>오경희</t>
    <phoneticPr fontId="3" type="noConversion"/>
  </si>
  <si>
    <t>지윤미</t>
    <phoneticPr fontId="3" type="noConversion"/>
  </si>
  <si>
    <t>김영애</t>
    <phoneticPr fontId="3" type="noConversion"/>
  </si>
  <si>
    <t>정선미</t>
    <phoneticPr fontId="3" type="noConversion"/>
  </si>
  <si>
    <t>곽지혜</t>
    <phoneticPr fontId="3" type="noConversion"/>
  </si>
  <si>
    <t>채선영</t>
    <phoneticPr fontId="3" type="noConversion"/>
  </si>
  <si>
    <t>803호</t>
    <phoneticPr fontId="3" type="noConversion"/>
  </si>
  <si>
    <t>최근욱(운정)</t>
    <phoneticPr fontId="3" type="noConversion"/>
  </si>
  <si>
    <t>이승환</t>
    <phoneticPr fontId="3" type="noConversion"/>
  </si>
  <si>
    <t>류은희</t>
    <phoneticPr fontId="3" type="noConversion"/>
  </si>
  <si>
    <t>이우미</t>
    <phoneticPr fontId="3" type="noConversion"/>
  </si>
  <si>
    <t>박정연</t>
    <phoneticPr fontId="3" type="noConversion"/>
  </si>
  <si>
    <t>정은숙</t>
    <phoneticPr fontId="3" type="noConversion"/>
  </si>
  <si>
    <t>김민석</t>
    <phoneticPr fontId="3" type="noConversion"/>
  </si>
  <si>
    <t>전영주</t>
    <phoneticPr fontId="3" type="noConversion"/>
  </si>
  <si>
    <t>이소연</t>
    <phoneticPr fontId="3" type="noConversion"/>
  </si>
  <si>
    <t>3kg</t>
    <phoneticPr fontId="3" type="noConversion"/>
  </si>
  <si>
    <t>유기농
기장</t>
    <phoneticPr fontId="3" type="noConversion"/>
  </si>
  <si>
    <t>유기농
수수</t>
    <phoneticPr fontId="3" type="noConversion"/>
  </si>
  <si>
    <t>유기농
귀리</t>
    <phoneticPr fontId="3" type="noConversion"/>
  </si>
  <si>
    <t>유기농
차조</t>
    <phoneticPr fontId="3" type="noConversion"/>
  </si>
  <si>
    <t>누룽지</t>
    <phoneticPr fontId="3" type="noConversion"/>
  </si>
  <si>
    <t>1kg</t>
    <phoneticPr fontId="3" type="noConversion"/>
  </si>
  <si>
    <t>IPS</t>
    <phoneticPr fontId="3" type="noConversion"/>
  </si>
  <si>
    <t>15kg</t>
    <phoneticPr fontId="3" type="noConversion"/>
  </si>
  <si>
    <t>신유진</t>
    <phoneticPr fontId="3" type="noConversion"/>
  </si>
  <si>
    <t>박현진</t>
    <phoneticPr fontId="3" type="noConversion"/>
  </si>
  <si>
    <t>예은농산</t>
    <phoneticPr fontId="3" type="noConversion"/>
  </si>
  <si>
    <t>아이
담쌀</t>
    <phoneticPr fontId="3" type="noConversion"/>
  </si>
  <si>
    <t>김해란</t>
    <phoneticPr fontId="3" type="noConversion"/>
  </si>
  <si>
    <t>김미래</t>
    <phoneticPr fontId="3" type="noConversion"/>
  </si>
  <si>
    <t>이경자</t>
    <phoneticPr fontId="3" type="noConversion"/>
  </si>
  <si>
    <t>해남로컬푸드</t>
    <phoneticPr fontId="3" type="noConversion"/>
  </si>
  <si>
    <t>1kg</t>
    <phoneticPr fontId="3" type="noConversion"/>
  </si>
  <si>
    <t>해남급식</t>
    <phoneticPr fontId="3" type="noConversion"/>
  </si>
  <si>
    <t>유기농
찰보리</t>
    <phoneticPr fontId="3" type="noConversion"/>
  </si>
  <si>
    <t>26/06/16
(화)</t>
    <phoneticPr fontId="4" type="noConversion"/>
  </si>
  <si>
    <t>한순이</t>
    <phoneticPr fontId="3" type="noConversion"/>
  </si>
  <si>
    <t>예일어린이집</t>
    <phoneticPr fontId="3" type="noConversion"/>
  </si>
  <si>
    <t>별빛어린이집</t>
    <phoneticPr fontId="3" type="noConversion"/>
  </si>
  <si>
    <t>엄마맘어린이집</t>
    <phoneticPr fontId="3" type="noConversion"/>
  </si>
  <si>
    <t>명지대어린이집</t>
    <phoneticPr fontId="3" type="noConversion"/>
  </si>
  <si>
    <t>유기농
천지향</t>
    <phoneticPr fontId="3" type="noConversion"/>
  </si>
  <si>
    <t>10kg</t>
    <phoneticPr fontId="3" type="noConversion"/>
  </si>
  <si>
    <t>(         )</t>
    <phoneticPr fontId="3" type="noConversion"/>
  </si>
  <si>
    <t>맘스쌀과자</t>
    <phoneticPr fontId="3" type="noConversion"/>
  </si>
  <si>
    <t>26/06/17(수)
경동화물</t>
    <phoneticPr fontId="3" type="noConversion"/>
  </si>
  <si>
    <t>김정희</t>
    <phoneticPr fontId="3" type="noConversion"/>
  </si>
  <si>
    <t>이정준</t>
    <phoneticPr fontId="3" type="noConversion"/>
  </si>
  <si>
    <t>허성미</t>
    <phoneticPr fontId="3" type="noConversion"/>
  </si>
  <si>
    <t>김경미</t>
    <phoneticPr fontId="3" type="noConversion"/>
  </si>
  <si>
    <t>순범</t>
    <phoneticPr fontId="3" type="noConversion"/>
  </si>
  <si>
    <t>주승</t>
    <phoneticPr fontId="3" type="noConversion"/>
  </si>
  <si>
    <t>오춘옥</t>
    <phoneticPr fontId="3" type="noConversion"/>
  </si>
  <si>
    <t>유재민</t>
    <phoneticPr fontId="3" type="noConversion"/>
  </si>
  <si>
    <t>진주</t>
    <phoneticPr fontId="3" type="noConversion"/>
  </si>
  <si>
    <t>백진영</t>
    <phoneticPr fontId="3" type="noConversion"/>
  </si>
  <si>
    <t>증정용
요리용쌀
1set</t>
    <phoneticPr fontId="3" type="noConversion"/>
  </si>
  <si>
    <t>300g*3</t>
    <phoneticPr fontId="3" type="noConversion"/>
  </si>
  <si>
    <t>26/06/17(수)
옥천농협 배송</t>
    <phoneticPr fontId="4" type="noConversion"/>
  </si>
  <si>
    <t>26/06/18(목)
경동화물</t>
    <phoneticPr fontId="3" type="noConversion"/>
  </si>
  <si>
    <t>유기농
하이아미</t>
    <phoneticPr fontId="3" type="noConversion"/>
  </si>
  <si>
    <t>윤병옥</t>
    <phoneticPr fontId="3" type="noConversion"/>
  </si>
  <si>
    <t>노벨뉴트리션(지피코)</t>
    <phoneticPr fontId="3" type="noConversion"/>
  </si>
  <si>
    <t>20kg</t>
    <phoneticPr fontId="3" type="noConversion"/>
  </si>
  <si>
    <t>오현주</t>
  </si>
  <si>
    <t>김윤식</t>
  </si>
  <si>
    <t>장영애</t>
  </si>
  <si>
    <t>도연아</t>
  </si>
  <si>
    <t>정순영</t>
  </si>
  <si>
    <t>백경숙</t>
  </si>
  <si>
    <t>오인애</t>
  </si>
  <si>
    <t>전태영</t>
  </si>
  <si>
    <t>장문석</t>
  </si>
  <si>
    <t>김석일</t>
  </si>
  <si>
    <t>김효정</t>
  </si>
  <si>
    <t>정혜미</t>
  </si>
  <si>
    <t>오명은</t>
  </si>
  <si>
    <t>김미지</t>
  </si>
  <si>
    <t>이주영</t>
  </si>
  <si>
    <t>이일승</t>
  </si>
  <si>
    <t>800g</t>
    <phoneticPr fontId="3" type="noConversion"/>
  </si>
  <si>
    <t>유기농
가바백미</t>
    <phoneticPr fontId="3" type="noConversion"/>
  </si>
  <si>
    <t>유기농
귀리</t>
    <phoneticPr fontId="3" type="noConversion"/>
  </si>
  <si>
    <t>유기농
차조</t>
    <phoneticPr fontId="3" type="noConversion"/>
  </si>
  <si>
    <t>유기농
수수</t>
    <phoneticPr fontId="3" type="noConversion"/>
  </si>
  <si>
    <t>1kg</t>
    <phoneticPr fontId="3" type="noConversion"/>
  </si>
  <si>
    <t>누룽지</t>
    <phoneticPr fontId="3" type="noConversion"/>
  </si>
  <si>
    <t>1kg</t>
    <phoneticPr fontId="3" type="noConversion"/>
  </si>
  <si>
    <t>유기농
찹쌀</t>
    <phoneticPr fontId="3" type="noConversion"/>
  </si>
  <si>
    <t>1kg</t>
    <phoneticPr fontId="3" type="noConversion"/>
  </si>
  <si>
    <t>26/06/17
(수)</t>
    <phoneticPr fontId="4" type="noConversion"/>
  </si>
  <si>
    <t>26/06/18
(목)</t>
    <phoneticPr fontId="4" type="noConversion"/>
  </si>
  <si>
    <t>예은농산</t>
    <phoneticPr fontId="3" type="noConversion"/>
  </si>
  <si>
    <t>아이담쌀</t>
    <phoneticPr fontId="3" type="noConversion"/>
  </si>
  <si>
    <t>이강바이오</t>
    <phoneticPr fontId="3" type="noConversion"/>
  </si>
  <si>
    <t>킹덤
라이스
더 단백쌀
IPS</t>
    <phoneticPr fontId="3" type="noConversion"/>
  </si>
  <si>
    <t>서대문생협</t>
    <phoneticPr fontId="3" type="noConversion"/>
  </si>
  <si>
    <t>신옥철님</t>
    <phoneticPr fontId="3" type="noConversion"/>
  </si>
  <si>
    <t>10kg</t>
    <phoneticPr fontId="3" type="noConversion"/>
  </si>
  <si>
    <t>박주연</t>
    <phoneticPr fontId="3" type="noConversion"/>
  </si>
  <si>
    <t>조명환</t>
    <phoneticPr fontId="3" type="noConversion"/>
  </si>
  <si>
    <t>5kg</t>
    <phoneticPr fontId="3" type="noConversion"/>
  </si>
  <si>
    <t>문병순_청담동</t>
    <phoneticPr fontId="3" type="noConversion"/>
  </si>
  <si>
    <t>김보영</t>
    <phoneticPr fontId="3" type="noConversion"/>
  </si>
  <si>
    <t>조현옥</t>
    <phoneticPr fontId="3" type="noConversion"/>
  </si>
  <si>
    <t>신원천</t>
    <phoneticPr fontId="3" type="noConversion"/>
  </si>
  <si>
    <t>안미경</t>
    <phoneticPr fontId="3" type="noConversion"/>
  </si>
  <si>
    <t>이명순</t>
    <phoneticPr fontId="3" type="noConversion"/>
  </si>
  <si>
    <t>이미현</t>
    <phoneticPr fontId="3" type="noConversion"/>
  </si>
  <si>
    <t>안미영</t>
    <phoneticPr fontId="3" type="noConversion"/>
  </si>
  <si>
    <t>윤일호</t>
    <phoneticPr fontId="3" type="noConversion"/>
  </si>
  <si>
    <t>황정미</t>
    <phoneticPr fontId="3" type="noConversion"/>
  </si>
  <si>
    <t>이길자</t>
    <phoneticPr fontId="3" type="noConversion"/>
  </si>
  <si>
    <t>정재식</t>
    <phoneticPr fontId="3" type="noConversion"/>
  </si>
  <si>
    <t>윤선영</t>
    <phoneticPr fontId="3" type="noConversion"/>
  </si>
  <si>
    <t>이미옥</t>
    <phoneticPr fontId="3" type="noConversion"/>
  </si>
  <si>
    <t>박정이</t>
    <phoneticPr fontId="3" type="noConversion"/>
  </si>
  <si>
    <t>김경균</t>
    <phoneticPr fontId="3" type="noConversion"/>
  </si>
  <si>
    <t>이상례</t>
    <phoneticPr fontId="3" type="noConversion"/>
  </si>
  <si>
    <t>이은실</t>
    <phoneticPr fontId="3" type="noConversion"/>
  </si>
  <si>
    <t>문선진</t>
    <phoneticPr fontId="3" type="noConversion"/>
  </si>
  <si>
    <t>김소월</t>
    <phoneticPr fontId="3" type="noConversion"/>
  </si>
  <si>
    <t>유경진</t>
    <phoneticPr fontId="3" type="noConversion"/>
  </si>
  <si>
    <t>박은영</t>
    <phoneticPr fontId="3" type="noConversion"/>
  </si>
  <si>
    <t>김민수</t>
    <phoneticPr fontId="3" type="noConversion"/>
  </si>
  <si>
    <t>김효진</t>
    <phoneticPr fontId="3" type="noConversion"/>
  </si>
  <si>
    <t>김인영</t>
    <phoneticPr fontId="3" type="noConversion"/>
  </si>
  <si>
    <t>김주현</t>
    <phoneticPr fontId="3" type="noConversion"/>
  </si>
  <si>
    <t>이시은</t>
    <phoneticPr fontId="3" type="noConversion"/>
  </si>
  <si>
    <t>김희연</t>
    <phoneticPr fontId="3" type="noConversion"/>
  </si>
  <si>
    <t>조혜미</t>
    <phoneticPr fontId="3" type="noConversion"/>
  </si>
  <si>
    <t>윤가빈</t>
    <phoneticPr fontId="3" type="noConversion"/>
  </si>
  <si>
    <t>신유정</t>
    <phoneticPr fontId="3" type="noConversion"/>
  </si>
  <si>
    <t>26/06/19
(금)</t>
    <phoneticPr fontId="4" type="noConversion"/>
  </si>
  <si>
    <t>고양1</t>
    <phoneticPr fontId="3" type="noConversion"/>
  </si>
  <si>
    <t>26/06/19(금)
옥천농협 배송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</si>
</sst>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&quot;박스&quot;"/>
    <numFmt numFmtId="178" formatCode="0_);[Red]\(0\)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4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30"/>
      <color rgb="FF000000"/>
      <name val="맑은 고딕"/>
      <family val="3"/>
      <charset val="129"/>
    </font>
    <font>
      <sz val="48"/>
      <color rgb="FF000000"/>
      <name val="맑은 고딕"/>
      <family val="3"/>
      <charset val="129"/>
    </font>
    <font>
      <b/>
      <sz val="50"/>
      <color rgb="FF000000"/>
      <name val="맑은 고딕"/>
      <family val="3"/>
      <charset val="129"/>
    </font>
    <font>
      <b/>
      <sz val="30"/>
      <color theme="1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3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117">
    <xf numFmtId="0" fontId="0" fillId="0" borderId="0" xfId="0">
      <alignment vertical="center"/>
    </xf>
    <xf numFmtId="176" fontId="5" fillId="0" borderId="1" xfId="1" quotePrefix="1" applyNumberFormat="1" applyFont="1" applyBorder="1" applyAlignment="1">
      <alignment horizontal="center" vertical="center" wrapTex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0" fontId="6" fillId="0" borderId="0" xfId="1" applyNumberFormat="1" applyFont="1">
      <alignment vertical="center"/>
    </xf>
    <xf numFmtId="0" fontId="1" fillId="0" borderId="0" xfId="1" applyNumberFormat="1">
      <alignment vertical="center"/>
    </xf>
    <xf numFmtId="176" fontId="5" fillId="0" borderId="1" xfId="1" quotePrefix="1" applyNumberFormat="1" applyFont="1" applyBorder="1" applyAlignment="1">
      <alignment horizontal="center" vertical="center" shrinkToFit="1" readingOrder="1"/>
    </xf>
    <xf numFmtId="176" fontId="5" fillId="0" borderId="2" xfId="1" quotePrefix="1" applyNumberFormat="1" applyFont="1" applyBorder="1" applyAlignment="1">
      <alignment horizontal="center" vertical="center" shrinkToFit="1" readingOrder="1"/>
    </xf>
    <xf numFmtId="176" fontId="5" fillId="2" borderId="1" xfId="1" quotePrefix="1" applyNumberFormat="1" applyFont="1" applyFill="1" applyBorder="1" applyAlignment="1">
      <alignment horizontal="center" vertical="center" shrinkToFit="1" readingOrder="1"/>
    </xf>
    <xf numFmtId="41" fontId="7" fillId="2" borderId="1" xfId="2" quotePrefix="1" applyNumberFormat="1" applyFont="1" applyFill="1" applyBorder="1" applyAlignment="1">
      <alignment horizontal="center" vertical="center" shrinkToFit="1" readingOrder="1"/>
    </xf>
    <xf numFmtId="41" fontId="6" fillId="0" borderId="0" xfId="2" applyNumberFormat="1" applyFont="1">
      <alignment vertical="center"/>
    </xf>
    <xf numFmtId="0" fontId="5" fillId="0" borderId="1" xfId="1" applyNumberFormat="1" applyFont="1" applyBorder="1" applyAlignment="1">
      <alignment horizontal="center" vertical="center" wrapText="1" shrinkToFit="1"/>
    </xf>
    <xf numFmtId="0" fontId="8" fillId="0" borderId="1" xfId="1" applyNumberFormat="1" applyFont="1" applyBorder="1" applyAlignment="1">
      <alignment horizontal="center" vertical="center"/>
    </xf>
    <xf numFmtId="41" fontId="8" fillId="0" borderId="1" xfId="2" applyNumberFormat="1" applyFont="1" applyBorder="1" applyAlignment="1">
      <alignment horizontal="center" vertical="center"/>
    </xf>
    <xf numFmtId="43" fontId="6" fillId="0" borderId="0" xfId="2" applyNumberFormat="1" applyFont="1">
      <alignment vertical="center"/>
    </xf>
    <xf numFmtId="41" fontId="9" fillId="0" borderId="0" xfId="2" applyNumberFormat="1" applyFont="1">
      <alignment vertical="center"/>
    </xf>
    <xf numFmtId="43" fontId="6" fillId="0" borderId="0" xfId="1" applyNumberFormat="1" applyFont="1">
      <alignment vertical="center"/>
    </xf>
    <xf numFmtId="41" fontId="10" fillId="0" borderId="0" xfId="2" applyNumberFormat="1" applyFont="1">
      <alignment vertical="center"/>
    </xf>
    <xf numFmtId="0" fontId="1" fillId="0" borderId="1" xfId="1" applyNumberFormat="1" applyBorder="1">
      <alignment vertical="center"/>
    </xf>
    <xf numFmtId="0" fontId="11" fillId="0" borderId="1" xfId="1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7" fontId="13" fillId="0" borderId="0" xfId="1" applyNumberFormat="1" applyFont="1" applyAlignment="1">
      <alignment horizontal="center" vertical="center"/>
    </xf>
    <xf numFmtId="176" fontId="14" fillId="0" borderId="1" xfId="1" quotePrefix="1" applyNumberFormat="1" applyFont="1" applyBorder="1" applyAlignment="1">
      <alignment horizontal="center" vertical="center" wrapText="1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7" fillId="0" borderId="1" xfId="1" quotePrefix="1" applyNumberFormat="1" applyFont="1" applyBorder="1" applyAlignment="1">
      <alignment horizontal="center" vertical="center" wrapText="1" shrinkToFit="1" readingOrder="1"/>
    </xf>
    <xf numFmtId="176" fontId="15" fillId="3" borderId="1" xfId="1" quotePrefix="1" applyNumberFormat="1" applyFont="1" applyFill="1" applyBorder="1" applyAlignment="1">
      <alignment vertical="center" wrapText="1" readingOrder="1"/>
    </xf>
    <xf numFmtId="176" fontId="17" fillId="0" borderId="2" xfId="1" quotePrefix="1" applyNumberFormat="1" applyFont="1" applyFill="1" applyBorder="1" applyAlignment="1">
      <alignment horizontal="center" vertical="center" wrapText="1" shrinkToFit="1" readingOrder="1"/>
    </xf>
    <xf numFmtId="176" fontId="15" fillId="0" borderId="1" xfId="1" quotePrefix="1" applyNumberFormat="1" applyFont="1" applyFill="1" applyBorder="1" applyAlignment="1">
      <alignment horizontal="center" vertical="center" wrapText="1" readingOrder="1"/>
    </xf>
    <xf numFmtId="176" fontId="17" fillId="0" borderId="1" xfId="1" quotePrefix="1" applyNumberFormat="1" applyFont="1" applyBorder="1" applyAlignment="1">
      <alignment horizontal="center" vertical="center" shrinkToFit="1" readingOrder="1"/>
    </xf>
    <xf numFmtId="176" fontId="15" fillId="0" borderId="1" xfId="1" quotePrefix="1" applyNumberFormat="1" applyFont="1" applyFill="1" applyBorder="1" applyAlignment="1">
      <alignment horizontal="center" vertical="center" shrinkToFit="1" readingOrder="1"/>
    </xf>
    <xf numFmtId="176" fontId="15" fillId="3" borderId="1" xfId="1" quotePrefix="1" applyNumberFormat="1" applyFont="1" applyFill="1" applyBorder="1" applyAlignment="1">
      <alignment horizontal="center" vertical="center" shrinkToFit="1" readingOrder="1"/>
    </xf>
    <xf numFmtId="176" fontId="15" fillId="4" borderId="1" xfId="1" quotePrefix="1" applyNumberFormat="1" applyFont="1" applyFill="1" applyBorder="1" applyAlignment="1">
      <alignment horizontal="center" vertical="center" shrinkToFit="1" readingOrder="1"/>
    </xf>
    <xf numFmtId="0" fontId="17" fillId="5" borderId="1" xfId="1" applyNumberFormat="1" applyFont="1" applyFill="1" applyBorder="1" applyAlignment="1">
      <alignment horizontal="center" vertical="center" shrinkToFit="1" readingOrder="1"/>
    </xf>
    <xf numFmtId="178" fontId="18" fillId="6" borderId="1" xfId="1" quotePrefix="1" applyNumberFormat="1" applyFont="1" applyFill="1" applyBorder="1" applyAlignment="1">
      <alignment horizontal="center" vertical="center" shrinkToFit="1" readingOrder="1"/>
    </xf>
    <xf numFmtId="0" fontId="15" fillId="0" borderId="1" xfId="1" applyNumberFormat="1" applyFont="1" applyBorder="1" applyAlignment="1">
      <alignment horizontal="center"/>
    </xf>
    <xf numFmtId="0" fontId="19" fillId="0" borderId="1" xfId="1" applyNumberFormat="1" applyFont="1" applyFill="1" applyBorder="1" applyAlignment="1">
      <alignment horizontal="center" vertical="center"/>
    </xf>
    <xf numFmtId="0" fontId="19" fillId="3" borderId="1" xfId="1" applyNumberFormat="1" applyFont="1" applyFill="1" applyBorder="1" applyAlignment="1">
      <alignment horizontal="center" vertical="center"/>
    </xf>
    <xf numFmtId="0" fontId="19" fillId="0" borderId="1" xfId="1" applyNumberFormat="1" applyFont="1" applyFill="1" applyBorder="1" applyAlignment="1">
      <alignment horizontal="center"/>
    </xf>
    <xf numFmtId="0" fontId="19" fillId="4" borderId="1" xfId="1" applyNumberFormat="1" applyFont="1" applyFill="1" applyBorder="1" applyAlignment="1">
      <alignment horizontal="center"/>
    </xf>
    <xf numFmtId="0" fontId="1" fillId="0" borderId="0" xfId="1" applyNumberFormat="1" applyAlignment="1">
      <alignment horizontal="center" vertical="center"/>
    </xf>
    <xf numFmtId="0" fontId="20" fillId="0" borderId="0" xfId="1" applyNumberFormat="1" applyFont="1" applyAlignment="1">
      <alignment vertical="center" wrapText="1"/>
    </xf>
    <xf numFmtId="0" fontId="20" fillId="0" borderId="0" xfId="1" applyNumberFormat="1" applyFont="1">
      <alignment vertical="center"/>
    </xf>
    <xf numFmtId="0" fontId="21" fillId="0" borderId="0" xfId="1" applyNumberFormat="1" applyFont="1">
      <alignment vertical="center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7" fillId="4" borderId="2" xfId="1" quotePrefix="1" applyNumberFormat="1" applyFont="1" applyFill="1" applyBorder="1" applyAlignment="1">
      <alignment horizontal="center" vertical="center" wrapText="1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0" fontId="17" fillId="2" borderId="1" xfId="1" applyNumberFormat="1" applyFont="1" applyFill="1" applyBorder="1" applyAlignment="1">
      <alignment horizontal="center" vertical="center" shrinkToFit="1" readingOrder="1"/>
    </xf>
    <xf numFmtId="178" fontId="18" fillId="7" borderId="1" xfId="1" quotePrefix="1" applyNumberFormat="1" applyFont="1" applyFill="1" applyBorder="1" applyAlignment="1">
      <alignment horizontal="center" vertical="center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22" fillId="0" borderId="2" xfId="1" quotePrefix="1" applyNumberFormat="1" applyFont="1" applyFill="1" applyBorder="1" applyAlignment="1">
      <alignment horizontal="center" vertical="center" wrapText="1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4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0" fontId="23" fillId="0" borderId="0" xfId="1" applyNumberFormat="1" applyFont="1" applyAlignment="1">
      <alignment vertical="center" wrapText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24" fillId="4" borderId="2" xfId="1" quotePrefix="1" applyNumberFormat="1" applyFont="1" applyFill="1" applyBorder="1" applyAlignment="1">
      <alignment horizontal="center" vertical="center" wrapText="1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Border="1" applyAlignment="1">
      <alignment horizontal="center" vertical="center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7" fillId="4" borderId="2" xfId="1" quotePrefix="1" applyNumberFormat="1" applyFont="1" applyFill="1" applyBorder="1" applyAlignment="1">
      <alignment horizontal="center" vertical="center" wrapText="1" shrinkToFit="1" readingOrder="1"/>
    </xf>
    <xf numFmtId="176" fontId="2" fillId="0" borderId="1" xfId="1" quotePrefix="1" applyNumberFormat="1" applyFont="1" applyBorder="1" applyAlignment="1">
      <alignment horizontal="center" vertical="center" wrapText="1" shrinkToFit="1" readingOrder="1"/>
    </xf>
    <xf numFmtId="176" fontId="2" fillId="0" borderId="1" xfId="1" quotePrefix="1" applyNumberFormat="1" applyFont="1" applyBorder="1" applyAlignment="1">
      <alignment horizontal="center" vertical="center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3" xfId="1" quotePrefix="1" applyNumberFormat="1" applyFont="1" applyFill="1" applyBorder="1" applyAlignment="1">
      <alignment horizontal="center" vertical="center" wrapText="1" readingOrder="1"/>
    </xf>
    <xf numFmtId="176" fontId="15" fillId="4" borderId="2" xfId="1" quotePrefix="1" applyNumberFormat="1" applyFont="1" applyFill="1" applyBorder="1" applyAlignment="1">
      <alignment horizontal="center" vertical="center" wrapText="1" readingOrder="1"/>
    </xf>
    <xf numFmtId="176" fontId="15" fillId="4" borderId="4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3" xfId="1" quotePrefix="1" applyNumberFormat="1" applyFont="1" applyFill="1" applyBorder="1" applyAlignment="1">
      <alignment horizontal="center" vertical="center" wrapText="1" readingOrder="1"/>
    </xf>
    <xf numFmtId="176" fontId="15" fillId="0" borderId="4" xfId="1" quotePrefix="1" applyNumberFormat="1" applyFont="1" applyFill="1" applyBorder="1" applyAlignment="1">
      <alignment horizontal="center" vertical="center" wrapText="1" readingOrder="1"/>
    </xf>
    <xf numFmtId="176" fontId="15" fillId="4" borderId="3" xfId="1" quotePrefix="1" applyNumberFormat="1" applyFont="1" applyFill="1" applyBorder="1" applyAlignment="1">
      <alignment horizontal="center" vertical="center" wrapText="1" readingOrder="1"/>
    </xf>
    <xf numFmtId="176" fontId="17" fillId="4" borderId="2" xfId="1" quotePrefix="1" applyNumberFormat="1" applyFont="1" applyFill="1" applyBorder="1" applyAlignment="1">
      <alignment horizontal="center" vertical="center" wrapText="1" shrinkToFit="1" readingOrder="1"/>
    </xf>
    <xf numFmtId="176" fontId="17" fillId="4" borderId="3" xfId="1" quotePrefix="1" applyNumberFormat="1" applyFont="1" applyFill="1" applyBorder="1" applyAlignment="1">
      <alignment horizontal="center" vertical="center" wrapText="1" shrinkToFit="1" readingOrder="1"/>
    </xf>
  </cellXfs>
  <cellStyles count="3">
    <cellStyle name="쉼표 [0] 2 2" xfId="2"/>
    <cellStyle name="표준" xfId="0" builtinId="0"/>
    <cellStyle name="표준 2 2" xfId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J7" sqref="J7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9" width="9" style="4"/>
    <col min="10" max="11" width="32.125" style="4" customWidth="1"/>
    <col min="12" max="16384" width="9" style="4"/>
  </cols>
  <sheetData>
    <row r="1" spans="1:11" ht="188.25" customHeight="1" x14ac:dyDescent="0.3">
      <c r="A1" s="105" t="s">
        <v>19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11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11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11" ht="110.25" customHeight="1" x14ac:dyDescent="0.3">
      <c r="A4" s="7"/>
      <c r="B4" s="8">
        <f t="shared" ref="B4:G4" si="0">SUM(B5:B7)</f>
        <v>20</v>
      </c>
      <c r="C4" s="8">
        <f t="shared" si="0"/>
        <v>80</v>
      </c>
      <c r="D4" s="8">
        <f t="shared" si="0"/>
        <v>144</v>
      </c>
      <c r="E4" s="8">
        <f t="shared" si="0"/>
        <v>1496</v>
      </c>
      <c r="F4" s="8">
        <f>SUM(F5:F7)</f>
        <v>0</v>
      </c>
      <c r="G4" s="8">
        <f t="shared" si="0"/>
        <v>0</v>
      </c>
      <c r="H4" s="9"/>
    </row>
    <row r="5" spans="1:11" ht="92.25" customHeight="1" x14ac:dyDescent="0.3">
      <c r="A5" s="10" t="s">
        <v>10</v>
      </c>
      <c r="B5" s="11"/>
      <c r="C5" s="12">
        <v>20</v>
      </c>
      <c r="D5" s="12">
        <v>48</v>
      </c>
      <c r="E5" s="12">
        <v>724</v>
      </c>
      <c r="F5" s="12"/>
      <c r="G5" s="12"/>
      <c r="H5" s="9"/>
    </row>
    <row r="6" spans="1:11" ht="92.25" customHeight="1" x14ac:dyDescent="0.3">
      <c r="A6" s="10" t="s">
        <v>11</v>
      </c>
      <c r="B6" s="11">
        <v>20</v>
      </c>
      <c r="C6" s="12">
        <v>32</v>
      </c>
      <c r="D6" s="12"/>
      <c r="E6" s="12">
        <v>360</v>
      </c>
      <c r="F6" s="12"/>
      <c r="G6" s="12"/>
      <c r="H6" s="9"/>
    </row>
    <row r="7" spans="1:11" ht="92.25" customHeight="1" x14ac:dyDescent="0.3">
      <c r="A7" s="10" t="s">
        <v>12</v>
      </c>
      <c r="B7" s="11"/>
      <c r="C7" s="12">
        <f>20+8</f>
        <v>28</v>
      </c>
      <c r="D7" s="12">
        <f>80+16</f>
        <v>96</v>
      </c>
      <c r="E7" s="12">
        <v>412</v>
      </c>
      <c r="F7" s="12"/>
      <c r="G7" s="12"/>
      <c r="H7" s="13"/>
      <c r="J7" s="42"/>
    </row>
    <row r="8" spans="1:11" ht="27" customHeight="1" x14ac:dyDescent="0.3">
      <c r="B8" s="14"/>
      <c r="C8" s="14"/>
      <c r="D8" s="14"/>
      <c r="E8" s="14"/>
      <c r="F8" s="14"/>
      <c r="G8" s="14"/>
      <c r="H8" s="15"/>
    </row>
    <row r="9" spans="1:11" ht="27" customHeight="1" x14ac:dyDescent="0.3">
      <c r="A9" s="16"/>
      <c r="H9" s="3"/>
    </row>
    <row r="10" spans="1:11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  <c r="J10" s="40" t="s">
        <v>33</v>
      </c>
      <c r="K10" s="41" t="s">
        <v>34</v>
      </c>
    </row>
    <row r="11" spans="1:11" ht="84" customHeight="1" x14ac:dyDescent="0.3">
      <c r="A11" s="10" t="s">
        <v>10</v>
      </c>
      <c r="B11" s="20"/>
      <c r="C11" s="20">
        <f>C5/4</f>
        <v>5</v>
      </c>
      <c r="D11" s="20">
        <f>D5/16</f>
        <v>3</v>
      </c>
      <c r="E11" s="20">
        <f>E5/4</f>
        <v>181</v>
      </c>
      <c r="F11" s="20"/>
      <c r="G11" s="20"/>
      <c r="H11" s="21">
        <f>SUM(B11:G11)</f>
        <v>189</v>
      </c>
      <c r="J11" s="41" t="s">
        <v>35</v>
      </c>
      <c r="K11" s="41">
        <f>E11-(3*56)</f>
        <v>13</v>
      </c>
    </row>
    <row r="12" spans="1:11" ht="84" customHeight="1" x14ac:dyDescent="0.3">
      <c r="A12" s="10" t="s">
        <v>11</v>
      </c>
      <c r="B12" s="20">
        <f>B6/10</f>
        <v>2</v>
      </c>
      <c r="C12" s="20">
        <f>C6/4</f>
        <v>8</v>
      </c>
      <c r="D12" s="20"/>
      <c r="E12" s="20">
        <f>E6/4</f>
        <v>90</v>
      </c>
      <c r="F12" s="20"/>
      <c r="G12" s="20"/>
      <c r="H12" s="21">
        <f>SUM(B12:G12)</f>
        <v>100</v>
      </c>
      <c r="J12" s="41" t="s">
        <v>36</v>
      </c>
      <c r="K12" s="41">
        <f>E12-(1*56)</f>
        <v>34</v>
      </c>
    </row>
    <row r="13" spans="1:11" ht="84" customHeight="1" x14ac:dyDescent="0.3">
      <c r="A13" s="10" t="s">
        <v>12</v>
      </c>
      <c r="B13" s="20"/>
      <c r="C13" s="20">
        <f>C7/4</f>
        <v>7</v>
      </c>
      <c r="D13" s="20">
        <f>D7/16</f>
        <v>6</v>
      </c>
      <c r="E13" s="20">
        <f>E7/4</f>
        <v>103</v>
      </c>
      <c r="F13" s="20"/>
      <c r="G13" s="20"/>
      <c r="H13" s="21">
        <f>SUM(B13:G13)</f>
        <v>116</v>
      </c>
      <c r="J13" s="41" t="s">
        <v>37</v>
      </c>
      <c r="K13" s="41">
        <f>E13-(1*56)</f>
        <v>47</v>
      </c>
    </row>
  </sheetData>
  <mergeCells count="1">
    <mergeCell ref="A1:A3"/>
  </mergeCells>
  <phoneticPr fontId="3" type="noConversion"/>
  <conditionalFormatting sqref="A5">
    <cfRule type="duplicateValues" dxfId="55" priority="4"/>
  </conditionalFormatting>
  <conditionalFormatting sqref="A6">
    <cfRule type="duplicateValues" dxfId="54" priority="5"/>
  </conditionalFormatting>
  <conditionalFormatting sqref="A7">
    <cfRule type="duplicateValues" dxfId="53" priority="2"/>
  </conditionalFormatting>
  <conditionalFormatting sqref="A11">
    <cfRule type="duplicateValues" dxfId="52" priority="3"/>
  </conditionalFormatting>
  <conditionalFormatting sqref="A12">
    <cfRule type="duplicateValues" dxfId="51" priority="6"/>
  </conditionalFormatting>
  <conditionalFormatting sqref="A13">
    <cfRule type="duplicateValues" dxfId="50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I20" sqref="I20"/>
    </sheetView>
  </sheetViews>
  <sheetFormatPr defaultColWidth="9" defaultRowHeight="16.5" x14ac:dyDescent="0.3"/>
  <cols>
    <col min="1" max="1" width="32.625" style="4" customWidth="1"/>
    <col min="2" max="3" width="10.5" style="4" customWidth="1"/>
    <col min="4" max="5" width="10.125" style="4" customWidth="1"/>
    <col min="6" max="6" width="19.125" style="4" customWidth="1"/>
    <col min="7" max="10" width="10.5" style="4" customWidth="1"/>
    <col min="11" max="11" width="20.125" style="4" customWidth="1"/>
    <col min="12" max="12" width="19.625" style="39" customWidth="1"/>
    <col min="13" max="13" width="20.125" style="4" customWidth="1"/>
    <col min="14" max="14" width="19.625" style="39" customWidth="1"/>
    <col min="15" max="15" width="20.125" style="4" customWidth="1"/>
    <col min="16" max="16" width="19.625" style="39" customWidth="1"/>
    <col min="17" max="17" width="20.125" style="4" customWidth="1"/>
    <col min="18" max="18" width="19.625" style="39" customWidth="1"/>
    <col min="19" max="16384" width="9" style="4"/>
  </cols>
  <sheetData>
    <row r="1" spans="1:18" ht="144" customHeight="1" x14ac:dyDescent="0.3">
      <c r="A1" s="22" t="s">
        <v>32</v>
      </c>
      <c r="B1" s="107" t="s">
        <v>20</v>
      </c>
      <c r="C1" s="108"/>
      <c r="D1" s="111" t="s">
        <v>21</v>
      </c>
      <c r="E1" s="112"/>
      <c r="F1" s="43" t="s">
        <v>22</v>
      </c>
      <c r="G1" s="109" t="s">
        <v>23</v>
      </c>
      <c r="H1" s="110"/>
      <c r="I1" s="107" t="s">
        <v>71</v>
      </c>
      <c r="J1" s="108"/>
      <c r="K1" s="44" t="s">
        <v>76</v>
      </c>
      <c r="L1" s="43" t="s">
        <v>77</v>
      </c>
      <c r="M1" s="44" t="s">
        <v>78</v>
      </c>
      <c r="N1" s="43" t="s">
        <v>79</v>
      </c>
      <c r="O1" s="44" t="s">
        <v>80</v>
      </c>
      <c r="P1" s="43" t="s">
        <v>24</v>
      </c>
      <c r="Q1" s="44" t="s">
        <v>81</v>
      </c>
      <c r="R1" s="43" t="s">
        <v>84</v>
      </c>
    </row>
    <row r="2" spans="1:18" ht="45" customHeight="1" x14ac:dyDescent="0.3">
      <c r="A2" s="24" t="s">
        <v>25</v>
      </c>
      <c r="B2" s="23"/>
      <c r="C2" s="23"/>
      <c r="D2" s="25"/>
      <c r="E2" s="25"/>
      <c r="F2" s="26"/>
      <c r="G2" s="45"/>
      <c r="H2" s="45"/>
      <c r="I2" s="26"/>
      <c r="J2" s="26"/>
      <c r="K2" s="25"/>
      <c r="L2" s="27"/>
      <c r="M2" s="25"/>
      <c r="N2" s="27"/>
      <c r="O2" s="25"/>
      <c r="P2" s="27"/>
      <c r="Q2" s="25"/>
      <c r="R2" s="27"/>
    </row>
    <row r="3" spans="1:18" ht="38.25" customHeight="1" x14ac:dyDescent="0.3">
      <c r="A3" s="28" t="s">
        <v>26</v>
      </c>
      <c r="B3" s="29" t="s">
        <v>30</v>
      </c>
      <c r="C3" s="29" t="s">
        <v>28</v>
      </c>
      <c r="D3" s="30" t="s">
        <v>30</v>
      </c>
      <c r="E3" s="30" t="s">
        <v>27</v>
      </c>
      <c r="F3" s="29" t="s">
        <v>27</v>
      </c>
      <c r="G3" s="31" t="s">
        <v>27</v>
      </c>
      <c r="H3" s="31" t="s">
        <v>28</v>
      </c>
      <c r="I3" s="29" t="s">
        <v>30</v>
      </c>
      <c r="J3" s="29" t="s">
        <v>29</v>
      </c>
      <c r="K3" s="30" t="s">
        <v>82</v>
      </c>
      <c r="L3" s="29" t="s">
        <v>82</v>
      </c>
      <c r="M3" s="30" t="s">
        <v>83</v>
      </c>
      <c r="N3" s="29" t="s">
        <v>83</v>
      </c>
      <c r="O3" s="30" t="s">
        <v>83</v>
      </c>
      <c r="P3" s="29" t="s">
        <v>83</v>
      </c>
      <c r="Q3" s="30" t="s">
        <v>83</v>
      </c>
      <c r="R3" s="29" t="s">
        <v>85</v>
      </c>
    </row>
    <row r="4" spans="1:18" ht="38.25" customHeight="1" x14ac:dyDescent="0.3">
      <c r="A4" s="32" t="s">
        <v>31</v>
      </c>
      <c r="B4" s="33">
        <f t="shared" ref="B4:R4" si="0">SUM(B5:B42)</f>
        <v>6</v>
      </c>
      <c r="C4" s="33">
        <f t="shared" si="0"/>
        <v>10</v>
      </c>
      <c r="D4" s="33">
        <f t="shared" si="0"/>
        <v>5</v>
      </c>
      <c r="E4" s="33">
        <f t="shared" si="0"/>
        <v>2</v>
      </c>
      <c r="F4" s="33">
        <f t="shared" si="0"/>
        <v>2</v>
      </c>
      <c r="G4" s="33">
        <f t="shared" si="0"/>
        <v>7</v>
      </c>
      <c r="H4" s="33">
        <f t="shared" si="0"/>
        <v>9</v>
      </c>
      <c r="I4" s="33">
        <f t="shared" si="0"/>
        <v>6</v>
      </c>
      <c r="J4" s="33">
        <f t="shared" si="0"/>
        <v>2</v>
      </c>
      <c r="K4" s="33">
        <f t="shared" si="0"/>
        <v>2</v>
      </c>
      <c r="L4" s="33">
        <f t="shared" si="0"/>
        <v>3</v>
      </c>
      <c r="M4" s="33">
        <f t="shared" si="0"/>
        <v>10</v>
      </c>
      <c r="N4" s="33">
        <f t="shared" si="0"/>
        <v>5</v>
      </c>
      <c r="O4" s="33">
        <f t="shared" si="0"/>
        <v>1</v>
      </c>
      <c r="P4" s="33">
        <f t="shared" si="0"/>
        <v>2</v>
      </c>
      <c r="Q4" s="33">
        <f t="shared" si="0"/>
        <v>3</v>
      </c>
      <c r="R4" s="33">
        <f t="shared" si="0"/>
        <v>3</v>
      </c>
    </row>
    <row r="5" spans="1:18" ht="27" customHeight="1" x14ac:dyDescent="0.5">
      <c r="A5" s="34" t="s">
        <v>38</v>
      </c>
      <c r="B5" s="35"/>
      <c r="C5" s="35"/>
      <c r="D5" s="36"/>
      <c r="E5" s="36">
        <v>1</v>
      </c>
      <c r="F5" s="37"/>
      <c r="G5" s="38"/>
      <c r="H5" s="38"/>
      <c r="I5" s="37"/>
      <c r="J5" s="37"/>
      <c r="K5" s="36"/>
      <c r="L5" s="35"/>
      <c r="M5" s="36"/>
      <c r="N5" s="35"/>
      <c r="O5" s="36"/>
      <c r="P5" s="35"/>
      <c r="Q5" s="36"/>
      <c r="R5" s="35"/>
    </row>
    <row r="6" spans="1:18" ht="27" customHeight="1" x14ac:dyDescent="0.5">
      <c r="A6" s="34" t="s">
        <v>39</v>
      </c>
      <c r="B6" s="35"/>
      <c r="C6" s="35"/>
      <c r="D6" s="36"/>
      <c r="E6" s="36">
        <v>1</v>
      </c>
      <c r="F6" s="37"/>
      <c r="G6" s="38"/>
      <c r="H6" s="38"/>
      <c r="I6" s="37"/>
      <c r="J6" s="37"/>
      <c r="K6" s="36"/>
      <c r="L6" s="35"/>
      <c r="M6" s="36"/>
      <c r="N6" s="35"/>
      <c r="O6" s="36"/>
      <c r="P6" s="35"/>
      <c r="Q6" s="36"/>
      <c r="R6" s="35"/>
    </row>
    <row r="7" spans="1:18" ht="27" customHeight="1" x14ac:dyDescent="0.5">
      <c r="A7" s="34" t="s">
        <v>40</v>
      </c>
      <c r="B7" s="35"/>
      <c r="C7" s="35">
        <v>1</v>
      </c>
      <c r="D7" s="36"/>
      <c r="E7" s="36"/>
      <c r="F7" s="37"/>
      <c r="G7" s="38"/>
      <c r="H7" s="38"/>
      <c r="I7" s="37"/>
      <c r="J7" s="37"/>
      <c r="K7" s="36"/>
      <c r="L7" s="35"/>
      <c r="M7" s="36"/>
      <c r="N7" s="35"/>
      <c r="O7" s="36"/>
      <c r="P7" s="35"/>
      <c r="Q7" s="36"/>
      <c r="R7" s="35"/>
    </row>
    <row r="8" spans="1:18" ht="27" customHeight="1" x14ac:dyDescent="0.5">
      <c r="A8" s="34" t="s">
        <v>41</v>
      </c>
      <c r="B8" s="35"/>
      <c r="C8" s="35">
        <v>1</v>
      </c>
      <c r="D8" s="36"/>
      <c r="E8" s="36"/>
      <c r="F8" s="37"/>
      <c r="G8" s="38"/>
      <c r="H8" s="38"/>
      <c r="I8" s="37"/>
      <c r="J8" s="37"/>
      <c r="K8" s="36"/>
      <c r="L8" s="35"/>
      <c r="M8" s="36"/>
      <c r="N8" s="35"/>
      <c r="O8" s="36"/>
      <c r="P8" s="35"/>
      <c r="Q8" s="36"/>
      <c r="R8" s="35"/>
    </row>
    <row r="9" spans="1:18" ht="27" customHeight="1" x14ac:dyDescent="0.5">
      <c r="A9" s="34" t="s">
        <v>42</v>
      </c>
      <c r="B9" s="35"/>
      <c r="C9" s="35">
        <v>1</v>
      </c>
      <c r="D9" s="36"/>
      <c r="E9" s="36"/>
      <c r="F9" s="37"/>
      <c r="G9" s="38"/>
      <c r="H9" s="38"/>
      <c r="I9" s="37"/>
      <c r="J9" s="37"/>
      <c r="K9" s="36"/>
      <c r="L9" s="35"/>
      <c r="M9" s="36"/>
      <c r="N9" s="35"/>
      <c r="O9" s="36"/>
      <c r="P9" s="35"/>
      <c r="Q9" s="36"/>
      <c r="R9" s="35"/>
    </row>
    <row r="10" spans="1:18" ht="27" customHeight="1" x14ac:dyDescent="0.5">
      <c r="A10" s="34" t="s">
        <v>43</v>
      </c>
      <c r="B10" s="35"/>
      <c r="C10" s="35">
        <v>2</v>
      </c>
      <c r="D10" s="36"/>
      <c r="E10" s="36"/>
      <c r="F10" s="37"/>
      <c r="G10" s="38"/>
      <c r="H10" s="38"/>
      <c r="I10" s="37"/>
      <c r="J10" s="37"/>
      <c r="K10" s="36"/>
      <c r="L10" s="35"/>
      <c r="M10" s="36"/>
      <c r="N10" s="35"/>
      <c r="O10" s="36"/>
      <c r="P10" s="35"/>
      <c r="Q10" s="36"/>
      <c r="R10" s="35"/>
    </row>
    <row r="11" spans="1:18" ht="27" customHeight="1" x14ac:dyDescent="0.5">
      <c r="A11" s="34" t="s">
        <v>44</v>
      </c>
      <c r="B11" s="35"/>
      <c r="C11" s="35">
        <v>2</v>
      </c>
      <c r="D11" s="36"/>
      <c r="E11" s="36"/>
      <c r="F11" s="37"/>
      <c r="G11" s="38"/>
      <c r="H11" s="38"/>
      <c r="I11" s="37"/>
      <c r="J11" s="37"/>
      <c r="K11" s="36"/>
      <c r="L11" s="35"/>
      <c r="M11" s="36"/>
      <c r="N11" s="35"/>
      <c r="O11" s="36"/>
      <c r="P11" s="35"/>
      <c r="Q11" s="36"/>
      <c r="R11" s="35"/>
    </row>
    <row r="12" spans="1:18" ht="27" customHeight="1" x14ac:dyDescent="0.5">
      <c r="A12" s="34" t="s">
        <v>45</v>
      </c>
      <c r="B12" s="35">
        <v>6</v>
      </c>
      <c r="C12" s="35"/>
      <c r="D12" s="36">
        <v>5</v>
      </c>
      <c r="E12" s="36"/>
      <c r="F12" s="37"/>
      <c r="G12" s="38"/>
      <c r="H12" s="38"/>
      <c r="I12" s="37"/>
      <c r="J12" s="37"/>
      <c r="K12" s="36"/>
      <c r="L12" s="35"/>
      <c r="M12" s="36"/>
      <c r="N12" s="35"/>
      <c r="O12" s="36"/>
      <c r="P12" s="35"/>
      <c r="Q12" s="36"/>
      <c r="R12" s="35"/>
    </row>
    <row r="13" spans="1:18" ht="27" customHeight="1" x14ac:dyDescent="0.5">
      <c r="A13" s="34" t="s">
        <v>46</v>
      </c>
      <c r="B13" s="35"/>
      <c r="C13" s="35"/>
      <c r="D13" s="36"/>
      <c r="E13" s="36"/>
      <c r="F13" s="37"/>
      <c r="G13" s="38"/>
      <c r="H13" s="38"/>
      <c r="I13" s="37"/>
      <c r="J13" s="37"/>
      <c r="K13" s="36"/>
      <c r="L13" s="35"/>
      <c r="M13" s="36">
        <v>5</v>
      </c>
      <c r="N13" s="35"/>
      <c r="O13" s="36"/>
      <c r="P13" s="35"/>
      <c r="Q13" s="36"/>
      <c r="R13" s="35"/>
    </row>
    <row r="14" spans="1:18" ht="27" customHeight="1" x14ac:dyDescent="0.5">
      <c r="A14" s="34" t="s">
        <v>47</v>
      </c>
      <c r="B14" s="35"/>
      <c r="C14" s="35"/>
      <c r="D14" s="36"/>
      <c r="E14" s="36"/>
      <c r="F14" s="37"/>
      <c r="G14" s="38"/>
      <c r="H14" s="38"/>
      <c r="I14" s="37"/>
      <c r="J14" s="37"/>
      <c r="K14" s="36"/>
      <c r="L14" s="35"/>
      <c r="M14" s="36">
        <v>1</v>
      </c>
      <c r="N14" s="35"/>
      <c r="O14" s="36"/>
      <c r="P14" s="35"/>
      <c r="Q14" s="36"/>
      <c r="R14" s="35"/>
    </row>
    <row r="15" spans="1:18" ht="27" customHeight="1" x14ac:dyDescent="0.5">
      <c r="A15" s="34" t="s">
        <v>48</v>
      </c>
      <c r="B15" s="35"/>
      <c r="C15" s="35">
        <v>1</v>
      </c>
      <c r="D15" s="36"/>
      <c r="E15" s="36"/>
      <c r="F15" s="37"/>
      <c r="G15" s="38"/>
      <c r="H15" s="38"/>
      <c r="I15" s="37"/>
      <c r="J15" s="37"/>
      <c r="K15" s="36"/>
      <c r="L15" s="35"/>
      <c r="M15" s="36"/>
      <c r="N15" s="35"/>
      <c r="O15" s="36"/>
      <c r="P15" s="35"/>
      <c r="Q15" s="36"/>
      <c r="R15" s="35"/>
    </row>
    <row r="16" spans="1:18" ht="27" customHeight="1" x14ac:dyDescent="0.5">
      <c r="A16" s="34" t="s">
        <v>49</v>
      </c>
      <c r="B16" s="35"/>
      <c r="C16" s="35">
        <v>1</v>
      </c>
      <c r="D16" s="36"/>
      <c r="E16" s="36"/>
      <c r="F16" s="37"/>
      <c r="G16" s="38"/>
      <c r="H16" s="38"/>
      <c r="I16" s="37"/>
      <c r="J16" s="37"/>
      <c r="K16" s="36"/>
      <c r="L16" s="35"/>
      <c r="M16" s="36"/>
      <c r="N16" s="35"/>
      <c r="O16" s="36"/>
      <c r="P16" s="35"/>
      <c r="Q16" s="36"/>
      <c r="R16" s="35"/>
    </row>
    <row r="17" spans="1:18" ht="27" customHeight="1" x14ac:dyDescent="0.5">
      <c r="A17" s="34" t="s">
        <v>50</v>
      </c>
      <c r="B17" s="35"/>
      <c r="C17" s="35"/>
      <c r="D17" s="36"/>
      <c r="E17" s="36"/>
      <c r="F17" s="37"/>
      <c r="G17" s="38"/>
      <c r="H17" s="38">
        <v>2</v>
      </c>
      <c r="I17" s="37"/>
      <c r="J17" s="37"/>
      <c r="K17" s="36"/>
      <c r="L17" s="35"/>
      <c r="M17" s="36"/>
      <c r="N17" s="35"/>
      <c r="O17" s="36"/>
      <c r="P17" s="35"/>
      <c r="Q17" s="36"/>
      <c r="R17" s="35"/>
    </row>
    <row r="18" spans="1:18" ht="27" customHeight="1" x14ac:dyDescent="0.5">
      <c r="A18" s="34" t="s">
        <v>51</v>
      </c>
      <c r="B18" s="35"/>
      <c r="C18" s="35"/>
      <c r="D18" s="36"/>
      <c r="E18" s="36"/>
      <c r="F18" s="37"/>
      <c r="G18" s="38"/>
      <c r="H18" s="38"/>
      <c r="I18" s="37"/>
      <c r="J18" s="37">
        <v>1</v>
      </c>
      <c r="K18" s="36"/>
      <c r="L18" s="35"/>
      <c r="M18" s="36"/>
      <c r="N18" s="35"/>
      <c r="O18" s="36"/>
      <c r="P18" s="35"/>
      <c r="Q18" s="36"/>
      <c r="R18" s="35"/>
    </row>
    <row r="19" spans="1:18" ht="27" customHeight="1" x14ac:dyDescent="0.5">
      <c r="A19" s="34" t="s">
        <v>52</v>
      </c>
      <c r="B19" s="35"/>
      <c r="C19" s="35"/>
      <c r="D19" s="36"/>
      <c r="E19" s="36"/>
      <c r="F19" s="37">
        <v>1</v>
      </c>
      <c r="G19" s="38">
        <v>1</v>
      </c>
      <c r="H19" s="38"/>
      <c r="I19" s="37"/>
      <c r="J19" s="37"/>
      <c r="K19" s="36"/>
      <c r="L19" s="35"/>
      <c r="M19" s="36"/>
      <c r="N19" s="35"/>
      <c r="O19" s="36"/>
      <c r="P19" s="35"/>
      <c r="Q19" s="36"/>
      <c r="R19" s="35"/>
    </row>
    <row r="20" spans="1:18" ht="27" customHeight="1" x14ac:dyDescent="0.5">
      <c r="A20" s="34" t="s">
        <v>53</v>
      </c>
      <c r="B20" s="35"/>
      <c r="C20" s="35"/>
      <c r="D20" s="36"/>
      <c r="E20" s="36"/>
      <c r="F20" s="37"/>
      <c r="G20" s="38"/>
      <c r="H20" s="38">
        <v>1</v>
      </c>
      <c r="I20" s="37"/>
      <c r="J20" s="37"/>
      <c r="K20" s="36"/>
      <c r="L20" s="35"/>
      <c r="M20" s="36"/>
      <c r="N20" s="35"/>
      <c r="O20" s="36"/>
      <c r="P20" s="35"/>
      <c r="Q20" s="36"/>
      <c r="R20" s="35"/>
    </row>
    <row r="21" spans="1:18" ht="27" customHeight="1" x14ac:dyDescent="0.5">
      <c r="A21" s="34" t="s">
        <v>54</v>
      </c>
      <c r="B21" s="35"/>
      <c r="C21" s="35"/>
      <c r="D21" s="36"/>
      <c r="E21" s="36"/>
      <c r="F21" s="37"/>
      <c r="G21" s="38"/>
      <c r="H21" s="38"/>
      <c r="I21" s="37">
        <v>3</v>
      </c>
      <c r="J21" s="37"/>
      <c r="K21" s="36"/>
      <c r="L21" s="35"/>
      <c r="M21" s="36"/>
      <c r="N21" s="35"/>
      <c r="O21" s="36"/>
      <c r="P21" s="35"/>
      <c r="Q21" s="36"/>
      <c r="R21" s="35"/>
    </row>
    <row r="22" spans="1:18" ht="27" customHeight="1" x14ac:dyDescent="0.5">
      <c r="A22" s="34" t="s">
        <v>55</v>
      </c>
      <c r="B22" s="35"/>
      <c r="C22" s="35"/>
      <c r="D22" s="36"/>
      <c r="E22" s="36"/>
      <c r="F22" s="37"/>
      <c r="G22" s="38">
        <v>1</v>
      </c>
      <c r="H22" s="38"/>
      <c r="I22" s="37"/>
      <c r="J22" s="37"/>
      <c r="K22" s="36"/>
      <c r="L22" s="35"/>
      <c r="M22" s="36"/>
      <c r="N22" s="35"/>
      <c r="O22" s="36"/>
      <c r="P22" s="35"/>
      <c r="Q22" s="36"/>
      <c r="R22" s="35"/>
    </row>
    <row r="23" spans="1:18" ht="27" customHeight="1" x14ac:dyDescent="0.5">
      <c r="A23" s="34" t="s">
        <v>56</v>
      </c>
      <c r="B23" s="35"/>
      <c r="C23" s="35"/>
      <c r="D23" s="36"/>
      <c r="E23" s="36"/>
      <c r="F23" s="37"/>
      <c r="G23" s="38"/>
      <c r="H23" s="38">
        <v>1</v>
      </c>
      <c r="I23" s="37"/>
      <c r="J23" s="37"/>
      <c r="K23" s="36"/>
      <c r="L23" s="35"/>
      <c r="M23" s="36"/>
      <c r="N23" s="35"/>
      <c r="O23" s="36"/>
      <c r="P23" s="35"/>
      <c r="Q23" s="36"/>
      <c r="R23" s="35"/>
    </row>
    <row r="24" spans="1:18" ht="27" customHeight="1" x14ac:dyDescent="0.5">
      <c r="A24" s="34" t="s">
        <v>51</v>
      </c>
      <c r="B24" s="35"/>
      <c r="C24" s="35"/>
      <c r="D24" s="36"/>
      <c r="E24" s="36"/>
      <c r="F24" s="37"/>
      <c r="G24" s="38"/>
      <c r="H24" s="38"/>
      <c r="I24" s="37"/>
      <c r="J24" s="37">
        <v>1</v>
      </c>
      <c r="K24" s="36"/>
      <c r="L24" s="35"/>
      <c r="M24" s="36"/>
      <c r="N24" s="35"/>
      <c r="O24" s="36"/>
      <c r="P24" s="35"/>
      <c r="Q24" s="36"/>
      <c r="R24" s="35"/>
    </row>
    <row r="25" spans="1:18" ht="27" customHeight="1" x14ac:dyDescent="0.5">
      <c r="A25" s="34" t="s">
        <v>57</v>
      </c>
      <c r="B25" s="35"/>
      <c r="C25" s="35"/>
      <c r="D25" s="36"/>
      <c r="E25" s="36"/>
      <c r="F25" s="37"/>
      <c r="G25" s="38"/>
      <c r="H25" s="38">
        <v>1</v>
      </c>
      <c r="I25" s="37"/>
      <c r="J25" s="37"/>
      <c r="K25" s="36"/>
      <c r="L25" s="35"/>
      <c r="M25" s="36"/>
      <c r="N25" s="35"/>
      <c r="O25" s="36"/>
      <c r="P25" s="35"/>
      <c r="Q25" s="36"/>
      <c r="R25" s="35"/>
    </row>
    <row r="26" spans="1:18" ht="27" customHeight="1" x14ac:dyDescent="0.5">
      <c r="A26" s="34" t="s">
        <v>58</v>
      </c>
      <c r="B26" s="35"/>
      <c r="C26" s="35"/>
      <c r="D26" s="36"/>
      <c r="E26" s="36"/>
      <c r="F26" s="37"/>
      <c r="G26" s="38">
        <v>1</v>
      </c>
      <c r="H26" s="38"/>
      <c r="I26" s="37"/>
      <c r="J26" s="37"/>
      <c r="K26" s="36">
        <v>1</v>
      </c>
      <c r="L26" s="35"/>
      <c r="M26" s="36"/>
      <c r="N26" s="35"/>
      <c r="O26" s="36"/>
      <c r="P26" s="35"/>
      <c r="Q26" s="36"/>
      <c r="R26" s="35"/>
    </row>
    <row r="27" spans="1:18" ht="27" customHeight="1" x14ac:dyDescent="0.5">
      <c r="A27" s="34" t="s">
        <v>59</v>
      </c>
      <c r="B27" s="35"/>
      <c r="C27" s="35"/>
      <c r="D27" s="36"/>
      <c r="E27" s="36"/>
      <c r="F27" s="37"/>
      <c r="G27" s="38"/>
      <c r="H27" s="38"/>
      <c r="I27" s="37"/>
      <c r="J27" s="37"/>
      <c r="K27" s="36"/>
      <c r="L27" s="35"/>
      <c r="M27" s="36"/>
      <c r="N27" s="35"/>
      <c r="O27" s="36"/>
      <c r="P27" s="35"/>
      <c r="Q27" s="36">
        <v>2</v>
      </c>
      <c r="R27" s="35"/>
    </row>
    <row r="28" spans="1:18" ht="27" customHeight="1" x14ac:dyDescent="0.5">
      <c r="A28" s="34" t="s">
        <v>60</v>
      </c>
      <c r="B28" s="35"/>
      <c r="C28" s="35">
        <v>1</v>
      </c>
      <c r="D28" s="36"/>
      <c r="E28" s="36"/>
      <c r="F28" s="37"/>
      <c r="G28" s="38"/>
      <c r="H28" s="38"/>
      <c r="I28" s="37"/>
      <c r="J28" s="37"/>
      <c r="K28" s="36"/>
      <c r="L28" s="35"/>
      <c r="M28" s="36"/>
      <c r="N28" s="35"/>
      <c r="O28" s="36"/>
      <c r="P28" s="35"/>
      <c r="Q28" s="36"/>
      <c r="R28" s="35"/>
    </row>
    <row r="29" spans="1:18" ht="27" customHeight="1" x14ac:dyDescent="0.5">
      <c r="A29" s="34" t="s">
        <v>61</v>
      </c>
      <c r="B29" s="35"/>
      <c r="C29" s="35"/>
      <c r="D29" s="36"/>
      <c r="E29" s="36"/>
      <c r="F29" s="37"/>
      <c r="G29" s="38"/>
      <c r="H29" s="38">
        <v>1</v>
      </c>
      <c r="I29" s="37"/>
      <c r="J29" s="37"/>
      <c r="K29" s="36"/>
      <c r="L29" s="35"/>
      <c r="M29" s="36"/>
      <c r="N29" s="35"/>
      <c r="O29" s="36"/>
      <c r="P29" s="35"/>
      <c r="Q29" s="36"/>
      <c r="R29" s="35"/>
    </row>
    <row r="30" spans="1:18" ht="27" customHeight="1" x14ac:dyDescent="0.5">
      <c r="A30" s="34" t="s">
        <v>62</v>
      </c>
      <c r="B30" s="35"/>
      <c r="C30" s="35"/>
      <c r="D30" s="36"/>
      <c r="E30" s="36"/>
      <c r="F30" s="37"/>
      <c r="G30" s="38"/>
      <c r="H30" s="38">
        <v>1</v>
      </c>
      <c r="I30" s="37"/>
      <c r="J30" s="37"/>
      <c r="K30" s="36"/>
      <c r="L30" s="35"/>
      <c r="M30" s="36"/>
      <c r="N30" s="35"/>
      <c r="O30" s="36"/>
      <c r="P30" s="35"/>
      <c r="Q30" s="36"/>
      <c r="R30" s="35"/>
    </row>
    <row r="31" spans="1:18" ht="27" customHeight="1" x14ac:dyDescent="0.5">
      <c r="A31" s="34" t="s">
        <v>63</v>
      </c>
      <c r="B31" s="35"/>
      <c r="C31" s="35"/>
      <c r="D31" s="36"/>
      <c r="E31" s="36"/>
      <c r="F31" s="37"/>
      <c r="G31" s="38"/>
      <c r="H31" s="38"/>
      <c r="I31" s="37"/>
      <c r="J31" s="37"/>
      <c r="K31" s="36"/>
      <c r="L31" s="35"/>
      <c r="M31" s="36">
        <v>4</v>
      </c>
      <c r="N31" s="35"/>
      <c r="O31" s="36"/>
      <c r="P31" s="35"/>
      <c r="Q31" s="36"/>
      <c r="R31" s="35"/>
    </row>
    <row r="32" spans="1:18" ht="27" customHeight="1" x14ac:dyDescent="0.5">
      <c r="A32" s="34" t="s">
        <v>64</v>
      </c>
      <c r="B32" s="35"/>
      <c r="C32" s="35"/>
      <c r="D32" s="36"/>
      <c r="E32" s="36"/>
      <c r="F32" s="37"/>
      <c r="G32" s="38">
        <v>1</v>
      </c>
      <c r="H32" s="38"/>
      <c r="I32" s="37"/>
      <c r="J32" s="37"/>
      <c r="K32" s="36"/>
      <c r="L32" s="35"/>
      <c r="M32" s="36"/>
      <c r="N32" s="35"/>
      <c r="O32" s="36">
        <v>1</v>
      </c>
      <c r="P32" s="35"/>
      <c r="Q32" s="36">
        <v>1</v>
      </c>
      <c r="R32" s="35">
        <v>2</v>
      </c>
    </row>
    <row r="33" spans="1:18" ht="27" customHeight="1" x14ac:dyDescent="0.5">
      <c r="A33" s="34" t="s">
        <v>65</v>
      </c>
      <c r="B33" s="35"/>
      <c r="C33" s="35"/>
      <c r="D33" s="36"/>
      <c r="E33" s="36"/>
      <c r="F33" s="37"/>
      <c r="G33" s="38">
        <v>1</v>
      </c>
      <c r="H33" s="38"/>
      <c r="I33" s="37"/>
      <c r="J33" s="37"/>
      <c r="K33" s="36">
        <v>1</v>
      </c>
      <c r="L33" s="35"/>
      <c r="M33" s="36"/>
      <c r="N33" s="35"/>
      <c r="O33" s="36"/>
      <c r="P33" s="35"/>
      <c r="Q33" s="36"/>
      <c r="R33" s="35"/>
    </row>
    <row r="34" spans="1:18" ht="27" customHeight="1" x14ac:dyDescent="0.5">
      <c r="A34" s="34" t="s">
        <v>66</v>
      </c>
      <c r="B34" s="35"/>
      <c r="C34" s="35"/>
      <c r="D34" s="36"/>
      <c r="E34" s="36"/>
      <c r="F34" s="37"/>
      <c r="G34" s="38"/>
      <c r="H34" s="38"/>
      <c r="I34" s="37"/>
      <c r="J34" s="37"/>
      <c r="K34" s="36"/>
      <c r="L34" s="35"/>
      <c r="M34" s="36"/>
      <c r="N34" s="35">
        <v>5</v>
      </c>
      <c r="O34" s="36"/>
      <c r="P34" s="35"/>
      <c r="Q34" s="36"/>
      <c r="R34" s="35"/>
    </row>
    <row r="35" spans="1:18" ht="27" customHeight="1" x14ac:dyDescent="0.5">
      <c r="A35" s="34" t="s">
        <v>67</v>
      </c>
      <c r="B35" s="35"/>
      <c r="C35" s="35"/>
      <c r="D35" s="36"/>
      <c r="E35" s="36"/>
      <c r="F35" s="37"/>
      <c r="G35" s="38"/>
      <c r="H35" s="38"/>
      <c r="I35" s="37"/>
      <c r="J35" s="37"/>
      <c r="K35" s="36"/>
      <c r="L35" s="35">
        <v>1</v>
      </c>
      <c r="M35" s="36"/>
      <c r="N35" s="35"/>
      <c r="O35" s="36"/>
      <c r="P35" s="35">
        <v>1</v>
      </c>
      <c r="Q35" s="36"/>
      <c r="R35" s="35"/>
    </row>
    <row r="36" spans="1:18" ht="27" customHeight="1" x14ac:dyDescent="0.5">
      <c r="A36" s="34" t="s">
        <v>68</v>
      </c>
      <c r="B36" s="35"/>
      <c r="C36" s="35"/>
      <c r="D36" s="36"/>
      <c r="E36" s="36"/>
      <c r="F36" s="37"/>
      <c r="G36" s="38"/>
      <c r="H36" s="38">
        <v>1</v>
      </c>
      <c r="I36" s="37"/>
      <c r="J36" s="37"/>
      <c r="K36" s="36"/>
      <c r="L36" s="35">
        <v>1</v>
      </c>
      <c r="M36" s="36"/>
      <c r="N36" s="35"/>
      <c r="O36" s="36"/>
      <c r="P36" s="35">
        <v>1</v>
      </c>
      <c r="Q36" s="36"/>
      <c r="R36" s="35"/>
    </row>
    <row r="37" spans="1:18" ht="27" customHeight="1" x14ac:dyDescent="0.5">
      <c r="A37" s="34" t="s">
        <v>69</v>
      </c>
      <c r="B37" s="35"/>
      <c r="C37" s="35"/>
      <c r="D37" s="36"/>
      <c r="E37" s="36"/>
      <c r="F37" s="37"/>
      <c r="G37" s="38"/>
      <c r="H37" s="38">
        <v>1</v>
      </c>
      <c r="I37" s="37"/>
      <c r="J37" s="37"/>
      <c r="K37" s="36"/>
      <c r="L37" s="35"/>
      <c r="M37" s="36"/>
      <c r="N37" s="35"/>
      <c r="O37" s="36"/>
      <c r="P37" s="35"/>
      <c r="Q37" s="36"/>
      <c r="R37" s="35"/>
    </row>
    <row r="38" spans="1:18" ht="27" customHeight="1" x14ac:dyDescent="0.5">
      <c r="A38" s="34" t="s">
        <v>70</v>
      </c>
      <c r="B38" s="35"/>
      <c r="C38" s="35"/>
      <c r="D38" s="36"/>
      <c r="E38" s="36"/>
      <c r="F38" s="37">
        <v>1</v>
      </c>
      <c r="G38" s="38">
        <v>1</v>
      </c>
      <c r="H38" s="38"/>
      <c r="I38" s="37"/>
      <c r="J38" s="37"/>
      <c r="K38" s="36"/>
      <c r="L38" s="35"/>
      <c r="M38" s="36"/>
      <c r="N38" s="35"/>
      <c r="O38" s="36"/>
      <c r="P38" s="35"/>
      <c r="Q38" s="36"/>
      <c r="R38" s="35"/>
    </row>
    <row r="39" spans="1:18" ht="27" customHeight="1" x14ac:dyDescent="0.5">
      <c r="A39" s="34" t="s">
        <v>72</v>
      </c>
      <c r="B39" s="35"/>
      <c r="C39" s="35"/>
      <c r="D39" s="36"/>
      <c r="E39" s="36"/>
      <c r="F39" s="37"/>
      <c r="G39" s="38"/>
      <c r="H39" s="38"/>
      <c r="I39" s="37">
        <v>3</v>
      </c>
      <c r="J39" s="37"/>
      <c r="K39" s="36"/>
      <c r="L39" s="35"/>
      <c r="M39" s="36"/>
      <c r="N39" s="35"/>
      <c r="O39" s="36"/>
      <c r="P39" s="35"/>
      <c r="Q39" s="36"/>
      <c r="R39" s="35"/>
    </row>
    <row r="40" spans="1:18" ht="27" customHeight="1" x14ac:dyDescent="0.5">
      <c r="A40" s="34" t="s">
        <v>73</v>
      </c>
      <c r="B40" s="35"/>
      <c r="C40" s="35"/>
      <c r="D40" s="36"/>
      <c r="E40" s="36"/>
      <c r="F40" s="37"/>
      <c r="G40" s="38">
        <v>1</v>
      </c>
      <c r="H40" s="38"/>
      <c r="I40" s="37"/>
      <c r="J40" s="37"/>
      <c r="K40" s="36"/>
      <c r="L40" s="35"/>
      <c r="M40" s="36"/>
      <c r="N40" s="35"/>
      <c r="O40" s="36"/>
      <c r="P40" s="35"/>
      <c r="Q40" s="36"/>
      <c r="R40" s="35"/>
    </row>
    <row r="41" spans="1:18" ht="27" customHeight="1" x14ac:dyDescent="0.5">
      <c r="A41" s="34" t="s">
        <v>74</v>
      </c>
      <c r="B41" s="35"/>
      <c r="C41" s="35"/>
      <c r="D41" s="36"/>
      <c r="E41" s="36"/>
      <c r="F41" s="37"/>
      <c r="G41" s="38"/>
      <c r="H41" s="38"/>
      <c r="I41" s="37"/>
      <c r="J41" s="37"/>
      <c r="K41" s="36"/>
      <c r="L41" s="35"/>
      <c r="M41" s="36"/>
      <c r="N41" s="35"/>
      <c r="O41" s="36"/>
      <c r="P41" s="35"/>
      <c r="Q41" s="36"/>
      <c r="R41" s="35">
        <v>1</v>
      </c>
    </row>
    <row r="42" spans="1:18" ht="27" customHeight="1" x14ac:dyDescent="0.5">
      <c r="A42" s="34" t="s">
        <v>75</v>
      </c>
      <c r="B42" s="35"/>
      <c r="C42" s="35"/>
      <c r="D42" s="36"/>
      <c r="E42" s="36"/>
      <c r="F42" s="37"/>
      <c r="G42" s="38"/>
      <c r="H42" s="38"/>
      <c r="I42" s="37"/>
      <c r="J42" s="37"/>
      <c r="K42" s="36"/>
      <c r="L42" s="35">
        <v>1</v>
      </c>
      <c r="M42" s="36"/>
      <c r="N42" s="35"/>
      <c r="O42" s="36"/>
      <c r="P42" s="35"/>
      <c r="Q42" s="36"/>
      <c r="R42" s="35"/>
    </row>
  </sheetData>
  <mergeCells count="4">
    <mergeCell ref="B1:C1"/>
    <mergeCell ref="G1:H1"/>
    <mergeCell ref="D1:E1"/>
    <mergeCell ref="I1:J1"/>
  </mergeCells>
  <phoneticPr fontId="3" type="noConversion"/>
  <pageMargins left="1" right="1" top="1" bottom="1" header="0.5" footer="0.5"/>
  <pageSetup paperSize="9"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E11" sqref="E11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86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0</v>
      </c>
      <c r="C4" s="8">
        <f t="shared" si="0"/>
        <v>108</v>
      </c>
      <c r="D4" s="8">
        <f t="shared" si="0"/>
        <v>112</v>
      </c>
      <c r="E4" s="8">
        <f t="shared" si="0"/>
        <v>0</v>
      </c>
      <c r="F4" s="8">
        <f>SUM(F5:F7)</f>
        <v>0</v>
      </c>
      <c r="G4" s="8">
        <f t="shared" si="0"/>
        <v>0</v>
      </c>
      <c r="H4" s="9"/>
    </row>
    <row r="5" spans="1:8" ht="92.25" customHeight="1" x14ac:dyDescent="0.3">
      <c r="A5" s="10" t="s">
        <v>10</v>
      </c>
      <c r="B5" s="11"/>
      <c r="C5" s="12">
        <v>60</v>
      </c>
      <c r="D5" s="12">
        <v>64</v>
      </c>
      <c r="E5" s="12"/>
      <c r="F5" s="12"/>
      <c r="G5" s="12"/>
      <c r="H5" s="9"/>
    </row>
    <row r="6" spans="1:8" ht="92.25" customHeight="1" x14ac:dyDescent="0.3">
      <c r="A6" s="10" t="s">
        <v>11</v>
      </c>
      <c r="B6" s="11"/>
      <c r="C6" s="12">
        <v>24</v>
      </c>
      <c r="D6" s="12">
        <v>32</v>
      </c>
      <c r="E6" s="12"/>
      <c r="F6" s="12"/>
      <c r="G6" s="12"/>
      <c r="H6" s="9"/>
    </row>
    <row r="7" spans="1:8" ht="92.25" customHeight="1" x14ac:dyDescent="0.3">
      <c r="A7" s="10" t="s">
        <v>12</v>
      </c>
      <c r="B7" s="11"/>
      <c r="C7" s="12">
        <f>12+12</f>
        <v>24</v>
      </c>
      <c r="D7" s="12">
        <v>16</v>
      </c>
      <c r="E7" s="12"/>
      <c r="F7" s="12"/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/>
      <c r="C11" s="20">
        <f>C5/4</f>
        <v>15</v>
      </c>
      <c r="D11" s="20">
        <f>D5/16</f>
        <v>4</v>
      </c>
      <c r="E11" s="20"/>
      <c r="F11" s="20"/>
      <c r="G11" s="20"/>
      <c r="H11" s="21">
        <f>SUM(B11:G11)</f>
        <v>19</v>
      </c>
    </row>
    <row r="12" spans="1:8" ht="84" customHeight="1" x14ac:dyDescent="0.3">
      <c r="A12" s="10" t="s">
        <v>11</v>
      </c>
      <c r="B12" s="20"/>
      <c r="C12" s="20">
        <f>C6/4</f>
        <v>6</v>
      </c>
      <c r="D12" s="20">
        <f>D6/16</f>
        <v>2</v>
      </c>
      <c r="E12" s="20"/>
      <c r="F12" s="20"/>
      <c r="G12" s="20"/>
      <c r="H12" s="21">
        <f>SUM(B12:G12)</f>
        <v>8</v>
      </c>
    </row>
    <row r="13" spans="1:8" ht="84" customHeight="1" x14ac:dyDescent="0.3">
      <c r="A13" s="10" t="s">
        <v>12</v>
      </c>
      <c r="B13" s="20"/>
      <c r="C13" s="20">
        <f>C7/4</f>
        <v>6</v>
      </c>
      <c r="D13" s="20">
        <f>D7/16</f>
        <v>1</v>
      </c>
      <c r="E13" s="20"/>
      <c r="F13" s="20"/>
      <c r="G13" s="20"/>
      <c r="H13" s="21">
        <f>SUM(B13:G13)</f>
        <v>7</v>
      </c>
    </row>
  </sheetData>
  <mergeCells count="1">
    <mergeCell ref="A1:A3"/>
  </mergeCells>
  <phoneticPr fontId="3" type="noConversion"/>
  <conditionalFormatting sqref="A5">
    <cfRule type="duplicateValues" dxfId="49" priority="4"/>
  </conditionalFormatting>
  <conditionalFormatting sqref="A6">
    <cfRule type="duplicateValues" dxfId="48" priority="5"/>
  </conditionalFormatting>
  <conditionalFormatting sqref="A7">
    <cfRule type="duplicateValues" dxfId="47" priority="2"/>
  </conditionalFormatting>
  <conditionalFormatting sqref="A11">
    <cfRule type="duplicateValues" dxfId="46" priority="3"/>
  </conditionalFormatting>
  <conditionalFormatting sqref="A12">
    <cfRule type="duplicateValues" dxfId="45" priority="6"/>
  </conditionalFormatting>
  <conditionalFormatting sqref="A13">
    <cfRule type="duplicateValues" dxfId="44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view="pageBreakPreview" zoomScale="55" zoomScaleNormal="55" zoomScaleSheetLayoutView="55" workbookViewId="0">
      <pane xSplit="1" ySplit="4" topLeftCell="B45" activePane="bottomRight" state="frozen"/>
      <selection pane="topRight"/>
      <selection pane="bottomLeft"/>
      <selection pane="bottomRight" activeCell="M9" sqref="M9"/>
    </sheetView>
  </sheetViews>
  <sheetFormatPr defaultColWidth="9" defaultRowHeight="16.5" x14ac:dyDescent="0.3"/>
  <cols>
    <col min="1" max="1" width="32.625" style="4" customWidth="1"/>
    <col min="2" max="6" width="9.125" style="4" customWidth="1"/>
    <col min="7" max="7" width="17.75" style="4" customWidth="1"/>
    <col min="8" max="14" width="9.125" style="4" customWidth="1"/>
    <col min="15" max="15" width="17.75" style="4" customWidth="1"/>
    <col min="16" max="16" width="17.75" style="39" customWidth="1"/>
    <col min="17" max="17" width="17.75" style="4" customWidth="1"/>
    <col min="18" max="18" width="17.75" style="39" customWidth="1"/>
    <col min="19" max="19" width="17.75" style="4" customWidth="1"/>
    <col min="20" max="20" width="17.75" style="39" customWidth="1"/>
    <col min="21" max="21" width="17.75" style="4" customWidth="1"/>
    <col min="22" max="22" width="17.75" style="39" customWidth="1"/>
    <col min="23" max="23" width="17.75" style="4" customWidth="1"/>
    <col min="24" max="24" width="17.75" style="39" customWidth="1"/>
    <col min="25" max="25" width="17.75" style="4" customWidth="1"/>
    <col min="26" max="16384" width="9" style="4"/>
  </cols>
  <sheetData>
    <row r="1" spans="1:25" ht="144" customHeight="1" x14ac:dyDescent="0.3">
      <c r="A1" s="22" t="s">
        <v>87</v>
      </c>
      <c r="B1" s="107" t="s">
        <v>20</v>
      </c>
      <c r="C1" s="113"/>
      <c r="D1" s="108"/>
      <c r="E1" s="111" t="s">
        <v>21</v>
      </c>
      <c r="F1" s="112"/>
      <c r="G1" s="46" t="s">
        <v>22</v>
      </c>
      <c r="H1" s="109" t="s">
        <v>23</v>
      </c>
      <c r="I1" s="110"/>
      <c r="J1" s="110"/>
      <c r="K1" s="110"/>
      <c r="L1" s="107" t="s">
        <v>71</v>
      </c>
      <c r="M1" s="113"/>
      <c r="N1" s="108"/>
      <c r="O1" s="47" t="s">
        <v>76</v>
      </c>
      <c r="P1" s="49" t="s">
        <v>135</v>
      </c>
      <c r="Q1" s="50" t="s">
        <v>136</v>
      </c>
      <c r="R1" s="49" t="s">
        <v>137</v>
      </c>
      <c r="S1" s="50" t="s">
        <v>138</v>
      </c>
      <c r="T1" s="49" t="s">
        <v>141</v>
      </c>
      <c r="U1" s="50" t="s">
        <v>142</v>
      </c>
      <c r="V1" s="49" t="s">
        <v>143</v>
      </c>
      <c r="W1" s="50" t="s">
        <v>144</v>
      </c>
      <c r="X1" s="46" t="s">
        <v>94</v>
      </c>
      <c r="Y1" s="50" t="s">
        <v>147</v>
      </c>
    </row>
    <row r="2" spans="1:25" ht="45" customHeight="1" x14ac:dyDescent="0.3">
      <c r="A2" s="24" t="s">
        <v>25</v>
      </c>
      <c r="B2" s="46"/>
      <c r="C2" s="48"/>
      <c r="D2" s="46"/>
      <c r="E2" s="25"/>
      <c r="F2" s="25"/>
      <c r="G2" s="26"/>
      <c r="H2" s="45"/>
      <c r="I2" s="45"/>
      <c r="J2" s="45"/>
      <c r="K2" s="45"/>
      <c r="L2" s="26"/>
      <c r="M2" s="26"/>
      <c r="N2" s="26"/>
      <c r="O2" s="25"/>
      <c r="P2" s="27"/>
      <c r="Q2" s="25"/>
      <c r="R2" s="27"/>
      <c r="S2" s="25"/>
      <c r="T2" s="27"/>
      <c r="U2" s="25"/>
      <c r="V2" s="27"/>
      <c r="W2" s="25"/>
      <c r="X2" s="27"/>
      <c r="Y2" s="25"/>
    </row>
    <row r="3" spans="1:25" ht="38.25" customHeight="1" x14ac:dyDescent="0.3">
      <c r="A3" s="28" t="s">
        <v>92</v>
      </c>
      <c r="B3" s="29" t="s">
        <v>30</v>
      </c>
      <c r="C3" s="29" t="s">
        <v>27</v>
      </c>
      <c r="D3" s="29" t="s">
        <v>28</v>
      </c>
      <c r="E3" s="30" t="s">
        <v>30</v>
      </c>
      <c r="F3" s="30" t="s">
        <v>28</v>
      </c>
      <c r="G3" s="29" t="s">
        <v>28</v>
      </c>
      <c r="H3" s="31" t="s">
        <v>29</v>
      </c>
      <c r="I3" s="31" t="s">
        <v>27</v>
      </c>
      <c r="J3" s="31" t="s">
        <v>27</v>
      </c>
      <c r="K3" s="31" t="s">
        <v>28</v>
      </c>
      <c r="L3" s="29" t="s">
        <v>30</v>
      </c>
      <c r="M3" s="29" t="s">
        <v>29</v>
      </c>
      <c r="N3" s="29" t="s">
        <v>28</v>
      </c>
      <c r="O3" s="30" t="s">
        <v>82</v>
      </c>
      <c r="P3" s="29" t="s">
        <v>139</v>
      </c>
      <c r="Q3" s="30" t="s">
        <v>139</v>
      </c>
      <c r="R3" s="29" t="s">
        <v>140</v>
      </c>
      <c r="S3" s="30" t="s">
        <v>140</v>
      </c>
      <c r="T3" s="29" t="s">
        <v>145</v>
      </c>
      <c r="U3" s="30" t="s">
        <v>145</v>
      </c>
      <c r="V3" s="29" t="s">
        <v>146</v>
      </c>
      <c r="W3" s="30" t="s">
        <v>30</v>
      </c>
      <c r="X3" s="29" t="s">
        <v>30</v>
      </c>
      <c r="Y3" s="30" t="s">
        <v>148</v>
      </c>
    </row>
    <row r="4" spans="1:25" ht="38.25" customHeight="1" x14ac:dyDescent="0.3">
      <c r="A4" s="32" t="s">
        <v>31</v>
      </c>
      <c r="B4" s="33">
        <f t="shared" ref="B4:Y4" si="0">SUM(B5:B52)</f>
        <v>30</v>
      </c>
      <c r="C4" s="33">
        <f t="shared" si="0"/>
        <v>1</v>
      </c>
      <c r="D4" s="33">
        <f t="shared" si="0"/>
        <v>12</v>
      </c>
      <c r="E4" s="33">
        <f t="shared" si="0"/>
        <v>4</v>
      </c>
      <c r="F4" s="33">
        <f t="shared" si="0"/>
        <v>1</v>
      </c>
      <c r="G4" s="33">
        <f t="shared" si="0"/>
        <v>1</v>
      </c>
      <c r="H4" s="33">
        <f t="shared" si="0"/>
        <v>12</v>
      </c>
      <c r="I4" s="33">
        <f t="shared" si="0"/>
        <v>16</v>
      </c>
      <c r="J4" s="33">
        <f t="shared" si="0"/>
        <v>5</v>
      </c>
      <c r="K4" s="33">
        <f t="shared" si="0"/>
        <v>18</v>
      </c>
      <c r="L4" s="33">
        <f t="shared" si="0"/>
        <v>2</v>
      </c>
      <c r="M4" s="33">
        <f t="shared" si="0"/>
        <v>2</v>
      </c>
      <c r="N4" s="33">
        <f t="shared" si="0"/>
        <v>2</v>
      </c>
      <c r="O4" s="33">
        <f t="shared" si="0"/>
        <v>5</v>
      </c>
      <c r="P4" s="33">
        <f t="shared" si="0"/>
        <v>2</v>
      </c>
      <c r="Q4" s="33">
        <f t="shared" si="0"/>
        <v>3</v>
      </c>
      <c r="R4" s="33">
        <f t="shared" si="0"/>
        <v>5</v>
      </c>
      <c r="S4" s="33">
        <f t="shared" si="0"/>
        <v>5</v>
      </c>
      <c r="T4" s="33">
        <f t="shared" si="0"/>
        <v>2</v>
      </c>
      <c r="U4" s="33">
        <f t="shared" si="0"/>
        <v>6</v>
      </c>
      <c r="V4" s="33">
        <f t="shared" si="0"/>
        <v>2</v>
      </c>
      <c r="W4" s="33">
        <f t="shared" si="0"/>
        <v>2</v>
      </c>
      <c r="X4" s="33">
        <f t="shared" si="0"/>
        <v>60</v>
      </c>
      <c r="Y4" s="33">
        <f t="shared" si="0"/>
        <v>22</v>
      </c>
    </row>
    <row r="5" spans="1:25" ht="27" customHeight="1" x14ac:dyDescent="0.5">
      <c r="A5" s="34" t="s">
        <v>88</v>
      </c>
      <c r="B5" s="35"/>
      <c r="C5" s="35"/>
      <c r="D5" s="35"/>
      <c r="E5" s="36"/>
      <c r="F5" s="36"/>
      <c r="G5" s="37"/>
      <c r="H5" s="38"/>
      <c r="I5" s="38"/>
      <c r="J5" s="38"/>
      <c r="K5" s="38"/>
      <c r="L5" s="37"/>
      <c r="M5" s="37"/>
      <c r="N5" s="37">
        <v>2</v>
      </c>
      <c r="O5" s="36"/>
      <c r="P5" s="35"/>
      <c r="Q5" s="36"/>
      <c r="R5" s="35"/>
      <c r="S5" s="36"/>
      <c r="T5" s="35"/>
      <c r="U5" s="36"/>
      <c r="V5" s="35"/>
      <c r="W5" s="36"/>
      <c r="X5" s="35"/>
      <c r="Y5" s="36"/>
    </row>
    <row r="6" spans="1:25" ht="27" customHeight="1" x14ac:dyDescent="0.5">
      <c r="A6" s="34" t="s">
        <v>89</v>
      </c>
      <c r="B6" s="35"/>
      <c r="C6" s="35"/>
      <c r="D6" s="35">
        <v>2</v>
      </c>
      <c r="E6" s="36"/>
      <c r="F6" s="36"/>
      <c r="G6" s="37"/>
      <c r="H6" s="38"/>
      <c r="I6" s="38"/>
      <c r="J6" s="38"/>
      <c r="K6" s="38"/>
      <c r="L6" s="37"/>
      <c r="M6" s="37"/>
      <c r="N6" s="37"/>
      <c r="O6" s="36"/>
      <c r="P6" s="35"/>
      <c r="Q6" s="36"/>
      <c r="R6" s="35"/>
      <c r="S6" s="36"/>
      <c r="T6" s="35"/>
      <c r="U6" s="36"/>
      <c r="V6" s="35"/>
      <c r="W6" s="36"/>
      <c r="X6" s="35"/>
      <c r="Y6" s="36"/>
    </row>
    <row r="7" spans="1:25" ht="27" customHeight="1" x14ac:dyDescent="0.5">
      <c r="A7" s="34" t="s">
        <v>90</v>
      </c>
      <c r="B7" s="35"/>
      <c r="C7" s="35">
        <v>1</v>
      </c>
      <c r="D7" s="35"/>
      <c r="E7" s="36"/>
      <c r="F7" s="36"/>
      <c r="G7" s="37"/>
      <c r="H7" s="38"/>
      <c r="I7" s="38"/>
      <c r="J7" s="38"/>
      <c r="K7" s="38"/>
      <c r="L7" s="37"/>
      <c r="M7" s="37"/>
      <c r="N7" s="37"/>
      <c r="O7" s="36"/>
      <c r="P7" s="35"/>
      <c r="Q7" s="36"/>
      <c r="R7" s="35"/>
      <c r="S7" s="36"/>
      <c r="T7" s="35"/>
      <c r="U7" s="36"/>
      <c r="V7" s="35"/>
      <c r="W7" s="36"/>
      <c r="X7" s="35"/>
      <c r="Y7" s="36"/>
    </row>
    <row r="8" spans="1:25" ht="27" customHeight="1" x14ac:dyDescent="0.5">
      <c r="A8" s="34" t="s">
        <v>91</v>
      </c>
      <c r="B8" s="35"/>
      <c r="C8" s="35"/>
      <c r="D8" s="35">
        <v>1</v>
      </c>
      <c r="E8" s="36"/>
      <c r="F8" s="36"/>
      <c r="G8" s="37"/>
      <c r="H8" s="38"/>
      <c r="I8" s="38"/>
      <c r="J8" s="38"/>
      <c r="K8" s="38"/>
      <c r="L8" s="37"/>
      <c r="M8" s="37"/>
      <c r="N8" s="37"/>
      <c r="O8" s="36"/>
      <c r="P8" s="35"/>
      <c r="Q8" s="36"/>
      <c r="R8" s="35"/>
      <c r="S8" s="36"/>
      <c r="T8" s="35"/>
      <c r="U8" s="36"/>
      <c r="V8" s="35"/>
      <c r="W8" s="36"/>
      <c r="X8" s="35"/>
      <c r="Y8" s="36"/>
    </row>
    <row r="9" spans="1:25" ht="27" customHeight="1" x14ac:dyDescent="0.5">
      <c r="A9" s="34" t="s">
        <v>45</v>
      </c>
      <c r="B9" s="35"/>
      <c r="C9" s="35"/>
      <c r="D9" s="35">
        <v>4</v>
      </c>
      <c r="E9" s="36"/>
      <c r="F9" s="36"/>
      <c r="G9" s="37"/>
      <c r="H9" s="38"/>
      <c r="I9" s="38"/>
      <c r="J9" s="38"/>
      <c r="K9" s="38"/>
      <c r="L9" s="37"/>
      <c r="M9" s="37"/>
      <c r="N9" s="37"/>
      <c r="O9" s="36"/>
      <c r="P9" s="35"/>
      <c r="Q9" s="36"/>
      <c r="R9" s="35"/>
      <c r="S9" s="36"/>
      <c r="T9" s="35"/>
      <c r="U9" s="36"/>
      <c r="V9" s="35"/>
      <c r="W9" s="36"/>
      <c r="X9" s="35"/>
      <c r="Y9" s="36"/>
    </row>
    <row r="10" spans="1:25" ht="27" customHeight="1" x14ac:dyDescent="0.5">
      <c r="A10" s="34" t="s">
        <v>93</v>
      </c>
      <c r="B10" s="35"/>
      <c r="C10" s="35"/>
      <c r="D10" s="35"/>
      <c r="E10" s="36"/>
      <c r="F10" s="36"/>
      <c r="G10" s="37"/>
      <c r="H10" s="38"/>
      <c r="I10" s="38"/>
      <c r="J10" s="38"/>
      <c r="K10" s="38"/>
      <c r="L10" s="37"/>
      <c r="M10" s="37"/>
      <c r="N10" s="37"/>
      <c r="O10" s="36"/>
      <c r="P10" s="35"/>
      <c r="Q10" s="36"/>
      <c r="R10" s="35"/>
      <c r="S10" s="36"/>
      <c r="T10" s="35"/>
      <c r="U10" s="36"/>
      <c r="V10" s="35"/>
      <c r="W10" s="36"/>
      <c r="X10" s="35">
        <v>60</v>
      </c>
      <c r="Y10" s="36"/>
    </row>
    <row r="11" spans="1:25" ht="27" customHeight="1" x14ac:dyDescent="0.5">
      <c r="A11" s="34" t="s">
        <v>95</v>
      </c>
      <c r="B11" s="35"/>
      <c r="C11" s="35"/>
      <c r="D11" s="35">
        <v>1</v>
      </c>
      <c r="E11" s="36"/>
      <c r="F11" s="36"/>
      <c r="G11" s="37"/>
      <c r="H11" s="38"/>
      <c r="I11" s="38"/>
      <c r="J11" s="38"/>
      <c r="K11" s="38"/>
      <c r="L11" s="37"/>
      <c r="M11" s="37"/>
      <c r="N11" s="37"/>
      <c r="O11" s="36"/>
      <c r="P11" s="35"/>
      <c r="Q11" s="36"/>
      <c r="R11" s="35"/>
      <c r="S11" s="36"/>
      <c r="T11" s="35"/>
      <c r="U11" s="36"/>
      <c r="V11" s="35"/>
      <c r="W11" s="36"/>
      <c r="X11" s="35"/>
      <c r="Y11" s="36"/>
    </row>
    <row r="12" spans="1:25" ht="27" customHeight="1" x14ac:dyDescent="0.5">
      <c r="A12" s="34" t="s">
        <v>96</v>
      </c>
      <c r="B12" s="35"/>
      <c r="C12" s="35"/>
      <c r="D12" s="35"/>
      <c r="E12" s="36"/>
      <c r="F12" s="36"/>
      <c r="G12" s="37"/>
      <c r="H12" s="38"/>
      <c r="I12" s="38"/>
      <c r="J12" s="38"/>
      <c r="K12" s="38"/>
      <c r="L12" s="37"/>
      <c r="M12" s="37"/>
      <c r="N12" s="37"/>
      <c r="O12" s="36"/>
      <c r="P12" s="35"/>
      <c r="Q12" s="36"/>
      <c r="R12" s="35">
        <v>1</v>
      </c>
      <c r="S12" s="36"/>
      <c r="T12" s="35"/>
      <c r="U12" s="36"/>
      <c r="V12" s="35"/>
      <c r="W12" s="36"/>
      <c r="X12" s="35"/>
      <c r="Y12" s="36"/>
    </row>
    <row r="13" spans="1:25" ht="27" customHeight="1" x14ac:dyDescent="0.5">
      <c r="A13" s="34" t="s">
        <v>97</v>
      </c>
      <c r="B13" s="35"/>
      <c r="C13" s="35"/>
      <c r="D13" s="35"/>
      <c r="E13" s="36"/>
      <c r="F13" s="36"/>
      <c r="G13" s="37"/>
      <c r="H13" s="38"/>
      <c r="I13" s="38"/>
      <c r="J13" s="38"/>
      <c r="K13" s="38">
        <v>1</v>
      </c>
      <c r="L13" s="37"/>
      <c r="M13" s="37"/>
      <c r="N13" s="37"/>
      <c r="O13" s="36"/>
      <c r="P13" s="35"/>
      <c r="Q13" s="36"/>
      <c r="R13" s="35"/>
      <c r="S13" s="36"/>
      <c r="T13" s="35"/>
      <c r="U13" s="36"/>
      <c r="V13" s="35"/>
      <c r="W13" s="36"/>
      <c r="X13" s="35"/>
      <c r="Y13" s="36"/>
    </row>
    <row r="14" spans="1:25" ht="27" customHeight="1" x14ac:dyDescent="0.5">
      <c r="A14" s="34" t="s">
        <v>98</v>
      </c>
      <c r="B14" s="35"/>
      <c r="C14" s="35"/>
      <c r="D14" s="35">
        <v>1</v>
      </c>
      <c r="E14" s="36"/>
      <c r="F14" s="36"/>
      <c r="G14" s="37"/>
      <c r="H14" s="38"/>
      <c r="I14" s="38"/>
      <c r="J14" s="38"/>
      <c r="K14" s="38"/>
      <c r="L14" s="37"/>
      <c r="M14" s="37"/>
      <c r="N14" s="37"/>
      <c r="O14" s="36"/>
      <c r="P14" s="35"/>
      <c r="Q14" s="36"/>
      <c r="R14" s="35"/>
      <c r="S14" s="36"/>
      <c r="T14" s="35"/>
      <c r="U14" s="36"/>
      <c r="V14" s="35"/>
      <c r="W14" s="36"/>
      <c r="X14" s="35"/>
      <c r="Y14" s="36"/>
    </row>
    <row r="15" spans="1:25" ht="27" customHeight="1" x14ac:dyDescent="0.5">
      <c r="A15" s="34" t="s">
        <v>99</v>
      </c>
      <c r="B15" s="35"/>
      <c r="C15" s="35"/>
      <c r="D15" s="35"/>
      <c r="E15" s="36"/>
      <c r="F15" s="36"/>
      <c r="G15" s="37"/>
      <c r="H15" s="38"/>
      <c r="I15" s="38"/>
      <c r="J15" s="38"/>
      <c r="K15" s="38"/>
      <c r="L15" s="37"/>
      <c r="M15" s="37"/>
      <c r="N15" s="37"/>
      <c r="O15" s="36"/>
      <c r="P15" s="35"/>
      <c r="Q15" s="36"/>
      <c r="R15" s="35"/>
      <c r="S15" s="36"/>
      <c r="T15" s="35"/>
      <c r="U15" s="36"/>
      <c r="V15" s="35"/>
      <c r="W15" s="36">
        <v>2</v>
      </c>
      <c r="X15" s="35"/>
      <c r="Y15" s="36"/>
    </row>
    <row r="16" spans="1:25" ht="27" customHeight="1" x14ac:dyDescent="0.5">
      <c r="A16" s="34" t="s">
        <v>100</v>
      </c>
      <c r="B16" s="35"/>
      <c r="C16" s="35"/>
      <c r="D16" s="35">
        <v>1</v>
      </c>
      <c r="E16" s="36"/>
      <c r="F16" s="36"/>
      <c r="G16" s="37"/>
      <c r="H16" s="38"/>
      <c r="I16" s="38"/>
      <c r="J16" s="38"/>
      <c r="K16" s="38"/>
      <c r="L16" s="37"/>
      <c r="M16" s="37"/>
      <c r="N16" s="37"/>
      <c r="O16" s="36"/>
      <c r="P16" s="35"/>
      <c r="Q16" s="36"/>
      <c r="R16" s="35"/>
      <c r="S16" s="36"/>
      <c r="T16" s="35"/>
      <c r="U16" s="36"/>
      <c r="V16" s="35"/>
      <c r="W16" s="36"/>
      <c r="X16" s="35"/>
      <c r="Y16" s="36"/>
    </row>
    <row r="17" spans="1:25" ht="27" customHeight="1" x14ac:dyDescent="0.5">
      <c r="A17" s="34" t="s">
        <v>101</v>
      </c>
      <c r="B17" s="35"/>
      <c r="C17" s="35"/>
      <c r="D17" s="35"/>
      <c r="E17" s="36"/>
      <c r="F17" s="36"/>
      <c r="G17" s="37"/>
      <c r="H17" s="38"/>
      <c r="I17" s="38"/>
      <c r="J17" s="38"/>
      <c r="K17" s="38">
        <v>1</v>
      </c>
      <c r="L17" s="37"/>
      <c r="M17" s="37"/>
      <c r="N17" s="37"/>
      <c r="O17" s="36"/>
      <c r="P17" s="35"/>
      <c r="Q17" s="36"/>
      <c r="R17" s="35"/>
      <c r="S17" s="36"/>
      <c r="T17" s="35"/>
      <c r="U17" s="36"/>
      <c r="V17" s="35"/>
      <c r="W17" s="36"/>
      <c r="X17" s="35"/>
      <c r="Y17" s="36"/>
    </row>
    <row r="18" spans="1:25" ht="27" customHeight="1" x14ac:dyDescent="0.5">
      <c r="A18" s="34" t="s">
        <v>102</v>
      </c>
      <c r="B18" s="35"/>
      <c r="C18" s="35"/>
      <c r="D18" s="35"/>
      <c r="E18" s="36"/>
      <c r="F18" s="36"/>
      <c r="G18" s="37"/>
      <c r="H18" s="38"/>
      <c r="I18" s="38"/>
      <c r="J18" s="38"/>
      <c r="K18" s="38">
        <v>1</v>
      </c>
      <c r="L18" s="37"/>
      <c r="M18" s="37"/>
      <c r="N18" s="37"/>
      <c r="O18" s="36"/>
      <c r="P18" s="35"/>
      <c r="Q18" s="36"/>
      <c r="R18" s="35"/>
      <c r="S18" s="36"/>
      <c r="T18" s="35"/>
      <c r="U18" s="36"/>
      <c r="V18" s="35"/>
      <c r="W18" s="36"/>
      <c r="X18" s="35"/>
      <c r="Y18" s="36"/>
    </row>
    <row r="19" spans="1:25" ht="27" customHeight="1" x14ac:dyDescent="0.5">
      <c r="A19" s="34" t="s">
        <v>103</v>
      </c>
      <c r="B19" s="35"/>
      <c r="C19" s="35"/>
      <c r="D19" s="35"/>
      <c r="E19" s="36"/>
      <c r="F19" s="36"/>
      <c r="G19" s="37"/>
      <c r="H19" s="38"/>
      <c r="I19" s="38"/>
      <c r="J19" s="38"/>
      <c r="K19" s="38"/>
      <c r="L19" s="37"/>
      <c r="M19" s="37"/>
      <c r="N19" s="37"/>
      <c r="O19" s="36"/>
      <c r="P19" s="35"/>
      <c r="Q19" s="36"/>
      <c r="R19" s="35"/>
      <c r="S19" s="36"/>
      <c r="T19" s="35">
        <v>2</v>
      </c>
      <c r="U19" s="36"/>
      <c r="V19" s="35"/>
      <c r="W19" s="36"/>
      <c r="X19" s="35"/>
      <c r="Y19" s="36"/>
    </row>
    <row r="20" spans="1:25" ht="27" customHeight="1" x14ac:dyDescent="0.5">
      <c r="A20" s="34" t="s">
        <v>104</v>
      </c>
      <c r="B20" s="35"/>
      <c r="C20" s="35"/>
      <c r="D20" s="35"/>
      <c r="E20" s="36"/>
      <c r="F20" s="36"/>
      <c r="G20" s="37"/>
      <c r="H20" s="38"/>
      <c r="I20" s="38"/>
      <c r="J20" s="38"/>
      <c r="K20" s="38">
        <v>1</v>
      </c>
      <c r="L20" s="37"/>
      <c r="M20" s="37"/>
      <c r="N20" s="37"/>
      <c r="O20" s="36"/>
      <c r="P20" s="35"/>
      <c r="Q20" s="36"/>
      <c r="R20" s="35"/>
      <c r="S20" s="36"/>
      <c r="T20" s="35"/>
      <c r="U20" s="36"/>
      <c r="V20" s="35"/>
      <c r="W20" s="36"/>
      <c r="X20" s="35"/>
      <c r="Y20" s="36"/>
    </row>
    <row r="21" spans="1:25" ht="27" customHeight="1" x14ac:dyDescent="0.5">
      <c r="A21" s="34" t="s">
        <v>105</v>
      </c>
      <c r="B21" s="35"/>
      <c r="C21" s="35"/>
      <c r="D21" s="35"/>
      <c r="E21" s="36"/>
      <c r="F21" s="36"/>
      <c r="G21" s="37"/>
      <c r="H21" s="38"/>
      <c r="I21" s="38"/>
      <c r="J21" s="38"/>
      <c r="K21" s="38"/>
      <c r="L21" s="37"/>
      <c r="M21" s="37"/>
      <c r="N21" s="37"/>
      <c r="O21" s="36"/>
      <c r="P21" s="35"/>
      <c r="Q21" s="36"/>
      <c r="R21" s="35"/>
      <c r="S21" s="36">
        <v>2</v>
      </c>
      <c r="T21" s="35"/>
      <c r="U21" s="36"/>
      <c r="V21" s="35"/>
      <c r="W21" s="36"/>
      <c r="X21" s="35"/>
      <c r="Y21" s="36"/>
    </row>
    <row r="22" spans="1:25" ht="27" customHeight="1" x14ac:dyDescent="0.5">
      <c r="A22" s="34" t="s">
        <v>106</v>
      </c>
      <c r="B22" s="35"/>
      <c r="C22" s="35"/>
      <c r="D22" s="35"/>
      <c r="E22" s="36"/>
      <c r="F22" s="36"/>
      <c r="G22" s="37"/>
      <c r="H22" s="38"/>
      <c r="I22" s="38"/>
      <c r="J22" s="38"/>
      <c r="K22" s="38">
        <v>1</v>
      </c>
      <c r="L22" s="37"/>
      <c r="M22" s="37"/>
      <c r="N22" s="37"/>
      <c r="O22" s="36"/>
      <c r="P22" s="35"/>
      <c r="Q22" s="36"/>
      <c r="R22" s="35"/>
      <c r="S22" s="36"/>
      <c r="T22" s="35"/>
      <c r="U22" s="36"/>
      <c r="V22" s="35"/>
      <c r="W22" s="36"/>
      <c r="X22" s="35"/>
      <c r="Y22" s="36"/>
    </row>
    <row r="23" spans="1:25" ht="27" customHeight="1" x14ac:dyDescent="0.5">
      <c r="A23" s="34" t="s">
        <v>107</v>
      </c>
      <c r="B23" s="35"/>
      <c r="C23" s="35"/>
      <c r="D23" s="35">
        <v>1</v>
      </c>
      <c r="E23" s="36"/>
      <c r="F23" s="36"/>
      <c r="G23" s="37"/>
      <c r="H23" s="38"/>
      <c r="I23" s="38"/>
      <c r="J23" s="38"/>
      <c r="K23" s="38"/>
      <c r="L23" s="37"/>
      <c r="M23" s="37"/>
      <c r="N23" s="37"/>
      <c r="O23" s="36"/>
      <c r="P23" s="35"/>
      <c r="Q23" s="36"/>
      <c r="R23" s="35"/>
      <c r="S23" s="36"/>
      <c r="T23" s="35"/>
      <c r="U23" s="36"/>
      <c r="V23" s="35"/>
      <c r="W23" s="36"/>
      <c r="X23" s="35"/>
      <c r="Y23" s="36"/>
    </row>
    <row r="24" spans="1:25" ht="27" customHeight="1" x14ac:dyDescent="0.5">
      <c r="A24" s="34" t="s">
        <v>108</v>
      </c>
      <c r="B24" s="35"/>
      <c r="C24" s="35"/>
      <c r="D24" s="35">
        <v>1</v>
      </c>
      <c r="E24" s="36"/>
      <c r="F24" s="36"/>
      <c r="G24" s="37"/>
      <c r="H24" s="38"/>
      <c r="I24" s="38"/>
      <c r="J24" s="38"/>
      <c r="K24" s="38"/>
      <c r="L24" s="37"/>
      <c r="M24" s="37"/>
      <c r="N24" s="37"/>
      <c r="O24" s="36"/>
      <c r="P24" s="35"/>
      <c r="Q24" s="36"/>
      <c r="R24" s="35"/>
      <c r="S24" s="36"/>
      <c r="T24" s="35"/>
      <c r="U24" s="36"/>
      <c r="V24" s="35"/>
      <c r="W24" s="36"/>
      <c r="X24" s="35"/>
      <c r="Y24" s="36"/>
    </row>
    <row r="25" spans="1:25" ht="27" customHeight="1" x14ac:dyDescent="0.5">
      <c r="A25" s="34" t="s">
        <v>109</v>
      </c>
      <c r="B25" s="35"/>
      <c r="C25" s="35"/>
      <c r="D25" s="35"/>
      <c r="E25" s="36"/>
      <c r="F25" s="36"/>
      <c r="G25" s="37"/>
      <c r="H25" s="38"/>
      <c r="I25" s="38"/>
      <c r="J25" s="38"/>
      <c r="K25" s="38">
        <v>1</v>
      </c>
      <c r="L25" s="37"/>
      <c r="M25" s="37"/>
      <c r="N25" s="37"/>
      <c r="O25" s="36"/>
      <c r="P25" s="35"/>
      <c r="Q25" s="36"/>
      <c r="R25" s="35"/>
      <c r="S25" s="36"/>
      <c r="T25" s="35"/>
      <c r="U25" s="36"/>
      <c r="V25" s="35"/>
      <c r="W25" s="36"/>
      <c r="X25" s="35"/>
      <c r="Y25" s="36"/>
    </row>
    <row r="26" spans="1:25" ht="27" customHeight="1" x14ac:dyDescent="0.5">
      <c r="A26" s="34" t="s">
        <v>110</v>
      </c>
      <c r="B26" s="35"/>
      <c r="C26" s="35"/>
      <c r="D26" s="35"/>
      <c r="E26" s="36"/>
      <c r="F26" s="36"/>
      <c r="G26" s="37"/>
      <c r="H26" s="38"/>
      <c r="I26" s="38"/>
      <c r="J26" s="38"/>
      <c r="K26" s="38"/>
      <c r="L26" s="37"/>
      <c r="M26" s="37"/>
      <c r="N26" s="37"/>
      <c r="O26" s="36"/>
      <c r="P26" s="35"/>
      <c r="Q26" s="36"/>
      <c r="R26" s="35"/>
      <c r="S26" s="36">
        <v>3</v>
      </c>
      <c r="T26" s="35"/>
      <c r="U26" s="36"/>
      <c r="V26" s="35"/>
      <c r="W26" s="36"/>
      <c r="X26" s="35"/>
      <c r="Y26" s="36"/>
    </row>
    <row r="27" spans="1:25" ht="27" customHeight="1" x14ac:dyDescent="0.5">
      <c r="A27" s="34" t="s">
        <v>111</v>
      </c>
      <c r="B27" s="35">
        <v>30</v>
      </c>
      <c r="C27" s="35"/>
      <c r="D27" s="35"/>
      <c r="E27" s="36"/>
      <c r="F27" s="36"/>
      <c r="G27" s="37"/>
      <c r="H27" s="38"/>
      <c r="I27" s="38"/>
      <c r="J27" s="38"/>
      <c r="K27" s="38"/>
      <c r="L27" s="37"/>
      <c r="M27" s="37"/>
      <c r="N27" s="37"/>
      <c r="O27" s="36"/>
      <c r="P27" s="35"/>
      <c r="Q27" s="36"/>
      <c r="R27" s="35"/>
      <c r="S27" s="36"/>
      <c r="T27" s="35"/>
      <c r="U27" s="36"/>
      <c r="V27" s="35"/>
      <c r="W27" s="36"/>
      <c r="X27" s="35"/>
      <c r="Y27" s="36"/>
    </row>
    <row r="28" spans="1:25" ht="27" customHeight="1" x14ac:dyDescent="0.5">
      <c r="A28" s="34" t="s">
        <v>112</v>
      </c>
      <c r="B28" s="35"/>
      <c r="C28" s="35"/>
      <c r="D28" s="35"/>
      <c r="E28" s="36"/>
      <c r="F28" s="36"/>
      <c r="G28" s="37"/>
      <c r="H28" s="38"/>
      <c r="I28" s="38"/>
      <c r="J28" s="38"/>
      <c r="K28" s="38">
        <v>1</v>
      </c>
      <c r="L28" s="37"/>
      <c r="M28" s="37"/>
      <c r="N28" s="37"/>
      <c r="O28" s="36">
        <v>1</v>
      </c>
      <c r="P28" s="35"/>
      <c r="Q28" s="36"/>
      <c r="R28" s="35">
        <v>1</v>
      </c>
      <c r="S28" s="36"/>
      <c r="T28" s="35"/>
      <c r="U28" s="36">
        <v>1</v>
      </c>
      <c r="V28" s="35"/>
      <c r="W28" s="36"/>
      <c r="X28" s="35"/>
      <c r="Y28" s="36">
        <v>1</v>
      </c>
    </row>
    <row r="29" spans="1:25" ht="27" customHeight="1" x14ac:dyDescent="0.5">
      <c r="A29" s="34" t="s">
        <v>113</v>
      </c>
      <c r="B29" s="35"/>
      <c r="C29" s="35"/>
      <c r="D29" s="35"/>
      <c r="E29" s="36"/>
      <c r="F29" s="36"/>
      <c r="G29" s="37"/>
      <c r="H29" s="38"/>
      <c r="I29" s="38"/>
      <c r="J29" s="38"/>
      <c r="K29" s="38">
        <v>1</v>
      </c>
      <c r="L29" s="37"/>
      <c r="M29" s="37">
        <v>1</v>
      </c>
      <c r="N29" s="37"/>
      <c r="O29" s="36"/>
      <c r="P29" s="35"/>
      <c r="Q29" s="36"/>
      <c r="R29" s="35"/>
      <c r="S29" s="36"/>
      <c r="T29" s="35"/>
      <c r="U29" s="36"/>
      <c r="V29" s="35"/>
      <c r="W29" s="36"/>
      <c r="X29" s="35"/>
      <c r="Y29" s="36">
        <v>1</v>
      </c>
    </row>
    <row r="30" spans="1:25" ht="27" customHeight="1" x14ac:dyDescent="0.5">
      <c r="A30" s="34" t="s">
        <v>114</v>
      </c>
      <c r="B30" s="35"/>
      <c r="C30" s="35"/>
      <c r="D30" s="35"/>
      <c r="E30" s="36"/>
      <c r="F30" s="36"/>
      <c r="G30" s="37"/>
      <c r="H30" s="38"/>
      <c r="I30" s="38"/>
      <c r="J30" s="38"/>
      <c r="K30" s="38">
        <v>1</v>
      </c>
      <c r="L30" s="37"/>
      <c r="M30" s="37"/>
      <c r="N30" s="37"/>
      <c r="O30" s="36"/>
      <c r="P30" s="35"/>
      <c r="Q30" s="36"/>
      <c r="R30" s="35"/>
      <c r="S30" s="36"/>
      <c r="T30" s="35"/>
      <c r="U30" s="36"/>
      <c r="V30" s="35"/>
      <c r="W30" s="36"/>
      <c r="X30" s="35"/>
      <c r="Y30" s="36">
        <v>1</v>
      </c>
    </row>
    <row r="31" spans="1:25" ht="27" customHeight="1" x14ac:dyDescent="0.5">
      <c r="A31" s="34" t="s">
        <v>115</v>
      </c>
      <c r="B31" s="35"/>
      <c r="C31" s="35"/>
      <c r="D31" s="35"/>
      <c r="E31" s="36"/>
      <c r="F31" s="36"/>
      <c r="G31" s="37"/>
      <c r="H31" s="38"/>
      <c r="I31" s="38"/>
      <c r="J31" s="38">
        <v>1</v>
      </c>
      <c r="K31" s="38"/>
      <c r="L31" s="37"/>
      <c r="M31" s="37"/>
      <c r="N31" s="37"/>
      <c r="O31" s="36"/>
      <c r="P31" s="35"/>
      <c r="Q31" s="36"/>
      <c r="R31" s="35"/>
      <c r="S31" s="36"/>
      <c r="T31" s="35"/>
      <c r="U31" s="36">
        <v>1</v>
      </c>
      <c r="V31" s="35"/>
      <c r="W31" s="36"/>
      <c r="X31" s="35"/>
      <c r="Y31" s="36">
        <v>1</v>
      </c>
    </row>
    <row r="32" spans="1:25" ht="27" customHeight="1" x14ac:dyDescent="0.5">
      <c r="A32" s="34" t="s">
        <v>116</v>
      </c>
      <c r="B32" s="35"/>
      <c r="C32" s="35"/>
      <c r="D32" s="35"/>
      <c r="E32" s="36">
        <v>4</v>
      </c>
      <c r="F32" s="36"/>
      <c r="G32" s="37"/>
      <c r="H32" s="38"/>
      <c r="I32" s="38"/>
      <c r="J32" s="38"/>
      <c r="K32" s="38"/>
      <c r="L32" s="37">
        <v>1</v>
      </c>
      <c r="M32" s="37"/>
      <c r="N32" s="37"/>
      <c r="O32" s="36"/>
      <c r="P32" s="35"/>
      <c r="Q32" s="36"/>
      <c r="R32" s="35"/>
      <c r="S32" s="36"/>
      <c r="T32" s="35"/>
      <c r="U32" s="36"/>
      <c r="V32" s="35"/>
      <c r="W32" s="36"/>
      <c r="X32" s="35"/>
      <c r="Y32" s="36">
        <v>1</v>
      </c>
    </row>
    <row r="33" spans="1:25" ht="27" customHeight="1" x14ac:dyDescent="0.5">
      <c r="A33" s="34" t="s">
        <v>117</v>
      </c>
      <c r="B33" s="35"/>
      <c r="C33" s="35"/>
      <c r="D33" s="35"/>
      <c r="E33" s="36"/>
      <c r="F33" s="36"/>
      <c r="G33" s="37"/>
      <c r="H33" s="38"/>
      <c r="I33" s="38"/>
      <c r="J33" s="38"/>
      <c r="K33" s="38">
        <v>1</v>
      </c>
      <c r="L33" s="37"/>
      <c r="M33" s="37"/>
      <c r="N33" s="37"/>
      <c r="O33" s="36"/>
      <c r="P33" s="35"/>
      <c r="Q33" s="36"/>
      <c r="R33" s="35"/>
      <c r="S33" s="36"/>
      <c r="T33" s="35"/>
      <c r="U33" s="36"/>
      <c r="V33" s="35"/>
      <c r="W33" s="36"/>
      <c r="X33" s="35"/>
      <c r="Y33" s="36">
        <v>1</v>
      </c>
    </row>
    <row r="34" spans="1:25" ht="27" customHeight="1" x14ac:dyDescent="0.5">
      <c r="A34" s="34" t="s">
        <v>118</v>
      </c>
      <c r="B34" s="35"/>
      <c r="C34" s="35"/>
      <c r="D34" s="35"/>
      <c r="E34" s="36"/>
      <c r="F34" s="36"/>
      <c r="G34" s="37"/>
      <c r="H34" s="38"/>
      <c r="I34" s="38"/>
      <c r="J34" s="38"/>
      <c r="K34" s="38">
        <v>1</v>
      </c>
      <c r="L34" s="37"/>
      <c r="M34" s="37"/>
      <c r="N34" s="37"/>
      <c r="O34" s="36"/>
      <c r="P34" s="35"/>
      <c r="Q34" s="36"/>
      <c r="R34" s="35"/>
      <c r="S34" s="36"/>
      <c r="T34" s="35"/>
      <c r="U34" s="36"/>
      <c r="V34" s="35"/>
      <c r="W34" s="36"/>
      <c r="X34" s="35"/>
      <c r="Y34" s="36">
        <v>1</v>
      </c>
    </row>
    <row r="35" spans="1:25" ht="27" customHeight="1" x14ac:dyDescent="0.5">
      <c r="A35" s="34" t="s">
        <v>119</v>
      </c>
      <c r="B35" s="35"/>
      <c r="C35" s="35"/>
      <c r="D35" s="35"/>
      <c r="E35" s="36"/>
      <c r="F35" s="36"/>
      <c r="G35" s="37"/>
      <c r="H35" s="38"/>
      <c r="I35" s="38"/>
      <c r="J35" s="38">
        <v>1</v>
      </c>
      <c r="K35" s="38"/>
      <c r="L35" s="37"/>
      <c r="M35" s="37"/>
      <c r="N35" s="37"/>
      <c r="O35" s="36">
        <v>1</v>
      </c>
      <c r="P35" s="35"/>
      <c r="Q35" s="36"/>
      <c r="R35" s="35"/>
      <c r="S35" s="36"/>
      <c r="T35" s="35"/>
      <c r="U35" s="36"/>
      <c r="V35" s="35"/>
      <c r="W35" s="36"/>
      <c r="X35" s="35"/>
      <c r="Y35" s="36">
        <v>1</v>
      </c>
    </row>
    <row r="36" spans="1:25" ht="27" customHeight="1" x14ac:dyDescent="0.5">
      <c r="A36" s="34" t="s">
        <v>120</v>
      </c>
      <c r="B36" s="35"/>
      <c r="C36" s="35"/>
      <c r="D36" s="35"/>
      <c r="E36" s="36"/>
      <c r="F36" s="36">
        <v>1</v>
      </c>
      <c r="G36" s="37"/>
      <c r="H36" s="38"/>
      <c r="I36" s="38"/>
      <c r="J36" s="38"/>
      <c r="K36" s="38"/>
      <c r="L36" s="37"/>
      <c r="M36" s="37"/>
      <c r="N36" s="37"/>
      <c r="O36" s="36"/>
      <c r="P36" s="35"/>
      <c r="Q36" s="36"/>
      <c r="R36" s="35"/>
      <c r="S36" s="36"/>
      <c r="T36" s="35"/>
      <c r="U36" s="36"/>
      <c r="V36" s="35"/>
      <c r="W36" s="36"/>
      <c r="X36" s="35"/>
      <c r="Y36" s="36">
        <v>1</v>
      </c>
    </row>
    <row r="37" spans="1:25" ht="27" customHeight="1" x14ac:dyDescent="0.5">
      <c r="A37" s="34" t="s">
        <v>121</v>
      </c>
      <c r="B37" s="35"/>
      <c r="C37" s="35"/>
      <c r="D37" s="35"/>
      <c r="E37" s="36"/>
      <c r="F37" s="36"/>
      <c r="G37" s="37"/>
      <c r="H37" s="38"/>
      <c r="I37" s="38"/>
      <c r="J37" s="38"/>
      <c r="K37" s="38">
        <v>1</v>
      </c>
      <c r="L37" s="37"/>
      <c r="M37" s="37"/>
      <c r="N37" s="37"/>
      <c r="O37" s="36">
        <v>2</v>
      </c>
      <c r="P37" s="35"/>
      <c r="Q37" s="36"/>
      <c r="R37" s="35"/>
      <c r="S37" s="36"/>
      <c r="T37" s="35"/>
      <c r="U37" s="36"/>
      <c r="V37" s="35"/>
      <c r="W37" s="36"/>
      <c r="X37" s="35"/>
      <c r="Y37" s="36">
        <v>1</v>
      </c>
    </row>
    <row r="38" spans="1:25" ht="27" customHeight="1" x14ac:dyDescent="0.5">
      <c r="A38" s="34" t="s">
        <v>122</v>
      </c>
      <c r="B38" s="35"/>
      <c r="C38" s="35"/>
      <c r="D38" s="35"/>
      <c r="E38" s="36"/>
      <c r="F38" s="36"/>
      <c r="G38" s="37"/>
      <c r="H38" s="38"/>
      <c r="I38" s="38"/>
      <c r="J38" s="38"/>
      <c r="K38" s="38">
        <v>1</v>
      </c>
      <c r="L38" s="37"/>
      <c r="M38" s="37"/>
      <c r="N38" s="37"/>
      <c r="O38" s="36"/>
      <c r="P38" s="35"/>
      <c r="Q38" s="36"/>
      <c r="R38" s="35"/>
      <c r="S38" s="36"/>
      <c r="T38" s="35"/>
      <c r="U38" s="36"/>
      <c r="V38" s="35"/>
      <c r="W38" s="36"/>
      <c r="X38" s="35"/>
      <c r="Y38" s="36">
        <v>1</v>
      </c>
    </row>
    <row r="39" spans="1:25" ht="27" customHeight="1" x14ac:dyDescent="0.5">
      <c r="A39" s="34" t="s">
        <v>123</v>
      </c>
      <c r="B39" s="35"/>
      <c r="C39" s="35"/>
      <c r="D39" s="35"/>
      <c r="E39" s="36"/>
      <c r="F39" s="36"/>
      <c r="G39" s="37"/>
      <c r="H39" s="38"/>
      <c r="I39" s="38"/>
      <c r="J39" s="38"/>
      <c r="K39" s="38"/>
      <c r="L39" s="37"/>
      <c r="M39" s="37"/>
      <c r="N39" s="37"/>
      <c r="O39" s="36"/>
      <c r="P39" s="35"/>
      <c r="Q39" s="36">
        <v>3</v>
      </c>
      <c r="R39" s="35"/>
      <c r="S39" s="36"/>
      <c r="T39" s="35"/>
      <c r="U39" s="36"/>
      <c r="V39" s="35"/>
      <c r="W39" s="36"/>
      <c r="X39" s="35"/>
      <c r="Y39" s="36">
        <v>1</v>
      </c>
    </row>
    <row r="40" spans="1:25" ht="27" customHeight="1" x14ac:dyDescent="0.5">
      <c r="A40" s="34" t="s">
        <v>124</v>
      </c>
      <c r="B40" s="35"/>
      <c r="C40" s="35"/>
      <c r="D40" s="35"/>
      <c r="E40" s="36"/>
      <c r="F40" s="36"/>
      <c r="G40" s="37"/>
      <c r="H40" s="38"/>
      <c r="I40" s="38"/>
      <c r="J40" s="38"/>
      <c r="K40" s="38">
        <v>1</v>
      </c>
      <c r="L40" s="37"/>
      <c r="M40" s="37"/>
      <c r="N40" s="37"/>
      <c r="O40" s="36"/>
      <c r="P40" s="35">
        <v>2</v>
      </c>
      <c r="Q40" s="36"/>
      <c r="R40" s="35">
        <v>1</v>
      </c>
      <c r="S40" s="36"/>
      <c r="T40" s="35"/>
      <c r="U40" s="36"/>
      <c r="V40" s="35"/>
      <c r="W40" s="36"/>
      <c r="X40" s="35"/>
      <c r="Y40" s="36">
        <v>1</v>
      </c>
    </row>
    <row r="41" spans="1:25" ht="27" customHeight="1" x14ac:dyDescent="0.5">
      <c r="A41" s="34" t="s">
        <v>125</v>
      </c>
      <c r="B41" s="35"/>
      <c r="C41" s="35"/>
      <c r="D41" s="35"/>
      <c r="E41" s="36"/>
      <c r="F41" s="36"/>
      <c r="G41" s="37"/>
      <c r="H41" s="38"/>
      <c r="I41" s="38"/>
      <c r="J41" s="38"/>
      <c r="K41" s="38">
        <v>1</v>
      </c>
      <c r="L41" s="37"/>
      <c r="M41" s="37"/>
      <c r="N41" s="37"/>
      <c r="O41" s="36"/>
      <c r="P41" s="35"/>
      <c r="Q41" s="36"/>
      <c r="R41" s="35"/>
      <c r="S41" s="36"/>
      <c r="T41" s="35"/>
      <c r="U41" s="36"/>
      <c r="V41" s="35"/>
      <c r="W41" s="36"/>
      <c r="X41" s="35"/>
      <c r="Y41" s="36">
        <v>1</v>
      </c>
    </row>
    <row r="42" spans="1:25" ht="27" customHeight="1" x14ac:dyDescent="0.5">
      <c r="A42" s="34" t="s">
        <v>126</v>
      </c>
      <c r="B42" s="35"/>
      <c r="C42" s="35"/>
      <c r="D42" s="35"/>
      <c r="E42" s="36"/>
      <c r="F42" s="36"/>
      <c r="G42" s="37"/>
      <c r="H42" s="38"/>
      <c r="I42" s="38"/>
      <c r="J42" s="38"/>
      <c r="K42" s="38">
        <v>1</v>
      </c>
      <c r="L42" s="37"/>
      <c r="M42" s="37"/>
      <c r="N42" s="37"/>
      <c r="O42" s="36"/>
      <c r="P42" s="35"/>
      <c r="Q42" s="36"/>
      <c r="R42" s="35"/>
      <c r="S42" s="36"/>
      <c r="T42" s="35"/>
      <c r="U42" s="36">
        <v>2</v>
      </c>
      <c r="V42" s="35"/>
      <c r="W42" s="36"/>
      <c r="X42" s="35"/>
      <c r="Y42" s="36">
        <v>1</v>
      </c>
    </row>
    <row r="43" spans="1:25" ht="27" customHeight="1" x14ac:dyDescent="0.5">
      <c r="A43" s="34" t="s">
        <v>127</v>
      </c>
      <c r="B43" s="35"/>
      <c r="C43" s="35"/>
      <c r="D43" s="35"/>
      <c r="E43" s="36"/>
      <c r="F43" s="36"/>
      <c r="G43" s="37"/>
      <c r="H43" s="38"/>
      <c r="I43" s="38"/>
      <c r="J43" s="38"/>
      <c r="K43" s="38">
        <v>1</v>
      </c>
      <c r="L43" s="37"/>
      <c r="M43" s="37"/>
      <c r="N43" s="37"/>
      <c r="O43" s="36"/>
      <c r="P43" s="35"/>
      <c r="Q43" s="36"/>
      <c r="R43" s="35"/>
      <c r="S43" s="36"/>
      <c r="T43" s="35"/>
      <c r="U43" s="36"/>
      <c r="V43" s="35"/>
      <c r="W43" s="36"/>
      <c r="X43" s="35"/>
      <c r="Y43" s="36">
        <v>1</v>
      </c>
    </row>
    <row r="44" spans="1:25" ht="27" customHeight="1" x14ac:dyDescent="0.5">
      <c r="A44" s="34" t="s">
        <v>128</v>
      </c>
      <c r="B44" s="35"/>
      <c r="C44" s="35"/>
      <c r="D44" s="35"/>
      <c r="E44" s="36"/>
      <c r="F44" s="36"/>
      <c r="G44" s="37"/>
      <c r="H44" s="38"/>
      <c r="I44" s="38"/>
      <c r="J44" s="38"/>
      <c r="K44" s="38"/>
      <c r="L44" s="37"/>
      <c r="M44" s="37"/>
      <c r="N44" s="37"/>
      <c r="O44" s="36"/>
      <c r="P44" s="35"/>
      <c r="Q44" s="36"/>
      <c r="R44" s="35">
        <v>1</v>
      </c>
      <c r="S44" s="36"/>
      <c r="T44" s="35"/>
      <c r="U44" s="36">
        <v>1</v>
      </c>
      <c r="V44" s="35"/>
      <c r="W44" s="36"/>
      <c r="X44" s="35"/>
      <c r="Y44" s="36"/>
    </row>
    <row r="45" spans="1:25" ht="27" customHeight="1" x14ac:dyDescent="0.5">
      <c r="A45" s="34" t="s">
        <v>129</v>
      </c>
      <c r="B45" s="35"/>
      <c r="C45" s="35"/>
      <c r="D45" s="35"/>
      <c r="E45" s="36"/>
      <c r="F45" s="36"/>
      <c r="G45" s="37"/>
      <c r="H45" s="38"/>
      <c r="I45" s="38"/>
      <c r="J45" s="38"/>
      <c r="K45" s="38"/>
      <c r="L45" s="37"/>
      <c r="M45" s="37">
        <v>1</v>
      </c>
      <c r="N45" s="37"/>
      <c r="O45" s="36"/>
      <c r="P45" s="35"/>
      <c r="Q45" s="36"/>
      <c r="R45" s="35"/>
      <c r="S45" s="36"/>
      <c r="T45" s="35"/>
      <c r="U45" s="36"/>
      <c r="V45" s="35"/>
      <c r="W45" s="36"/>
      <c r="X45" s="35"/>
      <c r="Y45" s="36">
        <v>1</v>
      </c>
    </row>
    <row r="46" spans="1:25" ht="27" customHeight="1" x14ac:dyDescent="0.5">
      <c r="A46" s="34" t="s">
        <v>130</v>
      </c>
      <c r="B46" s="35"/>
      <c r="C46" s="35"/>
      <c r="D46" s="35"/>
      <c r="E46" s="36"/>
      <c r="F46" s="36"/>
      <c r="G46" s="37"/>
      <c r="H46" s="38"/>
      <c r="I46" s="38"/>
      <c r="J46" s="38"/>
      <c r="K46" s="38">
        <v>1</v>
      </c>
      <c r="L46" s="37"/>
      <c r="M46" s="37"/>
      <c r="N46" s="37"/>
      <c r="O46" s="36"/>
      <c r="P46" s="35"/>
      <c r="Q46" s="36"/>
      <c r="R46" s="35"/>
      <c r="S46" s="36"/>
      <c r="T46" s="35"/>
      <c r="U46" s="36"/>
      <c r="V46" s="35"/>
      <c r="W46" s="36"/>
      <c r="X46" s="35"/>
      <c r="Y46" s="36">
        <v>1</v>
      </c>
    </row>
    <row r="47" spans="1:25" ht="27" customHeight="1" x14ac:dyDescent="0.5">
      <c r="A47" s="34" t="s">
        <v>131</v>
      </c>
      <c r="B47" s="35"/>
      <c r="C47" s="35"/>
      <c r="D47" s="35"/>
      <c r="E47" s="36"/>
      <c r="F47" s="36"/>
      <c r="G47" s="37"/>
      <c r="H47" s="38"/>
      <c r="I47" s="38"/>
      <c r="J47" s="38">
        <v>1</v>
      </c>
      <c r="K47" s="38"/>
      <c r="L47" s="37"/>
      <c r="M47" s="37"/>
      <c r="N47" s="37"/>
      <c r="O47" s="36"/>
      <c r="P47" s="35"/>
      <c r="Q47" s="36"/>
      <c r="R47" s="35"/>
      <c r="S47" s="36"/>
      <c r="T47" s="35"/>
      <c r="U47" s="36"/>
      <c r="V47" s="35"/>
      <c r="W47" s="36"/>
      <c r="X47" s="35"/>
      <c r="Y47" s="36"/>
    </row>
    <row r="48" spans="1:25" ht="27" customHeight="1" x14ac:dyDescent="0.5">
      <c r="A48" s="34" t="s">
        <v>132</v>
      </c>
      <c r="B48" s="35"/>
      <c r="C48" s="35"/>
      <c r="D48" s="35"/>
      <c r="E48" s="36"/>
      <c r="F48" s="36"/>
      <c r="G48" s="37"/>
      <c r="H48" s="38"/>
      <c r="I48" s="38"/>
      <c r="J48" s="38">
        <v>1</v>
      </c>
      <c r="K48" s="38"/>
      <c r="L48" s="37"/>
      <c r="M48" s="37"/>
      <c r="N48" s="37"/>
      <c r="O48" s="36"/>
      <c r="P48" s="35"/>
      <c r="Q48" s="36"/>
      <c r="R48" s="35"/>
      <c r="S48" s="36"/>
      <c r="T48" s="35"/>
      <c r="U48" s="36"/>
      <c r="V48" s="35">
        <v>1</v>
      </c>
      <c r="W48" s="36"/>
      <c r="X48" s="35"/>
      <c r="Y48" s="36">
        <v>1</v>
      </c>
    </row>
    <row r="49" spans="1:25" ht="27" customHeight="1" x14ac:dyDescent="0.5">
      <c r="A49" s="34" t="s">
        <v>133</v>
      </c>
      <c r="B49" s="35"/>
      <c r="C49" s="35"/>
      <c r="D49" s="35"/>
      <c r="E49" s="36"/>
      <c r="F49" s="36"/>
      <c r="G49" s="37"/>
      <c r="H49" s="38"/>
      <c r="I49" s="38"/>
      <c r="J49" s="38"/>
      <c r="K49" s="38"/>
      <c r="L49" s="37"/>
      <c r="M49" s="37"/>
      <c r="N49" s="37"/>
      <c r="O49" s="36">
        <v>1</v>
      </c>
      <c r="P49" s="35"/>
      <c r="Q49" s="36"/>
      <c r="R49" s="35">
        <v>1</v>
      </c>
      <c r="S49" s="36"/>
      <c r="T49" s="35"/>
      <c r="U49" s="36">
        <v>1</v>
      </c>
      <c r="V49" s="35">
        <v>1</v>
      </c>
      <c r="W49" s="36"/>
      <c r="X49" s="35"/>
      <c r="Y49" s="36">
        <v>1</v>
      </c>
    </row>
    <row r="50" spans="1:25" ht="27" customHeight="1" x14ac:dyDescent="0.5">
      <c r="A50" s="34" t="s">
        <v>134</v>
      </c>
      <c r="B50" s="35"/>
      <c r="C50" s="35"/>
      <c r="D50" s="35"/>
      <c r="E50" s="36"/>
      <c r="F50" s="36"/>
      <c r="G50" s="37">
        <v>1</v>
      </c>
      <c r="H50" s="38"/>
      <c r="I50" s="38"/>
      <c r="J50" s="38"/>
      <c r="K50" s="38"/>
      <c r="L50" s="37"/>
      <c r="M50" s="37"/>
      <c r="N50" s="37"/>
      <c r="O50" s="36"/>
      <c r="P50" s="35"/>
      <c r="Q50" s="36"/>
      <c r="R50" s="35"/>
      <c r="S50" s="36"/>
      <c r="T50" s="35"/>
      <c r="U50" s="36"/>
      <c r="V50" s="35"/>
      <c r="W50" s="36"/>
      <c r="X50" s="35"/>
      <c r="Y50" s="36">
        <v>1</v>
      </c>
    </row>
    <row r="51" spans="1:25" ht="27" customHeight="1" x14ac:dyDescent="0.5">
      <c r="A51" s="34" t="s">
        <v>149</v>
      </c>
      <c r="B51" s="35"/>
      <c r="C51" s="35"/>
      <c r="D51" s="35"/>
      <c r="E51" s="36"/>
      <c r="F51" s="36"/>
      <c r="G51" s="37"/>
      <c r="H51" s="38">
        <v>12</v>
      </c>
      <c r="I51" s="38">
        <v>16</v>
      </c>
      <c r="J51" s="38"/>
      <c r="K51" s="38"/>
      <c r="L51" s="37"/>
      <c r="M51" s="37"/>
      <c r="N51" s="37"/>
      <c r="O51" s="36"/>
      <c r="P51" s="35"/>
      <c r="Q51" s="36"/>
      <c r="R51" s="35"/>
      <c r="S51" s="36"/>
      <c r="T51" s="35"/>
      <c r="U51" s="36"/>
      <c r="V51" s="35"/>
      <c r="W51" s="36"/>
      <c r="X51" s="35"/>
      <c r="Y51" s="36"/>
    </row>
    <row r="52" spans="1:25" ht="27" customHeight="1" x14ac:dyDescent="0.5">
      <c r="A52" s="34" t="s">
        <v>150</v>
      </c>
      <c r="B52" s="35"/>
      <c r="C52" s="35"/>
      <c r="D52" s="35"/>
      <c r="E52" s="36"/>
      <c r="F52" s="36"/>
      <c r="G52" s="37"/>
      <c r="H52" s="38"/>
      <c r="I52" s="38"/>
      <c r="J52" s="38">
        <v>1</v>
      </c>
      <c r="K52" s="38"/>
      <c r="L52" s="37">
        <v>1</v>
      </c>
      <c r="M52" s="37"/>
      <c r="N52" s="37"/>
      <c r="O52" s="36"/>
      <c r="P52" s="35"/>
      <c r="Q52" s="36"/>
      <c r="R52" s="35"/>
      <c r="S52" s="36"/>
      <c r="T52" s="35"/>
      <c r="U52" s="36"/>
      <c r="V52" s="35"/>
      <c r="W52" s="36"/>
      <c r="X52" s="35"/>
      <c r="Y52" s="36">
        <v>1</v>
      </c>
    </row>
  </sheetData>
  <mergeCells count="4">
    <mergeCell ref="B1:D1"/>
    <mergeCell ref="E1:F1"/>
    <mergeCell ref="H1:K1"/>
    <mergeCell ref="L1:N1"/>
  </mergeCells>
  <phoneticPr fontId="3" type="noConversion"/>
  <pageMargins left="1" right="1" top="1" bottom="1" header="0.5" footer="0.5"/>
  <pageSetup paperSize="9" scale="3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F5" sqref="F5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151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20</v>
      </c>
      <c r="C4" s="8">
        <f t="shared" si="0"/>
        <v>72</v>
      </c>
      <c r="D4" s="8">
        <f t="shared" si="0"/>
        <v>96</v>
      </c>
      <c r="E4" s="8">
        <f t="shared" si="0"/>
        <v>60</v>
      </c>
      <c r="F4" s="8">
        <f>SUM(F5:F7)</f>
        <v>20</v>
      </c>
      <c r="G4" s="8">
        <f t="shared" si="0"/>
        <v>0</v>
      </c>
      <c r="H4" s="9"/>
    </row>
    <row r="5" spans="1:8" ht="92.25" customHeight="1" x14ac:dyDescent="0.3">
      <c r="A5" s="10" t="s">
        <v>10</v>
      </c>
      <c r="B5" s="11"/>
      <c r="C5" s="12">
        <v>24</v>
      </c>
      <c r="D5" s="12">
        <v>32</v>
      </c>
      <c r="E5" s="12">
        <v>8</v>
      </c>
      <c r="F5" s="12"/>
      <c r="G5" s="12"/>
      <c r="H5" s="9"/>
    </row>
    <row r="6" spans="1:8" ht="92.25" customHeight="1" x14ac:dyDescent="0.3">
      <c r="A6" s="10" t="s">
        <v>11</v>
      </c>
      <c r="B6" s="11">
        <v>10</v>
      </c>
      <c r="C6" s="12">
        <f>24+4</f>
        <v>28</v>
      </c>
      <c r="D6" s="12">
        <v>48</v>
      </c>
      <c r="E6" s="12">
        <f>20+20</f>
        <v>40</v>
      </c>
      <c r="F6" s="12">
        <v>20</v>
      </c>
      <c r="G6" s="12"/>
      <c r="H6" s="9"/>
    </row>
    <row r="7" spans="1:8" ht="92.25" customHeight="1" x14ac:dyDescent="0.3">
      <c r="A7" s="10" t="s">
        <v>12</v>
      </c>
      <c r="B7" s="11">
        <v>10</v>
      </c>
      <c r="C7" s="12">
        <f>12+8</f>
        <v>20</v>
      </c>
      <c r="D7" s="12">
        <v>16</v>
      </c>
      <c r="E7" s="12">
        <f>4+8</f>
        <v>12</v>
      </c>
      <c r="F7" s="12"/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/>
      <c r="C11" s="20">
        <f>C5/4</f>
        <v>6</v>
      </c>
      <c r="D11" s="20">
        <f>D5/16</f>
        <v>2</v>
      </c>
      <c r="E11" s="20">
        <f>E5/4</f>
        <v>2</v>
      </c>
      <c r="F11" s="20"/>
      <c r="G11" s="20"/>
      <c r="H11" s="21">
        <f>SUM(B11:G11)</f>
        <v>10</v>
      </c>
    </row>
    <row r="12" spans="1:8" ht="84" customHeight="1" x14ac:dyDescent="0.3">
      <c r="A12" s="10" t="s">
        <v>11</v>
      </c>
      <c r="B12" s="20">
        <f>B6/10</f>
        <v>1</v>
      </c>
      <c r="C12" s="20">
        <f>C6/4</f>
        <v>7</v>
      </c>
      <c r="D12" s="20">
        <f>D6/16</f>
        <v>3</v>
      </c>
      <c r="E12" s="20">
        <f>E6/4</f>
        <v>10</v>
      </c>
      <c r="F12" s="20">
        <f>F6/20</f>
        <v>1</v>
      </c>
      <c r="G12" s="20"/>
      <c r="H12" s="21">
        <f>SUM(B12:G12)</f>
        <v>22</v>
      </c>
    </row>
    <row r="13" spans="1:8" ht="84" customHeight="1" x14ac:dyDescent="0.3">
      <c r="A13" s="10" t="s">
        <v>12</v>
      </c>
      <c r="B13" s="20">
        <f>B7/10</f>
        <v>1</v>
      </c>
      <c r="C13" s="20">
        <f>C7/4</f>
        <v>5</v>
      </c>
      <c r="D13" s="20">
        <f>D7/16</f>
        <v>1</v>
      </c>
      <c r="E13" s="20">
        <f>E7/4</f>
        <v>3</v>
      </c>
      <c r="F13" s="20"/>
      <c r="G13" s="20"/>
      <c r="H13" s="21">
        <f>SUM(B13:G13)</f>
        <v>10</v>
      </c>
    </row>
  </sheetData>
  <mergeCells count="1">
    <mergeCell ref="A1:A3"/>
  </mergeCells>
  <phoneticPr fontId="3" type="noConversion"/>
  <conditionalFormatting sqref="A5">
    <cfRule type="duplicateValues" dxfId="43" priority="4"/>
  </conditionalFormatting>
  <conditionalFormatting sqref="A6">
    <cfRule type="duplicateValues" dxfId="42" priority="5"/>
  </conditionalFormatting>
  <conditionalFormatting sqref="A7">
    <cfRule type="duplicateValues" dxfId="41" priority="2"/>
  </conditionalFormatting>
  <conditionalFormatting sqref="A11">
    <cfRule type="duplicateValues" dxfId="40" priority="3"/>
  </conditionalFormatting>
  <conditionalFormatting sqref="A12">
    <cfRule type="duplicateValues" dxfId="39" priority="6"/>
  </conditionalFormatting>
  <conditionalFormatting sqref="A13">
    <cfRule type="duplicateValues" dxfId="38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C12" sqref="C12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156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10</v>
      </c>
      <c r="C4" s="8">
        <f t="shared" si="0"/>
        <v>4</v>
      </c>
      <c r="D4" s="8">
        <f t="shared" si="0"/>
        <v>112</v>
      </c>
      <c r="E4" s="8">
        <f t="shared" si="0"/>
        <v>68</v>
      </c>
      <c r="F4" s="8">
        <f>SUM(F5:F7)</f>
        <v>60</v>
      </c>
      <c r="G4" s="8">
        <f t="shared" si="0"/>
        <v>0</v>
      </c>
      <c r="H4" s="9"/>
    </row>
    <row r="5" spans="1:8" ht="92.25" customHeight="1" x14ac:dyDescent="0.3">
      <c r="A5" s="10" t="s">
        <v>10</v>
      </c>
      <c r="B5" s="11"/>
      <c r="C5" s="12"/>
      <c r="D5" s="12">
        <v>48</v>
      </c>
      <c r="E5" s="12">
        <v>32</v>
      </c>
      <c r="F5" s="12">
        <v>40</v>
      </c>
      <c r="G5" s="12"/>
      <c r="H5" s="9"/>
    </row>
    <row r="6" spans="1:8" ht="92.25" customHeight="1" x14ac:dyDescent="0.3">
      <c r="A6" s="10" t="s">
        <v>11</v>
      </c>
      <c r="B6" s="11"/>
      <c r="C6" s="12">
        <v>4</v>
      </c>
      <c r="D6" s="12">
        <v>32</v>
      </c>
      <c r="E6" s="12">
        <v>12</v>
      </c>
      <c r="F6" s="12">
        <v>20</v>
      </c>
      <c r="G6" s="12"/>
      <c r="H6" s="9"/>
    </row>
    <row r="7" spans="1:8" ht="92.25" customHeight="1" x14ac:dyDescent="0.3">
      <c r="A7" s="10" t="s">
        <v>12</v>
      </c>
      <c r="B7" s="11">
        <v>10</v>
      </c>
      <c r="C7" s="12"/>
      <c r="D7" s="12">
        <f>16+16</f>
        <v>32</v>
      </c>
      <c r="E7" s="12">
        <f>12+12</f>
        <v>24</v>
      </c>
      <c r="F7" s="12"/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/>
      <c r="C11" s="20"/>
      <c r="D11" s="20">
        <f>D5/16</f>
        <v>3</v>
      </c>
      <c r="E11" s="20">
        <f>E5/4</f>
        <v>8</v>
      </c>
      <c r="F11" s="20">
        <f>F5/20</f>
        <v>2</v>
      </c>
      <c r="G11" s="20"/>
      <c r="H11" s="21">
        <f>SUM(B11:G11)</f>
        <v>13</v>
      </c>
    </row>
    <row r="12" spans="1:8" ht="84" customHeight="1" x14ac:dyDescent="0.3">
      <c r="A12" s="10" t="s">
        <v>11</v>
      </c>
      <c r="B12" s="20">
        <f>B6/10</f>
        <v>0</v>
      </c>
      <c r="C12" s="20">
        <f>C6/4</f>
        <v>1</v>
      </c>
      <c r="D12" s="20">
        <f>D6/16</f>
        <v>2</v>
      </c>
      <c r="E12" s="20">
        <f>E6/4</f>
        <v>3</v>
      </c>
      <c r="F12" s="20">
        <f>F6/20</f>
        <v>1</v>
      </c>
      <c r="G12" s="20"/>
      <c r="H12" s="21">
        <f>SUM(B12:G12)</f>
        <v>7</v>
      </c>
    </row>
    <row r="13" spans="1:8" ht="84" customHeight="1" x14ac:dyDescent="0.3">
      <c r="A13" s="10" t="s">
        <v>12</v>
      </c>
      <c r="B13" s="20">
        <f>B7/10</f>
        <v>1</v>
      </c>
      <c r="C13" s="20">
        <f>C7/4</f>
        <v>0</v>
      </c>
      <c r="D13" s="20">
        <f>D7/16</f>
        <v>2</v>
      </c>
      <c r="E13" s="20">
        <f>E7/4</f>
        <v>6</v>
      </c>
      <c r="F13" s="20"/>
      <c r="G13" s="20"/>
      <c r="H13" s="21">
        <f>SUM(B13:G13)</f>
        <v>9</v>
      </c>
    </row>
  </sheetData>
  <mergeCells count="1">
    <mergeCell ref="A1:A3"/>
  </mergeCells>
  <phoneticPr fontId="3" type="noConversion"/>
  <conditionalFormatting sqref="A5">
    <cfRule type="duplicateValues" dxfId="37" priority="4"/>
  </conditionalFormatting>
  <conditionalFormatting sqref="A6">
    <cfRule type="duplicateValues" dxfId="36" priority="5"/>
  </conditionalFormatting>
  <conditionalFormatting sqref="A7">
    <cfRule type="duplicateValues" dxfId="35" priority="2"/>
  </conditionalFormatting>
  <conditionalFormatting sqref="A11">
    <cfRule type="duplicateValues" dxfId="34" priority="3"/>
  </conditionalFormatting>
  <conditionalFormatting sqref="A12">
    <cfRule type="duplicateValues" dxfId="33" priority="6"/>
  </conditionalFormatting>
  <conditionalFormatting sqref="A13">
    <cfRule type="duplicateValues" dxfId="32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J33" sqref="J32:J33"/>
    </sheetView>
  </sheetViews>
  <sheetFormatPr defaultColWidth="9" defaultRowHeight="16.5" x14ac:dyDescent="0.3"/>
  <cols>
    <col min="1" max="1" width="32.625" style="4" customWidth="1"/>
    <col min="2" max="3" width="10.875" style="4" customWidth="1"/>
    <col min="4" max="4" width="18.625" style="4" customWidth="1"/>
    <col min="5" max="9" width="10.875" style="4" customWidth="1"/>
    <col min="10" max="10" width="18.625" style="4" customWidth="1"/>
    <col min="11" max="12" width="10.875" style="39" customWidth="1"/>
    <col min="13" max="13" width="20.5" style="4" customWidth="1"/>
    <col min="14" max="14" width="20.5" style="39" customWidth="1"/>
    <col min="15" max="15" width="20.5" style="4" customWidth="1"/>
    <col min="16" max="16" width="20.5" style="39" customWidth="1"/>
    <col min="17" max="17" width="20.5" style="4" customWidth="1"/>
    <col min="18" max="18" width="20.5" style="39" customWidth="1"/>
    <col min="19" max="19" width="20.5" style="4" customWidth="1"/>
    <col min="20" max="20" width="20.5" style="39" customWidth="1"/>
    <col min="21" max="16384" width="9" style="4"/>
  </cols>
  <sheetData>
    <row r="1" spans="1:20" ht="144" customHeight="1" x14ac:dyDescent="0.3">
      <c r="A1" s="22" t="s">
        <v>152</v>
      </c>
      <c r="B1" s="111" t="s">
        <v>21</v>
      </c>
      <c r="C1" s="112"/>
      <c r="D1" s="57" t="s">
        <v>20</v>
      </c>
      <c r="E1" s="109" t="s">
        <v>23</v>
      </c>
      <c r="F1" s="110"/>
      <c r="G1" s="107" t="s">
        <v>71</v>
      </c>
      <c r="H1" s="113"/>
      <c r="I1" s="108"/>
      <c r="J1" s="52" t="s">
        <v>76</v>
      </c>
      <c r="K1" s="107" t="s">
        <v>135</v>
      </c>
      <c r="L1" s="108"/>
      <c r="M1" s="52" t="s">
        <v>136</v>
      </c>
      <c r="N1" s="51" t="s">
        <v>137</v>
      </c>
      <c r="O1" s="52" t="s">
        <v>78</v>
      </c>
      <c r="P1" s="55" t="s">
        <v>192</v>
      </c>
      <c r="Q1" s="52" t="s">
        <v>142</v>
      </c>
      <c r="R1" s="55" t="s">
        <v>191</v>
      </c>
      <c r="S1" s="52" t="s">
        <v>144</v>
      </c>
      <c r="T1" s="57" t="s">
        <v>199</v>
      </c>
    </row>
    <row r="2" spans="1:20" ht="45" customHeight="1" x14ac:dyDescent="0.3">
      <c r="A2" s="24" t="s">
        <v>25</v>
      </c>
      <c r="B2" s="25"/>
      <c r="C2" s="25"/>
      <c r="D2" s="57"/>
      <c r="E2" s="45"/>
      <c r="F2" s="45"/>
      <c r="G2" s="26"/>
      <c r="H2" s="26"/>
      <c r="I2" s="56" t="s">
        <v>195</v>
      </c>
      <c r="J2" s="25"/>
      <c r="K2" s="27"/>
      <c r="L2" s="56" t="s">
        <v>195</v>
      </c>
      <c r="M2" s="25"/>
      <c r="N2" s="27"/>
      <c r="O2" s="25"/>
      <c r="P2" s="27"/>
      <c r="Q2" s="25"/>
      <c r="R2" s="27"/>
      <c r="S2" s="25"/>
      <c r="T2" s="27"/>
    </row>
    <row r="3" spans="1:20" ht="38.25" customHeight="1" x14ac:dyDescent="0.3">
      <c r="A3" s="28" t="s">
        <v>92</v>
      </c>
      <c r="B3" s="30" t="s">
        <v>30</v>
      </c>
      <c r="C3" s="30" t="s">
        <v>28</v>
      </c>
      <c r="D3" s="29" t="s">
        <v>28</v>
      </c>
      <c r="E3" s="31" t="s">
        <v>27</v>
      </c>
      <c r="F3" s="31" t="s">
        <v>28</v>
      </c>
      <c r="G3" s="29" t="s">
        <v>30</v>
      </c>
      <c r="H3" s="29" t="s">
        <v>29</v>
      </c>
      <c r="I3" s="29" t="s">
        <v>194</v>
      </c>
      <c r="J3" s="30" t="s">
        <v>82</v>
      </c>
      <c r="K3" s="29" t="s">
        <v>82</v>
      </c>
      <c r="L3" s="29" t="s">
        <v>30</v>
      </c>
      <c r="M3" s="30" t="s">
        <v>82</v>
      </c>
      <c r="N3" s="29" t="s">
        <v>30</v>
      </c>
      <c r="O3" s="30" t="s">
        <v>30</v>
      </c>
      <c r="P3" s="29" t="s">
        <v>30</v>
      </c>
      <c r="Q3" s="30" t="s">
        <v>30</v>
      </c>
      <c r="R3" s="29" t="s">
        <v>30</v>
      </c>
      <c r="S3" s="30" t="s">
        <v>30</v>
      </c>
      <c r="T3" s="29" t="s">
        <v>148</v>
      </c>
    </row>
    <row r="4" spans="1:20" ht="38.25" customHeight="1" x14ac:dyDescent="0.3">
      <c r="A4" s="32" t="s">
        <v>31</v>
      </c>
      <c r="B4" s="33">
        <f t="shared" ref="B4:T4" si="0">SUM(B5:B7)</f>
        <v>0</v>
      </c>
      <c r="C4" s="33">
        <f t="shared" si="0"/>
        <v>0</v>
      </c>
      <c r="D4" s="33">
        <f t="shared" ref="D4:F4" si="1">SUM(D5:D7)</f>
        <v>0</v>
      </c>
      <c r="E4" s="33">
        <f t="shared" si="1"/>
        <v>0</v>
      </c>
      <c r="F4" s="33">
        <f t="shared" si="1"/>
        <v>0</v>
      </c>
      <c r="G4" s="33">
        <f t="shared" si="0"/>
        <v>64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16</v>
      </c>
      <c r="L4" s="33">
        <f t="shared" ref="L4" si="2">SUM(L5:L7)</f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3">
        <f t="shared" si="0"/>
        <v>0</v>
      </c>
      <c r="Q4" s="33">
        <f t="shared" si="0"/>
        <v>0</v>
      </c>
      <c r="R4" s="33">
        <f t="shared" si="0"/>
        <v>0</v>
      </c>
      <c r="S4" s="33">
        <f t="shared" si="0"/>
        <v>0</v>
      </c>
      <c r="T4" s="33">
        <f t="shared" si="0"/>
        <v>0</v>
      </c>
    </row>
    <row r="5" spans="1:20" ht="27" customHeight="1" x14ac:dyDescent="0.5">
      <c r="A5" s="34" t="s">
        <v>153</v>
      </c>
      <c r="B5" s="36"/>
      <c r="C5" s="36"/>
      <c r="D5" s="35"/>
      <c r="E5" s="38"/>
      <c r="F5" s="38"/>
      <c r="G5" s="37">
        <v>16</v>
      </c>
      <c r="H5" s="37"/>
      <c r="I5" s="37"/>
      <c r="J5" s="36"/>
      <c r="K5" s="35"/>
      <c r="L5" s="35"/>
      <c r="M5" s="36"/>
      <c r="N5" s="35"/>
      <c r="O5" s="36"/>
      <c r="P5" s="35"/>
      <c r="Q5" s="36"/>
      <c r="R5" s="35"/>
      <c r="S5" s="36"/>
      <c r="T5" s="35"/>
    </row>
    <row r="6" spans="1:20" ht="27" customHeight="1" x14ac:dyDescent="0.5">
      <c r="A6" s="34" t="s">
        <v>154</v>
      </c>
      <c r="B6" s="36"/>
      <c r="C6" s="36"/>
      <c r="D6" s="35"/>
      <c r="E6" s="38"/>
      <c r="F6" s="38"/>
      <c r="G6" s="37">
        <v>32</v>
      </c>
      <c r="H6" s="37"/>
      <c r="I6" s="37"/>
      <c r="J6" s="36"/>
      <c r="K6" s="35">
        <v>16</v>
      </c>
      <c r="L6" s="35"/>
      <c r="M6" s="36"/>
      <c r="N6" s="35"/>
      <c r="O6" s="36"/>
      <c r="P6" s="35"/>
      <c r="Q6" s="36"/>
      <c r="R6" s="35"/>
      <c r="S6" s="36"/>
      <c r="T6" s="35"/>
    </row>
    <row r="7" spans="1:20" ht="27" customHeight="1" x14ac:dyDescent="0.5">
      <c r="A7" s="34" t="s">
        <v>155</v>
      </c>
      <c r="B7" s="36"/>
      <c r="C7" s="36"/>
      <c r="D7" s="35"/>
      <c r="E7" s="38"/>
      <c r="F7" s="38"/>
      <c r="G7" s="37">
        <v>16</v>
      </c>
      <c r="H7" s="37"/>
      <c r="I7" s="37"/>
      <c r="J7" s="36"/>
      <c r="K7" s="35"/>
      <c r="L7" s="35"/>
      <c r="M7" s="36"/>
      <c r="N7" s="35"/>
      <c r="O7" s="36"/>
      <c r="P7" s="35"/>
      <c r="Q7" s="36"/>
      <c r="R7" s="35"/>
      <c r="S7" s="36"/>
      <c r="T7" s="35"/>
    </row>
    <row r="8" spans="1:20" ht="38.25" customHeight="1" x14ac:dyDescent="0.3">
      <c r="A8" s="53" t="s">
        <v>31</v>
      </c>
      <c r="B8" s="54">
        <f t="shared" ref="B8:T8" si="3">SUM(B9:B54)</f>
        <v>1</v>
      </c>
      <c r="C8" s="54">
        <f t="shared" si="3"/>
        <v>1</v>
      </c>
      <c r="D8" s="54">
        <f t="shared" ref="D8:F8" si="4">SUM(D9:D54)</f>
        <v>9</v>
      </c>
      <c r="E8" s="54">
        <f t="shared" si="4"/>
        <v>6</v>
      </c>
      <c r="F8" s="54">
        <f t="shared" si="4"/>
        <v>49</v>
      </c>
      <c r="G8" s="54">
        <f t="shared" si="3"/>
        <v>0</v>
      </c>
      <c r="H8" s="54">
        <f t="shared" si="3"/>
        <v>1</v>
      </c>
      <c r="I8" s="54">
        <f t="shared" si="3"/>
        <v>2</v>
      </c>
      <c r="J8" s="54">
        <f t="shared" si="3"/>
        <v>5</v>
      </c>
      <c r="K8" s="54">
        <f t="shared" si="3"/>
        <v>0</v>
      </c>
      <c r="L8" s="54">
        <f t="shared" si="3"/>
        <v>2</v>
      </c>
      <c r="M8" s="54">
        <f t="shared" si="3"/>
        <v>2</v>
      </c>
      <c r="N8" s="54">
        <f t="shared" si="3"/>
        <v>7</v>
      </c>
      <c r="O8" s="54">
        <f t="shared" si="3"/>
        <v>5</v>
      </c>
      <c r="P8" s="54">
        <f t="shared" si="3"/>
        <v>1</v>
      </c>
      <c r="Q8" s="54">
        <f t="shared" si="3"/>
        <v>4</v>
      </c>
      <c r="R8" s="54">
        <f t="shared" si="3"/>
        <v>3</v>
      </c>
      <c r="S8" s="54">
        <f t="shared" si="3"/>
        <v>1</v>
      </c>
      <c r="T8" s="54">
        <f t="shared" si="3"/>
        <v>20</v>
      </c>
    </row>
    <row r="9" spans="1:20" ht="27" customHeight="1" x14ac:dyDescent="0.5">
      <c r="A9" s="34" t="s">
        <v>157</v>
      </c>
      <c r="B9" s="36"/>
      <c r="C9" s="36"/>
      <c r="D9" s="35"/>
      <c r="E9" s="38"/>
      <c r="F9" s="38">
        <v>20</v>
      </c>
      <c r="G9" s="37"/>
      <c r="H9" s="37"/>
      <c r="I9" s="37"/>
      <c r="J9" s="36"/>
      <c r="K9" s="35"/>
      <c r="L9" s="35"/>
      <c r="M9" s="36"/>
      <c r="N9" s="35"/>
      <c r="O9" s="36"/>
      <c r="P9" s="35"/>
      <c r="Q9" s="36"/>
      <c r="R9" s="35"/>
      <c r="S9" s="36"/>
      <c r="T9" s="35"/>
    </row>
    <row r="10" spans="1:20" ht="27" customHeight="1" x14ac:dyDescent="0.5">
      <c r="A10" s="34" t="s">
        <v>158</v>
      </c>
      <c r="B10" s="36"/>
      <c r="C10" s="36"/>
      <c r="D10" s="35"/>
      <c r="E10" s="38"/>
      <c r="F10" s="38">
        <v>16</v>
      </c>
      <c r="G10" s="37"/>
      <c r="H10" s="37"/>
      <c r="I10" s="37"/>
      <c r="J10" s="36"/>
      <c r="K10" s="35"/>
      <c r="L10" s="35"/>
      <c r="M10" s="36"/>
      <c r="N10" s="35"/>
      <c r="O10" s="36"/>
      <c r="P10" s="35"/>
      <c r="Q10" s="36"/>
      <c r="R10" s="35"/>
      <c r="S10" s="36"/>
      <c r="T10" s="35"/>
    </row>
    <row r="11" spans="1:20" ht="27" customHeight="1" x14ac:dyDescent="0.5">
      <c r="A11" s="34" t="s">
        <v>159</v>
      </c>
      <c r="B11" s="36"/>
      <c r="C11" s="36"/>
      <c r="D11" s="35">
        <v>1</v>
      </c>
      <c r="E11" s="38"/>
      <c r="F11" s="38"/>
      <c r="G11" s="37"/>
      <c r="H11" s="37"/>
      <c r="I11" s="37"/>
      <c r="J11" s="36"/>
      <c r="K11" s="35"/>
      <c r="L11" s="35"/>
      <c r="M11" s="36"/>
      <c r="N11" s="35"/>
      <c r="O11" s="36"/>
      <c r="P11" s="35"/>
      <c r="Q11" s="36"/>
      <c r="R11" s="35"/>
      <c r="S11" s="36"/>
      <c r="T11" s="35"/>
    </row>
    <row r="12" spans="1:20" ht="27" customHeight="1" x14ac:dyDescent="0.5">
      <c r="A12" s="34" t="s">
        <v>160</v>
      </c>
      <c r="B12" s="36"/>
      <c r="C12" s="36"/>
      <c r="D12" s="35">
        <v>2</v>
      </c>
      <c r="E12" s="38"/>
      <c r="F12" s="38"/>
      <c r="G12" s="37"/>
      <c r="H12" s="37"/>
      <c r="I12" s="37"/>
      <c r="J12" s="36"/>
      <c r="K12" s="35"/>
      <c r="L12" s="35"/>
      <c r="M12" s="36"/>
      <c r="N12" s="35"/>
      <c r="O12" s="36"/>
      <c r="P12" s="35"/>
      <c r="Q12" s="36"/>
      <c r="R12" s="35"/>
      <c r="S12" s="36"/>
      <c r="T12" s="35"/>
    </row>
    <row r="13" spans="1:20" ht="27" customHeight="1" x14ac:dyDescent="0.5">
      <c r="A13" s="34" t="s">
        <v>161</v>
      </c>
      <c r="B13" s="36"/>
      <c r="C13" s="36"/>
      <c r="D13" s="35">
        <v>1</v>
      </c>
      <c r="E13" s="38"/>
      <c r="F13" s="38"/>
      <c r="G13" s="37"/>
      <c r="H13" s="37"/>
      <c r="I13" s="37"/>
      <c r="J13" s="36"/>
      <c r="K13" s="35"/>
      <c r="L13" s="35"/>
      <c r="M13" s="36"/>
      <c r="N13" s="35"/>
      <c r="O13" s="36"/>
      <c r="P13" s="35"/>
      <c r="Q13" s="36"/>
      <c r="R13" s="35"/>
      <c r="S13" s="36"/>
      <c r="T13" s="35"/>
    </row>
    <row r="14" spans="1:20" ht="27" customHeight="1" x14ac:dyDescent="0.5">
      <c r="A14" s="34" t="s">
        <v>162</v>
      </c>
      <c r="B14" s="36"/>
      <c r="C14" s="36"/>
      <c r="D14" s="35">
        <v>2</v>
      </c>
      <c r="E14" s="38"/>
      <c r="F14" s="38"/>
      <c r="G14" s="37"/>
      <c r="H14" s="37"/>
      <c r="I14" s="37"/>
      <c r="J14" s="36"/>
      <c r="K14" s="35"/>
      <c r="L14" s="35"/>
      <c r="M14" s="36"/>
      <c r="N14" s="35"/>
      <c r="O14" s="36"/>
      <c r="P14" s="35"/>
      <c r="Q14" s="36"/>
      <c r="R14" s="35"/>
      <c r="S14" s="36"/>
      <c r="T14" s="35"/>
    </row>
    <row r="15" spans="1:20" ht="27" customHeight="1" x14ac:dyDescent="0.5">
      <c r="A15" s="34" t="s">
        <v>163</v>
      </c>
      <c r="B15" s="36"/>
      <c r="C15" s="36"/>
      <c r="D15" s="35"/>
      <c r="E15" s="38"/>
      <c r="F15" s="38">
        <v>1</v>
      </c>
      <c r="G15" s="37"/>
      <c r="H15" s="37"/>
      <c r="I15" s="37"/>
      <c r="J15" s="36"/>
      <c r="K15" s="35"/>
      <c r="L15" s="35"/>
      <c r="M15" s="36"/>
      <c r="N15" s="35"/>
      <c r="O15" s="36"/>
      <c r="P15" s="35"/>
      <c r="Q15" s="36"/>
      <c r="R15" s="35"/>
      <c r="S15" s="36"/>
      <c r="T15" s="35"/>
    </row>
    <row r="16" spans="1:20" ht="27" customHeight="1" x14ac:dyDescent="0.5">
      <c r="A16" s="34" t="s">
        <v>165</v>
      </c>
      <c r="B16" s="36"/>
      <c r="C16" s="36"/>
      <c r="D16" s="35"/>
      <c r="E16" s="38"/>
      <c r="F16" s="38"/>
      <c r="G16" s="37"/>
      <c r="H16" s="37"/>
      <c r="I16" s="37"/>
      <c r="J16" s="36"/>
      <c r="K16" s="35"/>
      <c r="L16" s="35"/>
      <c r="M16" s="36"/>
      <c r="N16" s="35"/>
      <c r="O16" s="36">
        <v>1</v>
      </c>
      <c r="P16" s="35"/>
      <c r="Q16" s="36"/>
      <c r="R16" s="35"/>
      <c r="S16" s="36"/>
      <c r="T16" s="35"/>
    </row>
    <row r="17" spans="1:20" ht="27" customHeight="1" x14ac:dyDescent="0.5">
      <c r="A17" s="34" t="s">
        <v>164</v>
      </c>
      <c r="B17" s="36"/>
      <c r="C17" s="36"/>
      <c r="D17" s="35"/>
      <c r="E17" s="38"/>
      <c r="F17" s="38">
        <v>1</v>
      </c>
      <c r="G17" s="37"/>
      <c r="H17" s="37"/>
      <c r="I17" s="37"/>
      <c r="J17" s="36"/>
      <c r="K17" s="35"/>
      <c r="L17" s="35"/>
      <c r="M17" s="36"/>
      <c r="N17" s="35"/>
      <c r="O17" s="36"/>
      <c r="P17" s="35"/>
      <c r="Q17" s="36"/>
      <c r="R17" s="35"/>
      <c r="S17" s="36"/>
      <c r="T17" s="35"/>
    </row>
    <row r="18" spans="1:20" ht="27" customHeight="1" x14ac:dyDescent="0.5">
      <c r="A18" s="34" t="s">
        <v>166</v>
      </c>
      <c r="B18" s="36"/>
      <c r="C18" s="36"/>
      <c r="D18" s="35"/>
      <c r="E18" s="38"/>
      <c r="F18" s="38">
        <v>1</v>
      </c>
      <c r="G18" s="37"/>
      <c r="H18" s="37"/>
      <c r="I18" s="37"/>
      <c r="J18" s="36"/>
      <c r="K18" s="35"/>
      <c r="L18" s="35"/>
      <c r="M18" s="36"/>
      <c r="N18" s="35"/>
      <c r="O18" s="36"/>
      <c r="P18" s="35"/>
      <c r="Q18" s="36"/>
      <c r="R18" s="35"/>
      <c r="S18" s="36"/>
      <c r="T18" s="35">
        <v>1</v>
      </c>
    </row>
    <row r="19" spans="1:20" ht="27" customHeight="1" x14ac:dyDescent="0.5">
      <c r="A19" s="34" t="s">
        <v>167</v>
      </c>
      <c r="B19" s="36"/>
      <c r="C19" s="36"/>
      <c r="D19" s="35"/>
      <c r="E19" s="38">
        <v>1</v>
      </c>
      <c r="F19" s="38"/>
      <c r="G19" s="37"/>
      <c r="H19" s="37"/>
      <c r="I19" s="37"/>
      <c r="J19" s="36"/>
      <c r="K19" s="35"/>
      <c r="L19" s="35"/>
      <c r="M19" s="36"/>
      <c r="N19" s="35"/>
      <c r="O19" s="36"/>
      <c r="P19" s="35"/>
      <c r="Q19" s="36"/>
      <c r="R19" s="35"/>
      <c r="S19" s="36"/>
      <c r="T19" s="35"/>
    </row>
    <row r="20" spans="1:20" ht="27" customHeight="1" x14ac:dyDescent="0.5">
      <c r="A20" s="34" t="s">
        <v>168</v>
      </c>
      <c r="B20" s="36"/>
      <c r="C20" s="36"/>
      <c r="D20" s="35"/>
      <c r="E20" s="38"/>
      <c r="F20" s="38">
        <v>1</v>
      </c>
      <c r="G20" s="37"/>
      <c r="H20" s="37"/>
      <c r="I20" s="37"/>
      <c r="J20" s="36"/>
      <c r="K20" s="35"/>
      <c r="L20" s="35"/>
      <c r="M20" s="36"/>
      <c r="N20" s="35"/>
      <c r="O20" s="36"/>
      <c r="P20" s="35"/>
      <c r="Q20" s="36"/>
      <c r="R20" s="35"/>
      <c r="S20" s="36"/>
      <c r="T20" s="35">
        <v>1</v>
      </c>
    </row>
    <row r="21" spans="1:20" ht="27" customHeight="1" x14ac:dyDescent="0.5">
      <c r="A21" s="34" t="s">
        <v>169</v>
      </c>
      <c r="B21" s="36"/>
      <c r="C21" s="36"/>
      <c r="D21" s="35"/>
      <c r="E21" s="38"/>
      <c r="F21" s="38"/>
      <c r="G21" s="37"/>
      <c r="H21" s="37"/>
      <c r="I21" s="37"/>
      <c r="J21" s="36"/>
      <c r="K21" s="35"/>
      <c r="L21" s="35"/>
      <c r="M21" s="36"/>
      <c r="N21" s="35">
        <v>2</v>
      </c>
      <c r="O21" s="36"/>
      <c r="P21" s="35"/>
      <c r="Q21" s="36"/>
      <c r="R21" s="35"/>
      <c r="S21" s="36"/>
      <c r="T21" s="35"/>
    </row>
    <row r="22" spans="1:20" ht="27" customHeight="1" x14ac:dyDescent="0.5">
      <c r="A22" s="34" t="s">
        <v>170</v>
      </c>
      <c r="B22" s="36"/>
      <c r="C22" s="36"/>
      <c r="D22" s="35"/>
      <c r="E22" s="38"/>
      <c r="F22" s="38">
        <v>1</v>
      </c>
      <c r="G22" s="37"/>
      <c r="H22" s="37"/>
      <c r="I22" s="37"/>
      <c r="J22" s="36"/>
      <c r="K22" s="35"/>
      <c r="L22" s="35"/>
      <c r="M22" s="36"/>
      <c r="N22" s="35"/>
      <c r="O22" s="36"/>
      <c r="P22" s="35"/>
      <c r="Q22" s="36"/>
      <c r="R22" s="35"/>
      <c r="S22" s="36"/>
      <c r="T22" s="35">
        <v>1</v>
      </c>
    </row>
    <row r="23" spans="1:20" ht="27" customHeight="1" x14ac:dyDescent="0.5">
      <c r="A23" s="34" t="s">
        <v>171</v>
      </c>
      <c r="B23" s="36"/>
      <c r="C23" s="36"/>
      <c r="D23" s="35"/>
      <c r="E23" s="38"/>
      <c r="F23" s="38"/>
      <c r="G23" s="37"/>
      <c r="H23" s="37"/>
      <c r="I23" s="37"/>
      <c r="J23" s="36">
        <v>1</v>
      </c>
      <c r="K23" s="35"/>
      <c r="L23" s="35"/>
      <c r="M23" s="36"/>
      <c r="N23" s="35"/>
      <c r="O23" s="36">
        <v>2</v>
      </c>
      <c r="P23" s="35"/>
      <c r="Q23" s="36">
        <v>2</v>
      </c>
      <c r="R23" s="35"/>
      <c r="S23" s="36">
        <v>1</v>
      </c>
      <c r="T23" s="35">
        <v>1</v>
      </c>
    </row>
    <row r="24" spans="1:20" ht="27" customHeight="1" x14ac:dyDescent="0.5">
      <c r="A24" s="34" t="s">
        <v>172</v>
      </c>
      <c r="B24" s="36"/>
      <c r="C24" s="36"/>
      <c r="D24" s="35"/>
      <c r="E24" s="38"/>
      <c r="F24" s="38"/>
      <c r="G24" s="37"/>
      <c r="H24" s="37">
        <v>1</v>
      </c>
      <c r="I24" s="37"/>
      <c r="J24" s="36"/>
      <c r="K24" s="35"/>
      <c r="L24" s="35"/>
      <c r="M24" s="36"/>
      <c r="N24" s="35"/>
      <c r="O24" s="36"/>
      <c r="P24" s="35"/>
      <c r="Q24" s="36"/>
      <c r="R24" s="35"/>
      <c r="S24" s="36"/>
      <c r="T24" s="35">
        <v>1</v>
      </c>
    </row>
    <row r="25" spans="1:20" ht="27" customHeight="1" x14ac:dyDescent="0.5">
      <c r="A25" s="34" t="s">
        <v>173</v>
      </c>
      <c r="B25" s="36"/>
      <c r="C25" s="36"/>
      <c r="D25" s="35"/>
      <c r="E25" s="38">
        <v>1</v>
      </c>
      <c r="F25" s="38"/>
      <c r="G25" s="37"/>
      <c r="H25" s="37"/>
      <c r="I25" s="37"/>
      <c r="J25" s="36"/>
      <c r="K25" s="35"/>
      <c r="L25" s="35"/>
      <c r="M25" s="36"/>
      <c r="N25" s="35"/>
      <c r="O25" s="36">
        <v>1</v>
      </c>
      <c r="P25" s="35"/>
      <c r="Q25" s="36"/>
      <c r="R25" s="35"/>
      <c r="S25" s="36"/>
      <c r="T25" s="35">
        <v>1</v>
      </c>
    </row>
    <row r="26" spans="1:20" ht="27" customHeight="1" x14ac:dyDescent="0.5">
      <c r="A26" s="34" t="s">
        <v>174</v>
      </c>
      <c r="B26" s="36"/>
      <c r="C26" s="36"/>
      <c r="D26" s="35">
        <v>1</v>
      </c>
      <c r="E26" s="38"/>
      <c r="F26" s="38"/>
      <c r="G26" s="37"/>
      <c r="H26" s="37"/>
      <c r="I26" s="37"/>
      <c r="J26" s="36"/>
      <c r="K26" s="35"/>
      <c r="L26" s="35"/>
      <c r="M26" s="36"/>
      <c r="N26" s="35"/>
      <c r="O26" s="36"/>
      <c r="P26" s="35"/>
      <c r="Q26" s="36"/>
      <c r="R26" s="35"/>
      <c r="S26" s="36"/>
      <c r="T26" s="35">
        <v>1</v>
      </c>
    </row>
    <row r="27" spans="1:20" ht="27" customHeight="1" x14ac:dyDescent="0.5">
      <c r="A27" s="34" t="s">
        <v>175</v>
      </c>
      <c r="B27" s="36"/>
      <c r="C27" s="36"/>
      <c r="D27" s="35"/>
      <c r="E27" s="38"/>
      <c r="F27" s="38"/>
      <c r="G27" s="37"/>
      <c r="H27" s="37"/>
      <c r="I27" s="37"/>
      <c r="J27" s="36">
        <v>1</v>
      </c>
      <c r="K27" s="35"/>
      <c r="L27" s="35"/>
      <c r="M27" s="36">
        <v>2</v>
      </c>
      <c r="N27" s="35"/>
      <c r="O27" s="36"/>
      <c r="P27" s="35"/>
      <c r="Q27" s="36"/>
      <c r="R27" s="35">
        <v>1</v>
      </c>
      <c r="S27" s="36"/>
      <c r="T27" s="35">
        <v>1</v>
      </c>
    </row>
    <row r="28" spans="1:20" ht="27" customHeight="1" x14ac:dyDescent="0.5">
      <c r="A28" s="34" t="s">
        <v>176</v>
      </c>
      <c r="B28" s="36"/>
      <c r="C28" s="36"/>
      <c r="D28" s="35"/>
      <c r="E28" s="38"/>
      <c r="F28" s="38"/>
      <c r="G28" s="37"/>
      <c r="H28" s="37"/>
      <c r="I28" s="37"/>
      <c r="J28" s="36">
        <v>1</v>
      </c>
      <c r="K28" s="35"/>
      <c r="L28" s="35"/>
      <c r="M28" s="36"/>
      <c r="N28" s="35"/>
      <c r="O28" s="36"/>
      <c r="P28" s="35"/>
      <c r="Q28" s="36"/>
      <c r="R28" s="35"/>
      <c r="S28" s="36"/>
      <c r="T28" s="35"/>
    </row>
    <row r="29" spans="1:20" ht="27" customHeight="1" x14ac:dyDescent="0.5">
      <c r="A29" s="34" t="s">
        <v>177</v>
      </c>
      <c r="B29" s="36"/>
      <c r="C29" s="36"/>
      <c r="D29" s="35"/>
      <c r="E29" s="38">
        <v>1</v>
      </c>
      <c r="F29" s="38"/>
      <c r="G29" s="37"/>
      <c r="H29" s="37"/>
      <c r="I29" s="37"/>
      <c r="J29" s="36"/>
      <c r="K29" s="35"/>
      <c r="L29" s="35"/>
      <c r="M29" s="36"/>
      <c r="N29" s="35"/>
      <c r="O29" s="36"/>
      <c r="P29" s="35"/>
      <c r="Q29" s="36"/>
      <c r="R29" s="35"/>
      <c r="S29" s="36"/>
      <c r="T29" s="35"/>
    </row>
    <row r="30" spans="1:20" ht="27" customHeight="1" x14ac:dyDescent="0.5">
      <c r="A30" s="34" t="s">
        <v>178</v>
      </c>
      <c r="B30" s="36"/>
      <c r="C30" s="36"/>
      <c r="D30" s="35"/>
      <c r="E30" s="38"/>
      <c r="F30" s="38"/>
      <c r="G30" s="37"/>
      <c r="H30" s="37"/>
      <c r="I30" s="37"/>
      <c r="J30" s="36">
        <v>2</v>
      </c>
      <c r="K30" s="35"/>
      <c r="L30" s="35"/>
      <c r="M30" s="36"/>
      <c r="N30" s="35"/>
      <c r="O30" s="36"/>
      <c r="P30" s="35"/>
      <c r="Q30" s="36">
        <v>2</v>
      </c>
      <c r="R30" s="35"/>
      <c r="S30" s="36"/>
      <c r="T30" s="35">
        <v>1</v>
      </c>
    </row>
    <row r="31" spans="1:20" ht="27" customHeight="1" x14ac:dyDescent="0.5">
      <c r="A31" s="34" t="s">
        <v>179</v>
      </c>
      <c r="B31" s="36"/>
      <c r="C31" s="36"/>
      <c r="D31" s="35"/>
      <c r="E31" s="38"/>
      <c r="F31" s="38"/>
      <c r="G31" s="37"/>
      <c r="H31" s="37"/>
      <c r="I31" s="37"/>
      <c r="J31" s="36"/>
      <c r="K31" s="35"/>
      <c r="L31" s="35"/>
      <c r="M31" s="36"/>
      <c r="N31" s="35"/>
      <c r="O31" s="36">
        <v>1</v>
      </c>
      <c r="P31" s="35"/>
      <c r="Q31" s="36"/>
      <c r="R31" s="35"/>
      <c r="S31" s="36"/>
      <c r="T31" s="35"/>
    </row>
    <row r="32" spans="1:20" ht="27" customHeight="1" x14ac:dyDescent="0.5">
      <c r="A32" s="34" t="s">
        <v>180</v>
      </c>
      <c r="B32" s="36"/>
      <c r="C32" s="36"/>
      <c r="D32" s="35"/>
      <c r="E32" s="38"/>
      <c r="F32" s="38">
        <v>1</v>
      </c>
      <c r="G32" s="37"/>
      <c r="H32" s="37"/>
      <c r="I32" s="37"/>
      <c r="J32" s="36"/>
      <c r="K32" s="35"/>
      <c r="L32" s="35"/>
      <c r="M32" s="36"/>
      <c r="N32" s="35"/>
      <c r="O32" s="36"/>
      <c r="P32" s="35"/>
      <c r="Q32" s="36"/>
      <c r="R32" s="35"/>
      <c r="S32" s="36"/>
      <c r="T32" s="35">
        <v>1</v>
      </c>
    </row>
    <row r="33" spans="1:20" ht="27" customHeight="1" x14ac:dyDescent="0.5">
      <c r="A33" s="34" t="s">
        <v>181</v>
      </c>
      <c r="B33" s="36"/>
      <c r="C33" s="36"/>
      <c r="D33" s="35"/>
      <c r="E33" s="38"/>
      <c r="F33" s="38"/>
      <c r="G33" s="37"/>
      <c r="H33" s="37"/>
      <c r="I33" s="37"/>
      <c r="J33" s="36"/>
      <c r="K33" s="35"/>
      <c r="L33" s="35"/>
      <c r="M33" s="36"/>
      <c r="N33" s="35">
        <v>5</v>
      </c>
      <c r="O33" s="36"/>
      <c r="P33" s="35"/>
      <c r="Q33" s="36"/>
      <c r="R33" s="35"/>
      <c r="S33" s="36"/>
      <c r="T33" s="35">
        <v>1</v>
      </c>
    </row>
    <row r="34" spans="1:20" ht="27" customHeight="1" x14ac:dyDescent="0.5">
      <c r="A34" s="34" t="s">
        <v>182</v>
      </c>
      <c r="B34" s="36"/>
      <c r="C34" s="36">
        <v>1</v>
      </c>
      <c r="D34" s="35"/>
      <c r="E34" s="38"/>
      <c r="F34" s="38"/>
      <c r="G34" s="37"/>
      <c r="H34" s="37"/>
      <c r="I34" s="37"/>
      <c r="J34" s="36"/>
      <c r="K34" s="35"/>
      <c r="L34" s="35"/>
      <c r="M34" s="36"/>
      <c r="N34" s="35"/>
      <c r="O34" s="36"/>
      <c r="P34" s="35"/>
      <c r="Q34" s="36"/>
      <c r="R34" s="35"/>
      <c r="S34" s="36"/>
      <c r="T34" s="35">
        <v>1</v>
      </c>
    </row>
    <row r="35" spans="1:20" ht="27" customHeight="1" x14ac:dyDescent="0.5">
      <c r="A35" s="34" t="s">
        <v>183</v>
      </c>
      <c r="B35" s="36"/>
      <c r="C35" s="36"/>
      <c r="D35" s="35"/>
      <c r="E35" s="38"/>
      <c r="F35" s="38"/>
      <c r="G35" s="37"/>
      <c r="H35" s="37"/>
      <c r="I35" s="37"/>
      <c r="J35" s="36"/>
      <c r="K35" s="35"/>
      <c r="L35" s="35"/>
      <c r="M35" s="36"/>
      <c r="N35" s="35"/>
      <c r="O35" s="36"/>
      <c r="P35" s="35"/>
      <c r="Q35" s="36"/>
      <c r="R35" s="35">
        <v>2</v>
      </c>
      <c r="S35" s="36"/>
      <c r="T35" s="35">
        <v>1</v>
      </c>
    </row>
    <row r="36" spans="1:20" ht="27" customHeight="1" x14ac:dyDescent="0.5">
      <c r="A36" s="34" t="s">
        <v>184</v>
      </c>
      <c r="B36" s="36"/>
      <c r="C36" s="36"/>
      <c r="D36" s="35"/>
      <c r="E36" s="38"/>
      <c r="F36" s="38">
        <v>1</v>
      </c>
      <c r="G36" s="37"/>
      <c r="H36" s="37"/>
      <c r="I36" s="37"/>
      <c r="J36" s="36"/>
      <c r="K36" s="35"/>
      <c r="L36" s="35"/>
      <c r="M36" s="36"/>
      <c r="N36" s="35"/>
      <c r="O36" s="36"/>
      <c r="P36" s="35"/>
      <c r="Q36" s="36"/>
      <c r="R36" s="35"/>
      <c r="S36" s="36"/>
      <c r="T36" s="35">
        <v>1</v>
      </c>
    </row>
    <row r="37" spans="1:20" ht="27" customHeight="1" x14ac:dyDescent="0.5">
      <c r="A37" s="34" t="s">
        <v>185</v>
      </c>
      <c r="B37" s="36"/>
      <c r="C37" s="36"/>
      <c r="D37" s="35"/>
      <c r="E37" s="38"/>
      <c r="F37" s="38">
        <v>1</v>
      </c>
      <c r="G37" s="37"/>
      <c r="H37" s="37"/>
      <c r="I37" s="37"/>
      <c r="J37" s="36"/>
      <c r="K37" s="35"/>
      <c r="L37" s="35"/>
      <c r="M37" s="36"/>
      <c r="N37" s="35"/>
      <c r="O37" s="36"/>
      <c r="P37" s="35"/>
      <c r="Q37" s="36"/>
      <c r="R37" s="35"/>
      <c r="S37" s="36"/>
      <c r="T37" s="35">
        <v>1</v>
      </c>
    </row>
    <row r="38" spans="1:20" ht="27" customHeight="1" x14ac:dyDescent="0.5">
      <c r="A38" s="34" t="s">
        <v>186</v>
      </c>
      <c r="B38" s="36"/>
      <c r="C38" s="36"/>
      <c r="D38" s="35"/>
      <c r="E38" s="38"/>
      <c r="F38" s="38">
        <v>1</v>
      </c>
      <c r="G38" s="37"/>
      <c r="H38" s="37"/>
      <c r="I38" s="37"/>
      <c r="J38" s="36"/>
      <c r="K38" s="35"/>
      <c r="L38" s="35"/>
      <c r="M38" s="36"/>
      <c r="N38" s="35"/>
      <c r="O38" s="36"/>
      <c r="P38" s="35"/>
      <c r="Q38" s="36"/>
      <c r="R38" s="35"/>
      <c r="S38" s="36"/>
      <c r="T38" s="35">
        <v>1</v>
      </c>
    </row>
    <row r="39" spans="1:20" ht="27" customHeight="1" x14ac:dyDescent="0.5">
      <c r="A39" s="34" t="s">
        <v>187</v>
      </c>
      <c r="B39" s="36"/>
      <c r="C39" s="36"/>
      <c r="D39" s="35"/>
      <c r="E39" s="38"/>
      <c r="F39" s="38">
        <v>1</v>
      </c>
      <c r="G39" s="37"/>
      <c r="H39" s="37"/>
      <c r="I39" s="37"/>
      <c r="J39" s="36"/>
      <c r="K39" s="35"/>
      <c r="L39" s="35"/>
      <c r="M39" s="36"/>
      <c r="N39" s="35"/>
      <c r="O39" s="36"/>
      <c r="P39" s="35"/>
      <c r="Q39" s="36"/>
      <c r="R39" s="35"/>
      <c r="S39" s="36"/>
      <c r="T39" s="35">
        <v>1</v>
      </c>
    </row>
    <row r="40" spans="1:20" ht="27" customHeight="1" x14ac:dyDescent="0.5">
      <c r="A40" s="34" t="s">
        <v>188</v>
      </c>
      <c r="B40" s="36">
        <v>1</v>
      </c>
      <c r="C40" s="36"/>
      <c r="D40" s="35"/>
      <c r="E40" s="38"/>
      <c r="F40" s="38">
        <v>1</v>
      </c>
      <c r="G40" s="37"/>
      <c r="H40" s="37"/>
      <c r="I40" s="37"/>
      <c r="J40" s="36"/>
      <c r="K40" s="35"/>
      <c r="L40" s="35"/>
      <c r="M40" s="36"/>
      <c r="N40" s="35"/>
      <c r="O40" s="36"/>
      <c r="P40" s="35">
        <v>1</v>
      </c>
      <c r="Q40" s="36"/>
      <c r="R40" s="35"/>
      <c r="S40" s="36"/>
      <c r="T40" s="35">
        <v>1</v>
      </c>
    </row>
    <row r="41" spans="1:20" ht="27" customHeight="1" x14ac:dyDescent="0.5">
      <c r="A41" s="34" t="s">
        <v>189</v>
      </c>
      <c r="B41" s="36"/>
      <c r="C41" s="36"/>
      <c r="D41" s="35">
        <v>1</v>
      </c>
      <c r="E41" s="38"/>
      <c r="F41" s="38"/>
      <c r="G41" s="37"/>
      <c r="H41" s="37"/>
      <c r="I41" s="37"/>
      <c r="J41" s="36"/>
      <c r="K41" s="35"/>
      <c r="L41" s="35"/>
      <c r="M41" s="36"/>
      <c r="N41" s="35"/>
      <c r="O41" s="36"/>
      <c r="P41" s="35"/>
      <c r="Q41" s="36"/>
      <c r="R41" s="35"/>
      <c r="S41" s="36"/>
      <c r="T41" s="35">
        <v>1</v>
      </c>
    </row>
    <row r="42" spans="1:20" ht="27" customHeight="1" x14ac:dyDescent="0.5">
      <c r="A42" s="34" t="s">
        <v>190</v>
      </c>
      <c r="B42" s="36"/>
      <c r="C42" s="36"/>
      <c r="D42" s="35"/>
      <c r="E42" s="38">
        <v>1</v>
      </c>
      <c r="F42" s="38"/>
      <c r="G42" s="37"/>
      <c r="H42" s="37"/>
      <c r="I42" s="37"/>
      <c r="J42" s="36"/>
      <c r="K42" s="35"/>
      <c r="L42" s="35"/>
      <c r="M42" s="36"/>
      <c r="N42" s="35"/>
      <c r="O42" s="36"/>
      <c r="P42" s="35"/>
      <c r="Q42" s="36"/>
      <c r="R42" s="35"/>
      <c r="S42" s="36"/>
      <c r="T42" s="35"/>
    </row>
    <row r="43" spans="1:20" ht="27" customHeight="1" x14ac:dyDescent="0.5">
      <c r="A43" s="34" t="s">
        <v>193</v>
      </c>
      <c r="B43" s="36"/>
      <c r="C43" s="36"/>
      <c r="D43" s="35"/>
      <c r="E43" s="38"/>
      <c r="F43" s="38"/>
      <c r="G43" s="37"/>
      <c r="H43" s="37"/>
      <c r="I43" s="37">
        <v>2</v>
      </c>
      <c r="J43" s="36"/>
      <c r="K43" s="35"/>
      <c r="L43" s="35">
        <v>2</v>
      </c>
      <c r="M43" s="36"/>
      <c r="N43" s="35"/>
      <c r="O43" s="36"/>
      <c r="P43" s="35"/>
      <c r="Q43" s="36"/>
      <c r="R43" s="35"/>
      <c r="S43" s="36"/>
      <c r="T43" s="35"/>
    </row>
    <row r="44" spans="1:20" ht="27" customHeight="1" x14ac:dyDescent="0.5">
      <c r="A44" s="34" t="s">
        <v>196</v>
      </c>
      <c r="B44" s="36"/>
      <c r="C44" s="36"/>
      <c r="D44" s="35"/>
      <c r="E44" s="38">
        <v>1</v>
      </c>
      <c r="F44" s="38"/>
      <c r="G44" s="37"/>
      <c r="H44" s="37"/>
      <c r="I44" s="37"/>
      <c r="J44" s="36"/>
      <c r="K44" s="35"/>
      <c r="L44" s="35"/>
      <c r="M44" s="36"/>
      <c r="N44" s="35"/>
      <c r="O44" s="36"/>
      <c r="P44" s="35"/>
      <c r="Q44" s="36"/>
      <c r="R44" s="35"/>
      <c r="S44" s="36"/>
      <c r="T44" s="35"/>
    </row>
    <row r="45" spans="1:20" ht="27" customHeight="1" x14ac:dyDescent="0.5">
      <c r="A45" s="34" t="s">
        <v>197</v>
      </c>
      <c r="B45" s="36"/>
      <c r="C45" s="36"/>
      <c r="D45" s="35"/>
      <c r="E45" s="38"/>
      <c r="F45" s="38">
        <v>1</v>
      </c>
      <c r="G45" s="37"/>
      <c r="H45" s="37"/>
      <c r="I45" s="37"/>
      <c r="J45" s="36"/>
      <c r="K45" s="35"/>
      <c r="L45" s="35"/>
      <c r="M45" s="36"/>
      <c r="N45" s="35"/>
      <c r="O45" s="36"/>
      <c r="P45" s="35"/>
      <c r="Q45" s="36"/>
      <c r="R45" s="35"/>
      <c r="S45" s="36"/>
      <c r="T45" s="35">
        <v>1</v>
      </c>
    </row>
    <row r="46" spans="1:20" ht="27" customHeight="1" x14ac:dyDescent="0.5">
      <c r="A46" s="34" t="s">
        <v>198</v>
      </c>
      <c r="B46" s="36"/>
      <c r="C46" s="36"/>
      <c r="D46" s="35"/>
      <c r="E46" s="38"/>
      <c r="F46" s="38">
        <v>1</v>
      </c>
      <c r="G46" s="37"/>
      <c r="H46" s="37"/>
      <c r="I46" s="37"/>
      <c r="J46" s="36"/>
      <c r="K46" s="35"/>
      <c r="L46" s="35"/>
      <c r="M46" s="36"/>
      <c r="N46" s="35"/>
      <c r="O46" s="36"/>
      <c r="P46" s="35"/>
      <c r="Q46" s="36"/>
      <c r="R46" s="35"/>
      <c r="S46" s="36"/>
      <c r="T46" s="35"/>
    </row>
    <row r="47" spans="1:20" ht="27" customHeight="1" x14ac:dyDescent="0.5">
      <c r="A47" s="34" t="s">
        <v>200</v>
      </c>
      <c r="B47" s="36"/>
      <c r="C47" s="36"/>
      <c r="D47" s="35">
        <v>1</v>
      </c>
      <c r="E47" s="38"/>
      <c r="F47" s="38"/>
      <c r="G47" s="37"/>
      <c r="H47" s="37"/>
      <c r="I47" s="37"/>
      <c r="J47" s="36"/>
      <c r="K47" s="35"/>
      <c r="L47" s="35"/>
      <c r="M47" s="36"/>
      <c r="N47" s="35"/>
      <c r="O47" s="36"/>
      <c r="P47" s="35"/>
      <c r="Q47" s="36"/>
      <c r="R47" s="35"/>
      <c r="S47" s="36"/>
      <c r="T47" s="35"/>
    </row>
    <row r="48" spans="1:20" ht="27" customHeight="1" x14ac:dyDescent="0.5">
      <c r="A48" s="34" t="s">
        <v>201</v>
      </c>
      <c r="B48" s="36"/>
      <c r="C48" s="36"/>
      <c r="D48" s="35"/>
      <c r="E48" s="38">
        <v>1</v>
      </c>
      <c r="F48" s="38"/>
      <c r="G48" s="37"/>
      <c r="H48" s="37"/>
      <c r="I48" s="37"/>
      <c r="J48" s="36"/>
      <c r="K48" s="35"/>
      <c r="L48" s="35"/>
      <c r="M48" s="36"/>
      <c r="N48" s="35"/>
      <c r="O48" s="36"/>
      <c r="P48" s="35"/>
      <c r="Q48" s="36"/>
      <c r="R48" s="35"/>
      <c r="S48" s="36"/>
      <c r="T48" s="35"/>
    </row>
    <row r="49" spans="1:20" ht="27" customHeight="1" x14ac:dyDescent="0.5">
      <c r="A49" s="34"/>
      <c r="B49" s="36"/>
      <c r="C49" s="36"/>
      <c r="D49" s="35"/>
      <c r="E49" s="38"/>
      <c r="F49" s="38"/>
      <c r="G49" s="37"/>
      <c r="H49" s="37"/>
      <c r="I49" s="37"/>
      <c r="J49" s="36"/>
      <c r="K49" s="35"/>
      <c r="L49" s="35"/>
      <c r="M49" s="36"/>
      <c r="N49" s="35"/>
      <c r="O49" s="36"/>
      <c r="P49" s="35"/>
      <c r="Q49" s="36"/>
      <c r="R49" s="35"/>
      <c r="S49" s="36"/>
      <c r="T49" s="35"/>
    </row>
    <row r="50" spans="1:20" ht="27" customHeight="1" x14ac:dyDescent="0.5">
      <c r="A50" s="34"/>
      <c r="B50" s="36"/>
      <c r="C50" s="36"/>
      <c r="D50" s="35"/>
      <c r="E50" s="38"/>
      <c r="F50" s="38"/>
      <c r="G50" s="37"/>
      <c r="H50" s="37"/>
      <c r="I50" s="37"/>
      <c r="J50" s="36"/>
      <c r="K50" s="35"/>
      <c r="L50" s="35"/>
      <c r="M50" s="36"/>
      <c r="N50" s="35"/>
      <c r="O50" s="36"/>
      <c r="P50" s="35"/>
      <c r="Q50" s="36"/>
      <c r="R50" s="35"/>
      <c r="S50" s="36"/>
      <c r="T50" s="35"/>
    </row>
  </sheetData>
  <mergeCells count="4">
    <mergeCell ref="B1:C1"/>
    <mergeCell ref="E1:F1"/>
    <mergeCell ref="G1:I1"/>
    <mergeCell ref="K1:L1"/>
  </mergeCells>
  <phoneticPr fontId="3" type="noConversion"/>
  <pageMargins left="0.23622047244094491" right="0.23622047244094491" top="0.19685039370078741" bottom="0.19685039370078741" header="0.31496062992125984" footer="0.31496062992125984"/>
  <pageSetup paperSize="9" scale="3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K34" sqref="K34"/>
    </sheetView>
  </sheetViews>
  <sheetFormatPr defaultColWidth="9" defaultRowHeight="16.5" x14ac:dyDescent="0.3"/>
  <cols>
    <col min="1" max="1" width="32.625" style="4" customWidth="1"/>
    <col min="2" max="2" width="20.5" style="39" customWidth="1"/>
    <col min="3" max="4" width="10.875" style="4" customWidth="1"/>
    <col min="5" max="6" width="11.375" style="4" customWidth="1"/>
    <col min="7" max="10" width="10.875" style="4" customWidth="1"/>
    <col min="11" max="11" width="20.5" style="4" customWidth="1"/>
    <col min="12" max="12" width="20.5" style="39" customWidth="1"/>
    <col min="13" max="13" width="20.5" style="4" customWidth="1"/>
    <col min="14" max="16384" width="9" style="4"/>
  </cols>
  <sheetData>
    <row r="1" spans="1:13" ht="144" customHeight="1" x14ac:dyDescent="0.3">
      <c r="A1" s="22" t="s">
        <v>224</v>
      </c>
      <c r="B1" s="60" t="s">
        <v>213</v>
      </c>
      <c r="C1" s="111" t="s">
        <v>21</v>
      </c>
      <c r="D1" s="112"/>
      <c r="E1" s="107" t="s">
        <v>20</v>
      </c>
      <c r="F1" s="108"/>
      <c r="G1" s="109" t="s">
        <v>23</v>
      </c>
      <c r="H1" s="110"/>
      <c r="I1" s="107" t="s">
        <v>71</v>
      </c>
      <c r="J1" s="113"/>
      <c r="K1" s="59" t="s">
        <v>136</v>
      </c>
      <c r="L1" s="61" t="s">
        <v>218</v>
      </c>
      <c r="M1" s="62" t="s">
        <v>147</v>
      </c>
    </row>
    <row r="2" spans="1:13" ht="45" customHeight="1" x14ac:dyDescent="0.3">
      <c r="A2" s="24" t="s">
        <v>25</v>
      </c>
      <c r="B2" s="27"/>
      <c r="C2" s="25"/>
      <c r="D2" s="25"/>
      <c r="E2" s="58"/>
      <c r="F2" s="60"/>
      <c r="G2" s="45"/>
      <c r="H2" s="45"/>
      <c r="I2" s="26"/>
      <c r="J2" s="26"/>
      <c r="K2" s="25"/>
      <c r="L2" s="27"/>
      <c r="M2" s="25"/>
    </row>
    <row r="3" spans="1:13" ht="38.25" customHeight="1" x14ac:dyDescent="0.3">
      <c r="A3" s="28" t="s">
        <v>92</v>
      </c>
      <c r="B3" s="29" t="s">
        <v>30</v>
      </c>
      <c r="C3" s="30" t="s">
        <v>212</v>
      </c>
      <c r="D3" s="30" t="s">
        <v>27</v>
      </c>
      <c r="E3" s="29" t="s">
        <v>216</v>
      </c>
      <c r="F3" s="29" t="s">
        <v>28</v>
      </c>
      <c r="G3" s="31" t="s">
        <v>27</v>
      </c>
      <c r="H3" s="31" t="s">
        <v>28</v>
      </c>
      <c r="I3" s="29" t="s">
        <v>30</v>
      </c>
      <c r="J3" s="29" t="s">
        <v>29</v>
      </c>
      <c r="K3" s="30" t="s">
        <v>82</v>
      </c>
      <c r="L3" s="29" t="s">
        <v>219</v>
      </c>
      <c r="M3" s="30" t="s">
        <v>220</v>
      </c>
    </row>
    <row r="4" spans="1:13" ht="38.25" customHeight="1" x14ac:dyDescent="0.3">
      <c r="A4" s="32" t="s">
        <v>31</v>
      </c>
      <c r="B4" s="33">
        <f t="shared" ref="B4:M4" si="0">SUM(B5:B18)</f>
        <v>1</v>
      </c>
      <c r="C4" s="33">
        <f t="shared" si="0"/>
        <v>2</v>
      </c>
      <c r="D4" s="33">
        <f t="shared" si="0"/>
        <v>1</v>
      </c>
      <c r="E4" s="33">
        <f t="shared" si="0"/>
        <v>2</v>
      </c>
      <c r="F4" s="33">
        <f t="shared" si="0"/>
        <v>4</v>
      </c>
      <c r="G4" s="33">
        <f t="shared" si="0"/>
        <v>3</v>
      </c>
      <c r="H4" s="33">
        <f t="shared" si="0"/>
        <v>5</v>
      </c>
      <c r="I4" s="33">
        <f t="shared" si="0"/>
        <v>0</v>
      </c>
      <c r="J4" s="33">
        <f t="shared" si="0"/>
        <v>1</v>
      </c>
      <c r="K4" s="33">
        <f t="shared" si="0"/>
        <v>1</v>
      </c>
      <c r="L4" s="33">
        <f t="shared" si="0"/>
        <v>2</v>
      </c>
      <c r="M4" s="33">
        <f t="shared" si="0"/>
        <v>8</v>
      </c>
    </row>
    <row r="5" spans="1:13" ht="27" customHeight="1" x14ac:dyDescent="0.5">
      <c r="A5" s="34" t="s">
        <v>202</v>
      </c>
      <c r="B5" s="35"/>
      <c r="C5" s="36"/>
      <c r="D5" s="36">
        <v>1</v>
      </c>
      <c r="E5" s="35"/>
      <c r="F5" s="35"/>
      <c r="G5" s="38"/>
      <c r="H5" s="38"/>
      <c r="I5" s="37"/>
      <c r="J5" s="37"/>
      <c r="K5" s="36"/>
      <c r="L5" s="35"/>
      <c r="M5" s="36"/>
    </row>
    <row r="6" spans="1:13" ht="27" customHeight="1" x14ac:dyDescent="0.5">
      <c r="A6" s="34" t="s">
        <v>203</v>
      </c>
      <c r="B6" s="35"/>
      <c r="C6" s="36"/>
      <c r="D6" s="36"/>
      <c r="E6" s="35"/>
      <c r="F6" s="35">
        <v>1</v>
      </c>
      <c r="G6" s="38"/>
      <c r="H6" s="38"/>
      <c r="I6" s="37"/>
      <c r="J6" s="37"/>
      <c r="K6" s="36"/>
      <c r="L6" s="35"/>
      <c r="M6" s="36"/>
    </row>
    <row r="7" spans="1:13" ht="27" customHeight="1" x14ac:dyDescent="0.5">
      <c r="A7" s="34" t="s">
        <v>204</v>
      </c>
      <c r="B7" s="35"/>
      <c r="C7" s="36"/>
      <c r="D7" s="36"/>
      <c r="E7" s="35"/>
      <c r="F7" s="35">
        <v>1</v>
      </c>
      <c r="G7" s="38"/>
      <c r="H7" s="38"/>
      <c r="I7" s="37"/>
      <c r="J7" s="37"/>
      <c r="K7" s="36"/>
      <c r="L7" s="35"/>
      <c r="M7" s="36"/>
    </row>
    <row r="8" spans="1:13" ht="27" customHeight="1" x14ac:dyDescent="0.5">
      <c r="A8" s="34" t="s">
        <v>205</v>
      </c>
      <c r="B8" s="35"/>
      <c r="C8" s="36"/>
      <c r="D8" s="36"/>
      <c r="E8" s="35"/>
      <c r="F8" s="35"/>
      <c r="G8" s="38">
        <v>1</v>
      </c>
      <c r="H8" s="38"/>
      <c r="I8" s="37"/>
      <c r="J8" s="37"/>
      <c r="K8" s="36"/>
      <c r="L8" s="35"/>
      <c r="M8" s="36"/>
    </row>
    <row r="9" spans="1:13" ht="27" customHeight="1" x14ac:dyDescent="0.5">
      <c r="A9" s="34" t="s">
        <v>206</v>
      </c>
      <c r="B9" s="35"/>
      <c r="C9" s="36"/>
      <c r="D9" s="36"/>
      <c r="E9" s="35"/>
      <c r="F9" s="35"/>
      <c r="G9" s="38"/>
      <c r="H9" s="38">
        <v>1</v>
      </c>
      <c r="I9" s="37"/>
      <c r="J9" s="37"/>
      <c r="K9" s="36"/>
      <c r="L9" s="35"/>
      <c r="M9" s="36">
        <v>1</v>
      </c>
    </row>
    <row r="10" spans="1:13" ht="27" customHeight="1" x14ac:dyDescent="0.5">
      <c r="A10" s="34" t="s">
        <v>207</v>
      </c>
      <c r="B10" s="35"/>
      <c r="C10" s="36"/>
      <c r="D10" s="36"/>
      <c r="E10" s="35"/>
      <c r="F10" s="35"/>
      <c r="G10" s="38">
        <v>1</v>
      </c>
      <c r="H10" s="38"/>
      <c r="I10" s="37"/>
      <c r="J10" s="37"/>
      <c r="K10" s="36"/>
      <c r="L10" s="35">
        <v>2</v>
      </c>
      <c r="M10" s="36">
        <v>1</v>
      </c>
    </row>
    <row r="11" spans="1:13" ht="27" customHeight="1" x14ac:dyDescent="0.5">
      <c r="A11" s="34" t="s">
        <v>208</v>
      </c>
      <c r="B11" s="35"/>
      <c r="C11" s="36"/>
      <c r="D11" s="36"/>
      <c r="E11" s="35"/>
      <c r="F11" s="35"/>
      <c r="G11" s="38"/>
      <c r="H11" s="38">
        <v>1</v>
      </c>
      <c r="I11" s="37"/>
      <c r="J11" s="37"/>
      <c r="K11" s="36"/>
      <c r="L11" s="35"/>
      <c r="M11" s="36">
        <v>1</v>
      </c>
    </row>
    <row r="12" spans="1:13" ht="27" customHeight="1" x14ac:dyDescent="0.5">
      <c r="A12" s="34" t="s">
        <v>209</v>
      </c>
      <c r="B12" s="35"/>
      <c r="C12" s="36"/>
      <c r="D12" s="36"/>
      <c r="E12" s="35"/>
      <c r="F12" s="35"/>
      <c r="G12" s="38"/>
      <c r="H12" s="38"/>
      <c r="I12" s="37"/>
      <c r="J12" s="37">
        <v>1</v>
      </c>
      <c r="K12" s="36">
        <v>1</v>
      </c>
      <c r="L12" s="35"/>
      <c r="M12" s="36">
        <v>1</v>
      </c>
    </row>
    <row r="13" spans="1:13" ht="27" customHeight="1" x14ac:dyDescent="0.5">
      <c r="A13" s="34" t="s">
        <v>211</v>
      </c>
      <c r="B13" s="35">
        <v>1</v>
      </c>
      <c r="C13" s="36">
        <v>1</v>
      </c>
      <c r="D13" s="36"/>
      <c r="E13" s="35"/>
      <c r="F13" s="35"/>
      <c r="G13" s="38"/>
      <c r="H13" s="38">
        <v>1</v>
      </c>
      <c r="I13" s="37"/>
      <c r="J13" s="37"/>
      <c r="K13" s="36"/>
      <c r="L13" s="35"/>
      <c r="M13" s="36">
        <v>1</v>
      </c>
    </row>
    <row r="14" spans="1:13" ht="27" customHeight="1" x14ac:dyDescent="0.5">
      <c r="A14" s="34" t="s">
        <v>214</v>
      </c>
      <c r="B14" s="35"/>
      <c r="C14" s="36"/>
      <c r="D14" s="36"/>
      <c r="E14" s="35">
        <v>2</v>
      </c>
      <c r="F14" s="35"/>
      <c r="G14" s="38"/>
      <c r="H14" s="38"/>
      <c r="I14" s="37"/>
      <c r="J14" s="37"/>
      <c r="K14" s="36"/>
      <c r="L14" s="35"/>
      <c r="M14" s="36"/>
    </row>
    <row r="15" spans="1:13" ht="27" customHeight="1" x14ac:dyDescent="0.5">
      <c r="A15" s="34" t="s">
        <v>215</v>
      </c>
      <c r="B15" s="35"/>
      <c r="C15" s="36"/>
      <c r="D15" s="36"/>
      <c r="E15" s="35"/>
      <c r="F15" s="35">
        <v>2</v>
      </c>
      <c r="G15" s="38"/>
      <c r="H15" s="38"/>
      <c r="I15" s="37"/>
      <c r="J15" s="37"/>
      <c r="K15" s="36"/>
      <c r="L15" s="35"/>
      <c r="M15" s="36"/>
    </row>
    <row r="16" spans="1:13" ht="27" customHeight="1" x14ac:dyDescent="0.5">
      <c r="A16" s="34" t="s">
        <v>217</v>
      </c>
      <c r="B16" s="35"/>
      <c r="C16" s="36"/>
      <c r="D16" s="36"/>
      <c r="E16" s="35"/>
      <c r="F16" s="35"/>
      <c r="G16" s="38"/>
      <c r="H16" s="38">
        <v>1</v>
      </c>
      <c r="I16" s="37"/>
      <c r="J16" s="37"/>
      <c r="K16" s="36"/>
      <c r="L16" s="35"/>
      <c r="M16" s="36">
        <v>1</v>
      </c>
    </row>
    <row r="17" spans="1:13" ht="27" customHeight="1" x14ac:dyDescent="0.5">
      <c r="A17" s="34" t="s">
        <v>221</v>
      </c>
      <c r="B17" s="35"/>
      <c r="C17" s="36">
        <v>1</v>
      </c>
      <c r="D17" s="36"/>
      <c r="E17" s="35"/>
      <c r="F17" s="35"/>
      <c r="G17" s="38">
        <v>1</v>
      </c>
      <c r="H17" s="38"/>
      <c r="I17" s="37"/>
      <c r="J17" s="37"/>
      <c r="K17" s="36"/>
      <c r="L17" s="35"/>
      <c r="M17" s="36">
        <v>1</v>
      </c>
    </row>
    <row r="18" spans="1:13" ht="27" customHeight="1" x14ac:dyDescent="0.5">
      <c r="A18" s="34" t="s">
        <v>222</v>
      </c>
      <c r="B18" s="35"/>
      <c r="C18" s="36"/>
      <c r="D18" s="36"/>
      <c r="E18" s="35"/>
      <c r="F18" s="35"/>
      <c r="G18" s="38"/>
      <c r="H18" s="38">
        <v>1</v>
      </c>
      <c r="I18" s="37"/>
      <c r="J18" s="37"/>
      <c r="K18" s="36"/>
      <c r="L18" s="35"/>
      <c r="M18" s="36">
        <v>1</v>
      </c>
    </row>
  </sheetData>
  <mergeCells count="4">
    <mergeCell ref="C1:D1"/>
    <mergeCell ref="G1:H1"/>
    <mergeCell ref="I1:J1"/>
    <mergeCell ref="E1:F1"/>
  </mergeCells>
  <phoneticPr fontId="3" type="noConversion"/>
  <pageMargins left="0.23622047244094491" right="0.23622047244094491" top="0.19685039370078741" bottom="0.19685039370078741" header="0.31496062992125984" footer="0.31496062992125984"/>
  <pageSetup paperSize="9" scale="3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G6" sqref="G6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210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20</v>
      </c>
      <c r="C4" s="8">
        <f t="shared" si="0"/>
        <v>8</v>
      </c>
      <c r="D4" s="8">
        <f t="shared" si="0"/>
        <v>112</v>
      </c>
      <c r="E4" s="8">
        <f t="shared" si="0"/>
        <v>148</v>
      </c>
      <c r="F4" s="8">
        <f>SUM(F5:F7)</f>
        <v>60</v>
      </c>
      <c r="G4" s="8">
        <f t="shared" si="0"/>
        <v>0</v>
      </c>
      <c r="H4" s="9"/>
    </row>
    <row r="5" spans="1:8" ht="92.25" customHeight="1" x14ac:dyDescent="0.3">
      <c r="A5" s="10" t="s">
        <v>10</v>
      </c>
      <c r="B5" s="11"/>
      <c r="C5" s="12"/>
      <c r="D5" s="12">
        <f>16+16</f>
        <v>32</v>
      </c>
      <c r="E5" s="12">
        <v>60</v>
      </c>
      <c r="F5" s="12"/>
      <c r="G5" s="12"/>
      <c r="H5" s="9"/>
    </row>
    <row r="6" spans="1:8" ht="92.25" customHeight="1" x14ac:dyDescent="0.3">
      <c r="A6" s="10" t="s">
        <v>11</v>
      </c>
      <c r="B6" s="11">
        <v>10</v>
      </c>
      <c r="C6" s="12">
        <v>8</v>
      </c>
      <c r="D6" s="12">
        <v>48</v>
      </c>
      <c r="E6" s="12">
        <f>44+4</f>
        <v>48</v>
      </c>
      <c r="F6" s="12">
        <v>40</v>
      </c>
      <c r="G6" s="12"/>
      <c r="H6" s="9"/>
    </row>
    <row r="7" spans="1:8" ht="92.25" customHeight="1" x14ac:dyDescent="0.3">
      <c r="A7" s="10" t="s">
        <v>12</v>
      </c>
      <c r="B7" s="11">
        <v>10</v>
      </c>
      <c r="C7" s="12"/>
      <c r="D7" s="12">
        <v>32</v>
      </c>
      <c r="E7" s="12">
        <f>28+12</f>
        <v>40</v>
      </c>
      <c r="F7" s="12">
        <v>20</v>
      </c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/>
      <c r="C11" s="20"/>
      <c r="D11" s="20">
        <f>D5/16</f>
        <v>2</v>
      </c>
      <c r="E11" s="20">
        <f>E5/4</f>
        <v>15</v>
      </c>
      <c r="F11" s="20"/>
      <c r="G11" s="20"/>
      <c r="H11" s="21">
        <f>SUM(B11:G11)</f>
        <v>17</v>
      </c>
    </row>
    <row r="12" spans="1:8" ht="84" customHeight="1" x14ac:dyDescent="0.3">
      <c r="A12" s="10" t="s">
        <v>11</v>
      </c>
      <c r="B12" s="20">
        <f>B6/10</f>
        <v>1</v>
      </c>
      <c r="C12" s="20">
        <f>C6/4</f>
        <v>2</v>
      </c>
      <c r="D12" s="20">
        <f>D6/16</f>
        <v>3</v>
      </c>
      <c r="E12" s="20">
        <f>E6/4</f>
        <v>12</v>
      </c>
      <c r="F12" s="20">
        <f>F6/20</f>
        <v>2</v>
      </c>
      <c r="G12" s="20"/>
      <c r="H12" s="21">
        <f>SUM(B12:G12)</f>
        <v>20</v>
      </c>
    </row>
    <row r="13" spans="1:8" ht="84" customHeight="1" x14ac:dyDescent="0.3">
      <c r="A13" s="10" t="s">
        <v>12</v>
      </c>
      <c r="B13" s="20">
        <f>B7/10</f>
        <v>1</v>
      </c>
      <c r="C13" s="20"/>
      <c r="D13" s="20">
        <f>D7/16</f>
        <v>2</v>
      </c>
      <c r="E13" s="20">
        <f>E7/4</f>
        <v>10</v>
      </c>
      <c r="F13" s="20">
        <f>F7/20</f>
        <v>1</v>
      </c>
      <c r="G13" s="20"/>
      <c r="H13" s="21">
        <f>SUM(B13:G13)</f>
        <v>14</v>
      </c>
    </row>
  </sheetData>
  <mergeCells count="1">
    <mergeCell ref="A1:A3"/>
  </mergeCells>
  <phoneticPr fontId="3" type="noConversion"/>
  <conditionalFormatting sqref="A5">
    <cfRule type="duplicateValues" dxfId="31" priority="4"/>
  </conditionalFormatting>
  <conditionalFormatting sqref="A6">
    <cfRule type="duplicateValues" dxfId="30" priority="5"/>
  </conditionalFormatting>
  <conditionalFormatting sqref="A7">
    <cfRule type="duplicateValues" dxfId="29" priority="2"/>
  </conditionalFormatting>
  <conditionalFormatting sqref="A11">
    <cfRule type="duplicateValues" dxfId="28" priority="3"/>
  </conditionalFormatting>
  <conditionalFormatting sqref="A12">
    <cfRule type="duplicateValues" dxfId="27" priority="6"/>
  </conditionalFormatting>
  <conditionalFormatting sqref="A13">
    <cfRule type="duplicateValues" dxfId="26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P8" sqref="P8:P18"/>
    </sheetView>
  </sheetViews>
  <sheetFormatPr defaultColWidth="9" defaultRowHeight="16.5" x14ac:dyDescent="0.3"/>
  <cols>
    <col min="1" max="1" width="32.625" style="4" customWidth="1"/>
    <col min="2" max="2" width="20.5" style="39" customWidth="1"/>
    <col min="3" max="4" width="10.875" style="4" customWidth="1"/>
    <col min="5" max="6" width="11.375" style="4" customWidth="1"/>
    <col min="7" max="12" width="10.875" style="4" customWidth="1"/>
    <col min="13" max="13" width="20.5" style="4" customWidth="1"/>
    <col min="14" max="14" width="20.5" style="39" customWidth="1"/>
    <col min="15" max="15" width="20.5" style="4" customWidth="1"/>
    <col min="16" max="16" width="20.5" style="39" customWidth="1"/>
    <col min="17" max="16384" width="9" style="4"/>
  </cols>
  <sheetData>
    <row r="1" spans="1:16" ht="144" customHeight="1" x14ac:dyDescent="0.3">
      <c r="A1" s="22" t="s">
        <v>223</v>
      </c>
      <c r="B1" s="63" t="s">
        <v>213</v>
      </c>
      <c r="C1" s="111" t="s">
        <v>21</v>
      </c>
      <c r="D1" s="112"/>
      <c r="E1" s="107" t="s">
        <v>20</v>
      </c>
      <c r="F1" s="108"/>
      <c r="G1" s="109" t="s">
        <v>23</v>
      </c>
      <c r="H1" s="110"/>
      <c r="I1" s="110"/>
      <c r="J1" s="110"/>
      <c r="K1" s="107" t="s">
        <v>71</v>
      </c>
      <c r="L1" s="113"/>
      <c r="M1" s="64" t="s">
        <v>136</v>
      </c>
      <c r="N1" s="65" t="s">
        <v>191</v>
      </c>
      <c r="O1" s="66" t="s">
        <v>144</v>
      </c>
      <c r="P1" s="65" t="s">
        <v>199</v>
      </c>
    </row>
    <row r="2" spans="1:16" ht="45" customHeight="1" x14ac:dyDescent="0.3">
      <c r="A2" s="24" t="s">
        <v>25</v>
      </c>
      <c r="B2" s="27"/>
      <c r="C2" s="25"/>
      <c r="D2" s="25"/>
      <c r="E2" s="63"/>
      <c r="F2" s="63"/>
      <c r="G2" s="45"/>
      <c r="H2" s="45"/>
      <c r="I2" s="45"/>
      <c r="J2" s="45"/>
      <c r="K2" s="26"/>
      <c r="L2" s="26"/>
      <c r="M2" s="25"/>
      <c r="N2" s="27"/>
      <c r="O2" s="25"/>
      <c r="P2" s="27"/>
    </row>
    <row r="3" spans="1:16" ht="38.25" customHeight="1" x14ac:dyDescent="0.3">
      <c r="A3" s="28" t="s">
        <v>92</v>
      </c>
      <c r="B3" s="29" t="s">
        <v>30</v>
      </c>
      <c r="C3" s="30" t="s">
        <v>83</v>
      </c>
      <c r="D3" s="30" t="s">
        <v>27</v>
      </c>
      <c r="E3" s="29" t="s">
        <v>27</v>
      </c>
      <c r="F3" s="29" t="s">
        <v>28</v>
      </c>
      <c r="G3" s="31" t="s">
        <v>29</v>
      </c>
      <c r="H3" s="31" t="s">
        <v>27</v>
      </c>
      <c r="I3" s="31" t="s">
        <v>27</v>
      </c>
      <c r="J3" s="31" t="s">
        <v>28</v>
      </c>
      <c r="K3" s="29" t="s">
        <v>30</v>
      </c>
      <c r="L3" s="29" t="s">
        <v>29</v>
      </c>
      <c r="M3" s="30" t="s">
        <v>82</v>
      </c>
      <c r="N3" s="29" t="s">
        <v>83</v>
      </c>
      <c r="O3" s="30" t="s">
        <v>30</v>
      </c>
      <c r="P3" s="29" t="s">
        <v>220</v>
      </c>
    </row>
    <row r="4" spans="1:16" ht="38.25" customHeight="1" x14ac:dyDescent="0.3">
      <c r="A4" s="32" t="s">
        <v>31</v>
      </c>
      <c r="B4" s="33">
        <f t="shared" ref="B4:P4" si="0">SUM(B5:B21)</f>
        <v>0</v>
      </c>
      <c r="C4" s="33">
        <f t="shared" si="0"/>
        <v>0</v>
      </c>
      <c r="D4" s="33">
        <f t="shared" si="0"/>
        <v>0</v>
      </c>
      <c r="E4" s="33">
        <f t="shared" si="0"/>
        <v>2</v>
      </c>
      <c r="F4" s="33">
        <f t="shared" si="0"/>
        <v>4</v>
      </c>
      <c r="G4" s="33">
        <f t="shared" si="0"/>
        <v>12</v>
      </c>
      <c r="H4" s="33">
        <f t="shared" ref="H4" si="1">SUM(H5:H21)</f>
        <v>12</v>
      </c>
      <c r="I4" s="33">
        <f t="shared" ref="I4" si="2">SUM(I5:I21)</f>
        <v>3</v>
      </c>
      <c r="J4" s="33">
        <f t="shared" si="0"/>
        <v>4</v>
      </c>
      <c r="K4" s="33">
        <f t="shared" si="0"/>
        <v>0</v>
      </c>
      <c r="L4" s="33">
        <f t="shared" si="0"/>
        <v>0</v>
      </c>
      <c r="M4" s="33">
        <f t="shared" si="0"/>
        <v>2</v>
      </c>
      <c r="N4" s="33">
        <f t="shared" si="0"/>
        <v>2</v>
      </c>
      <c r="O4" s="33">
        <f t="shared" si="0"/>
        <v>2</v>
      </c>
      <c r="P4" s="33">
        <f t="shared" si="0"/>
        <v>15</v>
      </c>
    </row>
    <row r="5" spans="1:16" ht="27" customHeight="1" x14ac:dyDescent="0.5">
      <c r="A5" s="34" t="s">
        <v>225</v>
      </c>
      <c r="B5" s="35"/>
      <c r="C5" s="36"/>
      <c r="D5" s="36"/>
      <c r="E5" s="35"/>
      <c r="F5" s="35">
        <v>1</v>
      </c>
      <c r="G5" s="38"/>
      <c r="H5" s="38"/>
      <c r="I5" s="38"/>
      <c r="J5" s="38"/>
      <c r="K5" s="37"/>
      <c r="L5" s="37"/>
      <c r="M5" s="36"/>
      <c r="N5" s="35"/>
      <c r="O5" s="36"/>
      <c r="P5" s="35"/>
    </row>
    <row r="6" spans="1:16" ht="27" customHeight="1" x14ac:dyDescent="0.5">
      <c r="A6" s="34" t="s">
        <v>226</v>
      </c>
      <c r="B6" s="35"/>
      <c r="C6" s="36"/>
      <c r="D6" s="36"/>
      <c r="E6" s="35"/>
      <c r="F6" s="35">
        <v>2</v>
      </c>
      <c r="G6" s="38"/>
      <c r="H6" s="38"/>
      <c r="I6" s="38"/>
      <c r="J6" s="38"/>
      <c r="K6" s="37"/>
      <c r="L6" s="37"/>
      <c r="M6" s="36"/>
      <c r="N6" s="35"/>
      <c r="O6" s="36"/>
      <c r="P6" s="35"/>
    </row>
    <row r="7" spans="1:16" ht="27" customHeight="1" x14ac:dyDescent="0.5">
      <c r="A7" s="34" t="s">
        <v>227</v>
      </c>
      <c r="B7" s="35"/>
      <c r="C7" s="36"/>
      <c r="D7" s="36"/>
      <c r="E7" s="35">
        <v>1</v>
      </c>
      <c r="F7" s="35"/>
      <c r="G7" s="38"/>
      <c r="H7" s="38"/>
      <c r="I7" s="38"/>
      <c r="J7" s="38"/>
      <c r="K7" s="37"/>
      <c r="L7" s="37"/>
      <c r="M7" s="36"/>
      <c r="N7" s="35"/>
      <c r="O7" s="36"/>
      <c r="P7" s="35"/>
    </row>
    <row r="8" spans="1:16" ht="27" customHeight="1" x14ac:dyDescent="0.5">
      <c r="A8" s="34" t="s">
        <v>228</v>
      </c>
      <c r="B8" s="35"/>
      <c r="C8" s="36"/>
      <c r="D8" s="36"/>
      <c r="E8" s="35">
        <v>1</v>
      </c>
      <c r="F8" s="35"/>
      <c r="G8" s="38"/>
      <c r="H8" s="38"/>
      <c r="I8" s="38"/>
      <c r="J8" s="38"/>
      <c r="K8" s="37"/>
      <c r="L8" s="37"/>
      <c r="M8" s="36"/>
      <c r="N8" s="35"/>
      <c r="O8" s="36"/>
      <c r="P8" s="35"/>
    </row>
    <row r="9" spans="1:16" ht="27" customHeight="1" x14ac:dyDescent="0.5">
      <c r="A9" s="34" t="s">
        <v>229</v>
      </c>
      <c r="B9" s="35"/>
      <c r="C9" s="36"/>
      <c r="D9" s="36"/>
      <c r="E9" s="35"/>
      <c r="F9" s="35"/>
      <c r="G9" s="38"/>
      <c r="H9" s="38"/>
      <c r="I9" s="38"/>
      <c r="J9" s="38">
        <v>1</v>
      </c>
      <c r="K9" s="37"/>
      <c r="L9" s="37"/>
      <c r="M9" s="36">
        <v>1</v>
      </c>
      <c r="N9" s="35">
        <v>1</v>
      </c>
      <c r="O9" s="36"/>
      <c r="P9" s="35">
        <v>1</v>
      </c>
    </row>
    <row r="10" spans="1:16" ht="27" customHeight="1" x14ac:dyDescent="0.5">
      <c r="A10" s="34" t="s">
        <v>230</v>
      </c>
      <c r="B10" s="35"/>
      <c r="C10" s="36"/>
      <c r="D10" s="36"/>
      <c r="E10" s="35"/>
      <c r="F10" s="35"/>
      <c r="G10" s="38"/>
      <c r="H10" s="38"/>
      <c r="I10" s="38"/>
      <c r="J10" s="38">
        <v>1</v>
      </c>
      <c r="K10" s="37"/>
      <c r="L10" s="37"/>
      <c r="M10" s="36"/>
      <c r="N10" s="35"/>
      <c r="O10" s="36"/>
      <c r="P10" s="35">
        <v>1</v>
      </c>
    </row>
    <row r="11" spans="1:16" ht="27" customHeight="1" x14ac:dyDescent="0.5">
      <c r="A11" s="34" t="s">
        <v>231</v>
      </c>
      <c r="B11" s="35"/>
      <c r="C11" s="36"/>
      <c r="D11" s="36"/>
      <c r="E11" s="35"/>
      <c r="F11" s="35"/>
      <c r="G11" s="38"/>
      <c r="H11" s="38"/>
      <c r="I11" s="38"/>
      <c r="J11" s="38"/>
      <c r="K11" s="37"/>
      <c r="L11" s="37"/>
      <c r="M11" s="36"/>
      <c r="N11" s="35"/>
      <c r="O11" s="36">
        <v>2</v>
      </c>
      <c r="P11" s="35"/>
    </row>
    <row r="12" spans="1:16" ht="27" customHeight="1" x14ac:dyDescent="0.5">
      <c r="A12" s="34" t="s">
        <v>232</v>
      </c>
      <c r="B12" s="35"/>
      <c r="C12" s="36"/>
      <c r="D12" s="36"/>
      <c r="E12" s="35"/>
      <c r="F12" s="35"/>
      <c r="G12" s="38"/>
      <c r="H12" s="38"/>
      <c r="I12" s="38"/>
      <c r="J12" s="38">
        <v>1</v>
      </c>
      <c r="K12" s="37"/>
      <c r="L12" s="37"/>
      <c r="M12" s="36"/>
      <c r="N12" s="35"/>
      <c r="O12" s="36"/>
      <c r="P12" s="35">
        <v>1</v>
      </c>
    </row>
    <row r="13" spans="1:16" ht="27" customHeight="1" x14ac:dyDescent="0.5">
      <c r="A13" s="34" t="s">
        <v>233</v>
      </c>
      <c r="B13" s="35"/>
      <c r="C13" s="36"/>
      <c r="D13" s="36"/>
      <c r="E13" s="35"/>
      <c r="F13" s="35"/>
      <c r="G13" s="38"/>
      <c r="H13" s="38"/>
      <c r="I13" s="38"/>
      <c r="J13" s="38">
        <v>1</v>
      </c>
      <c r="K13" s="37"/>
      <c r="L13" s="37"/>
      <c r="M13" s="36"/>
      <c r="N13" s="35"/>
      <c r="O13" s="36"/>
      <c r="P13" s="35">
        <v>1</v>
      </c>
    </row>
    <row r="14" spans="1:16" ht="27" customHeight="1" x14ac:dyDescent="0.5">
      <c r="A14" s="34" t="s">
        <v>234</v>
      </c>
      <c r="B14" s="35"/>
      <c r="C14" s="36"/>
      <c r="D14" s="36"/>
      <c r="E14" s="35"/>
      <c r="F14" s="35"/>
      <c r="G14" s="38"/>
      <c r="H14" s="38"/>
      <c r="I14" s="38">
        <v>1</v>
      </c>
      <c r="J14" s="38"/>
      <c r="K14" s="37"/>
      <c r="L14" s="37"/>
      <c r="M14" s="36"/>
      <c r="N14" s="35"/>
      <c r="O14" s="36"/>
      <c r="P14" s="35"/>
    </row>
    <row r="15" spans="1:16" ht="27" customHeight="1" x14ac:dyDescent="0.5">
      <c r="A15" s="34" t="s">
        <v>235</v>
      </c>
      <c r="B15" s="35"/>
      <c r="C15" s="36"/>
      <c r="D15" s="36"/>
      <c r="E15" s="35"/>
      <c r="F15" s="35"/>
      <c r="G15" s="38"/>
      <c r="H15" s="38"/>
      <c r="I15" s="38"/>
      <c r="J15" s="38"/>
      <c r="K15" s="37"/>
      <c r="L15" s="37"/>
      <c r="M15" s="36">
        <v>1</v>
      </c>
      <c r="N15" s="35">
        <v>1</v>
      </c>
      <c r="O15" s="36"/>
      <c r="P15" s="35">
        <v>1</v>
      </c>
    </row>
    <row r="16" spans="1:16" ht="27" customHeight="1" x14ac:dyDescent="0.5">
      <c r="A16" s="34" t="s">
        <v>236</v>
      </c>
      <c r="B16" s="35"/>
      <c r="C16" s="36"/>
      <c r="D16" s="36"/>
      <c r="E16" s="35"/>
      <c r="F16" s="35">
        <v>1</v>
      </c>
      <c r="G16" s="38"/>
      <c r="H16" s="38"/>
      <c r="I16" s="38"/>
      <c r="J16" s="38"/>
      <c r="K16" s="37"/>
      <c r="L16" s="37"/>
      <c r="M16" s="36"/>
      <c r="N16" s="35"/>
      <c r="O16" s="36"/>
      <c r="P16" s="35"/>
    </row>
    <row r="17" spans="1:16" ht="27" customHeight="1" x14ac:dyDescent="0.5">
      <c r="A17" s="34" t="s">
        <v>237</v>
      </c>
      <c r="B17" s="35"/>
      <c r="C17" s="36"/>
      <c r="D17" s="36"/>
      <c r="E17" s="35"/>
      <c r="F17" s="35"/>
      <c r="G17" s="38"/>
      <c r="H17" s="38"/>
      <c r="I17" s="38">
        <v>1</v>
      </c>
      <c r="J17" s="38"/>
      <c r="K17" s="37"/>
      <c r="L17" s="37"/>
      <c r="M17" s="36"/>
      <c r="N17" s="35"/>
      <c r="O17" s="36"/>
      <c r="P17" s="35"/>
    </row>
    <row r="18" spans="1:16" ht="27" customHeight="1" x14ac:dyDescent="0.5">
      <c r="A18" s="34" t="s">
        <v>238</v>
      </c>
      <c r="B18" s="35"/>
      <c r="C18" s="36"/>
      <c r="D18" s="36"/>
      <c r="E18" s="35"/>
      <c r="F18" s="35"/>
      <c r="G18" s="38">
        <v>12</v>
      </c>
      <c r="H18" s="38">
        <v>12</v>
      </c>
      <c r="I18" s="38"/>
      <c r="J18" s="38"/>
      <c r="K18" s="37"/>
      <c r="L18" s="37"/>
      <c r="M18" s="36"/>
      <c r="N18" s="35"/>
      <c r="O18" s="36"/>
      <c r="P18" s="35"/>
    </row>
    <row r="19" spans="1:16" ht="27" customHeight="1" x14ac:dyDescent="0.5">
      <c r="A19" s="34" t="s">
        <v>240</v>
      </c>
      <c r="B19" s="35"/>
      <c r="C19" s="36"/>
      <c r="D19" s="36"/>
      <c r="E19" s="35"/>
      <c r="F19" s="35"/>
      <c r="G19" s="38"/>
      <c r="H19" s="38"/>
      <c r="I19" s="38">
        <v>1</v>
      </c>
      <c r="J19" s="38"/>
      <c r="K19" s="37"/>
      <c r="L19" s="37"/>
      <c r="M19" s="36"/>
      <c r="N19" s="35"/>
      <c r="O19" s="36"/>
      <c r="P19" s="35"/>
    </row>
    <row r="20" spans="1:16" ht="27" customHeight="1" x14ac:dyDescent="0.5">
      <c r="A20" s="34"/>
      <c r="B20" s="35"/>
      <c r="C20" s="36"/>
      <c r="D20" s="36"/>
      <c r="E20" s="35"/>
      <c r="F20" s="35"/>
      <c r="G20" s="38"/>
      <c r="H20" s="38"/>
      <c r="I20" s="38"/>
      <c r="J20" s="38"/>
      <c r="K20" s="37"/>
      <c r="L20" s="37"/>
      <c r="M20" s="36"/>
      <c r="N20" s="35"/>
      <c r="O20" s="36"/>
      <c r="P20" s="35"/>
    </row>
    <row r="21" spans="1:16" ht="27" customHeight="1" x14ac:dyDescent="0.5">
      <c r="A21" s="34" t="s">
        <v>239</v>
      </c>
      <c r="B21" s="35"/>
      <c r="C21" s="36"/>
      <c r="D21" s="36"/>
      <c r="E21" s="35"/>
      <c r="F21" s="35"/>
      <c r="G21" s="38"/>
      <c r="H21" s="38"/>
      <c r="I21" s="38"/>
      <c r="J21" s="38"/>
      <c r="K21" s="37"/>
      <c r="L21" s="37"/>
      <c r="M21" s="36"/>
      <c r="N21" s="35"/>
      <c r="O21" s="36"/>
      <c r="P21" s="35">
        <v>10</v>
      </c>
    </row>
  </sheetData>
  <mergeCells count="4">
    <mergeCell ref="C1:D1"/>
    <mergeCell ref="E1:F1"/>
    <mergeCell ref="G1:J1"/>
    <mergeCell ref="K1:L1"/>
  </mergeCells>
  <phoneticPr fontId="3" type="noConversion"/>
  <pageMargins left="1" right="1" top="1" bottom="1" header="0.5" footer="0.5"/>
  <pageSetup paperSize="9" scale="3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G6" sqref="G6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278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10</v>
      </c>
      <c r="C4" s="8">
        <f t="shared" si="0"/>
        <v>4</v>
      </c>
      <c r="D4" s="8">
        <f t="shared" si="0"/>
        <v>64</v>
      </c>
      <c r="E4" s="8">
        <f t="shared" si="0"/>
        <v>112</v>
      </c>
      <c r="F4" s="8">
        <f>SUM(F5:F7)</f>
        <v>60</v>
      </c>
      <c r="G4" s="8">
        <f t="shared" si="0"/>
        <v>0</v>
      </c>
      <c r="H4" s="9"/>
    </row>
    <row r="5" spans="1:8" ht="92.25" customHeight="1" x14ac:dyDescent="0.3">
      <c r="A5" s="10" t="s">
        <v>10</v>
      </c>
      <c r="B5" s="11">
        <v>10</v>
      </c>
      <c r="C5" s="12"/>
      <c r="D5" s="12">
        <v>32</v>
      </c>
      <c r="E5" s="12">
        <v>40</v>
      </c>
      <c r="F5" s="12">
        <f>40+20</f>
        <v>60</v>
      </c>
      <c r="G5" s="12"/>
      <c r="H5" s="9"/>
    </row>
    <row r="6" spans="1:8" ht="92.25" customHeight="1" x14ac:dyDescent="0.3">
      <c r="A6" s="10" t="s">
        <v>11</v>
      </c>
      <c r="B6" s="11"/>
      <c r="C6" s="12">
        <v>4</v>
      </c>
      <c r="D6" s="12">
        <v>16</v>
      </c>
      <c r="E6" s="12">
        <f>36+4</f>
        <v>40</v>
      </c>
      <c r="F6" s="12"/>
      <c r="G6" s="12"/>
      <c r="H6" s="9"/>
    </row>
    <row r="7" spans="1:8" ht="92.25" customHeight="1" x14ac:dyDescent="0.3">
      <c r="A7" s="10" t="s">
        <v>12</v>
      </c>
      <c r="B7" s="11"/>
      <c r="C7" s="12"/>
      <c r="D7" s="12">
        <v>16</v>
      </c>
      <c r="E7" s="12">
        <f>12+20</f>
        <v>32</v>
      </c>
      <c r="F7" s="12"/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>
        <f>B5/10</f>
        <v>1</v>
      </c>
      <c r="C11" s="20"/>
      <c r="D11" s="20">
        <f>D5/16</f>
        <v>2</v>
      </c>
      <c r="E11" s="20">
        <f>E5/4</f>
        <v>10</v>
      </c>
      <c r="F11" s="20">
        <f>F5/20</f>
        <v>3</v>
      </c>
      <c r="G11" s="20"/>
      <c r="H11" s="21">
        <f>SUM(B11:G11)</f>
        <v>16</v>
      </c>
    </row>
    <row r="12" spans="1:8" ht="84" customHeight="1" x14ac:dyDescent="0.3">
      <c r="A12" s="10" t="s">
        <v>11</v>
      </c>
      <c r="B12" s="20"/>
      <c r="C12" s="20">
        <f>C6/4</f>
        <v>1</v>
      </c>
      <c r="D12" s="20">
        <f>D6/16</f>
        <v>1</v>
      </c>
      <c r="E12" s="20">
        <f>E6/4</f>
        <v>10</v>
      </c>
      <c r="F12" s="20"/>
      <c r="G12" s="20"/>
      <c r="H12" s="21">
        <f>SUM(B12:G12)</f>
        <v>12</v>
      </c>
    </row>
    <row r="13" spans="1:8" ht="84" customHeight="1" x14ac:dyDescent="0.3">
      <c r="A13" s="10" t="s">
        <v>12</v>
      </c>
      <c r="B13" s="20"/>
      <c r="C13" s="20"/>
      <c r="D13" s="20">
        <f>D7/16</f>
        <v>1</v>
      </c>
      <c r="E13" s="20">
        <f>E7/4</f>
        <v>8</v>
      </c>
      <c r="F13" s="20"/>
      <c r="G13" s="20"/>
      <c r="H13" s="21">
        <f>SUM(B13:G13)</f>
        <v>9</v>
      </c>
    </row>
  </sheetData>
  <mergeCells count="1">
    <mergeCell ref="A1:A3"/>
  </mergeCells>
  <phoneticPr fontId="3" type="noConversion"/>
  <conditionalFormatting sqref="A5">
    <cfRule type="duplicateValues" dxfId="25" priority="4"/>
  </conditionalFormatting>
  <conditionalFormatting sqref="A6">
    <cfRule type="duplicateValues" dxfId="24" priority="5"/>
  </conditionalFormatting>
  <conditionalFormatting sqref="A7">
    <cfRule type="duplicateValues" dxfId="23" priority="2"/>
  </conditionalFormatting>
  <conditionalFormatting sqref="A11">
    <cfRule type="duplicateValues" dxfId="22" priority="3"/>
  </conditionalFormatting>
  <conditionalFormatting sqref="A12">
    <cfRule type="duplicateValues" dxfId="21" priority="6"/>
  </conditionalFormatting>
  <conditionalFormatting sqref="A13">
    <cfRule type="duplicateValues" dxfId="20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Q20" sqref="Q20"/>
    </sheetView>
  </sheetViews>
  <sheetFormatPr defaultColWidth="9" defaultRowHeight="16.5" x14ac:dyDescent="0.3"/>
  <cols>
    <col min="1" max="1" width="32.625" style="4" customWidth="1"/>
    <col min="2" max="3" width="11.375" style="4" customWidth="1"/>
    <col min="4" max="8" width="18.625" style="4" customWidth="1"/>
    <col min="9" max="9" width="18.625" style="39" customWidth="1"/>
    <col min="10" max="10" width="18.625" style="4" customWidth="1"/>
    <col min="11" max="11" width="18.625" style="39" customWidth="1"/>
    <col min="12" max="12" width="18.625" style="4" customWidth="1"/>
    <col min="13" max="13" width="18.625" style="39" customWidth="1"/>
    <col min="14" max="14" width="18.625" style="4" customWidth="1"/>
    <col min="15" max="15" width="18.625" style="39" customWidth="1"/>
    <col min="16" max="16" width="18.625" style="4" customWidth="1"/>
    <col min="17" max="17" width="18.625" style="39" customWidth="1"/>
    <col min="18" max="16384" width="9" style="4"/>
  </cols>
  <sheetData>
    <row r="1" spans="1:17" ht="144" customHeight="1" x14ac:dyDescent="0.3">
      <c r="A1" s="22" t="s">
        <v>241</v>
      </c>
      <c r="B1" s="107" t="s">
        <v>268</v>
      </c>
      <c r="C1" s="108" t="s">
        <v>213</v>
      </c>
      <c r="D1" s="73" t="s">
        <v>21</v>
      </c>
      <c r="E1" s="71" t="s">
        <v>20</v>
      </c>
      <c r="F1" s="72" t="s">
        <v>23</v>
      </c>
      <c r="G1" s="67" t="s">
        <v>264</v>
      </c>
      <c r="H1" s="68" t="s">
        <v>255</v>
      </c>
      <c r="I1" s="67" t="s">
        <v>256</v>
      </c>
      <c r="J1" s="68" t="s">
        <v>257</v>
      </c>
      <c r="K1" s="67" t="s">
        <v>143</v>
      </c>
      <c r="L1" s="68" t="s">
        <v>258</v>
      </c>
      <c r="M1" s="67" t="s">
        <v>259</v>
      </c>
      <c r="N1" s="68" t="s">
        <v>260</v>
      </c>
      <c r="O1" s="69" t="s">
        <v>272</v>
      </c>
      <c r="P1" s="70" t="s">
        <v>270</v>
      </c>
      <c r="Q1" s="69" t="s">
        <v>147</v>
      </c>
    </row>
    <row r="2" spans="1:17" ht="45" customHeight="1" x14ac:dyDescent="0.3">
      <c r="A2" s="24" t="s">
        <v>25</v>
      </c>
      <c r="B2" s="69"/>
      <c r="C2" s="69"/>
      <c r="D2" s="25"/>
      <c r="E2" s="71"/>
      <c r="F2" s="45"/>
      <c r="G2" s="26"/>
      <c r="H2" s="25"/>
      <c r="I2" s="27"/>
      <c r="J2" s="25"/>
      <c r="K2" s="27"/>
      <c r="L2" s="25"/>
      <c r="M2" s="27"/>
      <c r="N2" s="25"/>
      <c r="O2" s="27"/>
      <c r="P2" s="25"/>
      <c r="Q2" s="27"/>
    </row>
    <row r="3" spans="1:17" ht="38.25" customHeight="1" x14ac:dyDescent="0.3">
      <c r="A3" s="28" t="s">
        <v>92</v>
      </c>
      <c r="B3" s="29" t="s">
        <v>30</v>
      </c>
      <c r="C3" s="29" t="s">
        <v>269</v>
      </c>
      <c r="D3" s="30" t="s">
        <v>27</v>
      </c>
      <c r="E3" s="29" t="s">
        <v>28</v>
      </c>
      <c r="F3" s="31" t="s">
        <v>28</v>
      </c>
      <c r="G3" s="29" t="s">
        <v>265</v>
      </c>
      <c r="H3" s="30" t="s">
        <v>261</v>
      </c>
      <c r="I3" s="29" t="s">
        <v>139</v>
      </c>
      <c r="J3" s="30" t="s">
        <v>262</v>
      </c>
      <c r="K3" s="29" t="s">
        <v>262</v>
      </c>
      <c r="L3" s="30" t="s">
        <v>262</v>
      </c>
      <c r="M3" s="29" t="s">
        <v>262</v>
      </c>
      <c r="N3" s="30" t="s">
        <v>262</v>
      </c>
      <c r="O3" s="29" t="s">
        <v>30</v>
      </c>
      <c r="P3" s="30" t="s">
        <v>271</v>
      </c>
      <c r="Q3" s="29" t="s">
        <v>263</v>
      </c>
    </row>
    <row r="4" spans="1:17" ht="38.25" customHeight="1" x14ac:dyDescent="0.3">
      <c r="A4" s="32" t="s">
        <v>31</v>
      </c>
      <c r="B4" s="33">
        <f t="shared" ref="B4:Q4" si="0">SUM(B5:B20)</f>
        <v>1</v>
      </c>
      <c r="C4" s="33">
        <f t="shared" si="0"/>
        <v>1</v>
      </c>
      <c r="D4" s="33">
        <f t="shared" si="0"/>
        <v>1</v>
      </c>
      <c r="E4" s="33">
        <f t="shared" si="0"/>
        <v>5</v>
      </c>
      <c r="F4" s="33">
        <f t="shared" si="0"/>
        <v>4</v>
      </c>
      <c r="G4" s="33">
        <f t="shared" si="0"/>
        <v>1</v>
      </c>
      <c r="H4" s="33">
        <f t="shared" si="0"/>
        <v>2</v>
      </c>
      <c r="I4" s="33">
        <f t="shared" si="0"/>
        <v>2</v>
      </c>
      <c r="J4" s="33">
        <f t="shared" si="0"/>
        <v>4</v>
      </c>
      <c r="K4" s="33">
        <f t="shared" si="0"/>
        <v>2</v>
      </c>
      <c r="L4" s="33">
        <f t="shared" si="0"/>
        <v>1</v>
      </c>
      <c r="M4" s="33">
        <f t="shared" si="0"/>
        <v>4</v>
      </c>
      <c r="N4" s="33">
        <f t="shared" si="0"/>
        <v>1</v>
      </c>
      <c r="O4" s="33">
        <f t="shared" si="0"/>
        <v>3</v>
      </c>
      <c r="P4" s="33">
        <f t="shared" si="0"/>
        <v>3</v>
      </c>
      <c r="Q4" s="33">
        <f t="shared" si="0"/>
        <v>10</v>
      </c>
    </row>
    <row r="5" spans="1:17" ht="27" customHeight="1" x14ac:dyDescent="0.5">
      <c r="A5" s="34" t="s">
        <v>242</v>
      </c>
      <c r="B5" s="35"/>
      <c r="C5" s="35"/>
      <c r="D5" s="36"/>
      <c r="E5" s="35">
        <v>1</v>
      </c>
      <c r="F5" s="38"/>
      <c r="G5" s="37"/>
      <c r="H5" s="36"/>
      <c r="I5" s="35"/>
      <c r="J5" s="36"/>
      <c r="K5" s="35"/>
      <c r="L5" s="36"/>
      <c r="M5" s="35"/>
      <c r="N5" s="36"/>
      <c r="O5" s="35"/>
      <c r="P5" s="36"/>
      <c r="Q5" s="35"/>
    </row>
    <row r="6" spans="1:17" ht="27" customHeight="1" x14ac:dyDescent="0.5">
      <c r="A6" s="34" t="s">
        <v>243</v>
      </c>
      <c r="B6" s="35"/>
      <c r="C6" s="35"/>
      <c r="D6" s="36">
        <v>1</v>
      </c>
      <c r="E6" s="35"/>
      <c r="F6" s="38"/>
      <c r="G6" s="37"/>
      <c r="H6" s="36"/>
      <c r="I6" s="35"/>
      <c r="J6" s="36"/>
      <c r="K6" s="35"/>
      <c r="L6" s="36"/>
      <c r="M6" s="35"/>
      <c r="N6" s="36"/>
      <c r="O6" s="35"/>
      <c r="P6" s="36"/>
      <c r="Q6" s="35"/>
    </row>
    <row r="7" spans="1:17" ht="27" customHeight="1" x14ac:dyDescent="0.5">
      <c r="A7" s="34" t="s">
        <v>244</v>
      </c>
      <c r="B7" s="35"/>
      <c r="C7" s="35"/>
      <c r="D7" s="36"/>
      <c r="E7" s="35">
        <v>1</v>
      </c>
      <c r="F7" s="38"/>
      <c r="G7" s="37"/>
      <c r="H7" s="36"/>
      <c r="I7" s="35"/>
      <c r="J7" s="36"/>
      <c r="K7" s="35"/>
      <c r="L7" s="36"/>
      <c r="M7" s="35"/>
      <c r="N7" s="36"/>
      <c r="O7" s="35"/>
      <c r="P7" s="36"/>
      <c r="Q7" s="35"/>
    </row>
    <row r="8" spans="1:17" ht="27" customHeight="1" x14ac:dyDescent="0.5">
      <c r="A8" s="34" t="s">
        <v>245</v>
      </c>
      <c r="B8" s="35"/>
      <c r="C8" s="35"/>
      <c r="D8" s="36"/>
      <c r="E8" s="35">
        <v>2</v>
      </c>
      <c r="F8" s="38"/>
      <c r="G8" s="37"/>
      <c r="H8" s="36"/>
      <c r="I8" s="35"/>
      <c r="J8" s="36"/>
      <c r="K8" s="35"/>
      <c r="L8" s="36"/>
      <c r="M8" s="35"/>
      <c r="N8" s="36"/>
      <c r="O8" s="35"/>
      <c r="P8" s="36"/>
      <c r="Q8" s="35"/>
    </row>
    <row r="9" spans="1:17" ht="27" customHeight="1" x14ac:dyDescent="0.5">
      <c r="A9" s="34" t="s">
        <v>246</v>
      </c>
      <c r="B9" s="35"/>
      <c r="C9" s="35"/>
      <c r="D9" s="36"/>
      <c r="E9" s="35"/>
      <c r="F9" s="38"/>
      <c r="G9" s="37"/>
      <c r="H9" s="36"/>
      <c r="I9" s="35"/>
      <c r="J9" s="36"/>
      <c r="K9" s="35"/>
      <c r="L9" s="36">
        <v>1</v>
      </c>
      <c r="M9" s="35"/>
      <c r="N9" s="36"/>
      <c r="O9" s="35"/>
      <c r="P9" s="36"/>
      <c r="Q9" s="35"/>
    </row>
    <row r="10" spans="1:17" ht="27" customHeight="1" x14ac:dyDescent="0.5">
      <c r="A10" s="34" t="s">
        <v>247</v>
      </c>
      <c r="B10" s="35"/>
      <c r="C10" s="35"/>
      <c r="D10" s="36"/>
      <c r="E10" s="35"/>
      <c r="F10" s="38"/>
      <c r="G10" s="37"/>
      <c r="H10" s="36"/>
      <c r="I10" s="35"/>
      <c r="J10" s="36"/>
      <c r="K10" s="35"/>
      <c r="L10" s="36"/>
      <c r="M10" s="35"/>
      <c r="N10" s="36"/>
      <c r="O10" s="35"/>
      <c r="P10" s="36">
        <v>3</v>
      </c>
      <c r="Q10" s="35"/>
    </row>
    <row r="11" spans="1:17" ht="27" customHeight="1" x14ac:dyDescent="0.5">
      <c r="A11" s="34" t="s">
        <v>248</v>
      </c>
      <c r="B11" s="35"/>
      <c r="C11" s="35"/>
      <c r="D11" s="36"/>
      <c r="E11" s="35"/>
      <c r="F11" s="38">
        <v>1</v>
      </c>
      <c r="G11" s="37"/>
      <c r="H11" s="36"/>
      <c r="I11" s="35"/>
      <c r="J11" s="36"/>
      <c r="K11" s="35"/>
      <c r="L11" s="36"/>
      <c r="M11" s="35"/>
      <c r="N11" s="36"/>
      <c r="O11" s="35"/>
      <c r="P11" s="36"/>
      <c r="Q11" s="35">
        <v>1</v>
      </c>
    </row>
    <row r="12" spans="1:17" ht="27" customHeight="1" x14ac:dyDescent="0.5">
      <c r="A12" s="34" t="s">
        <v>249</v>
      </c>
      <c r="B12" s="35"/>
      <c r="C12" s="35"/>
      <c r="D12" s="36"/>
      <c r="E12" s="35"/>
      <c r="F12" s="38"/>
      <c r="G12" s="37"/>
      <c r="H12" s="36"/>
      <c r="I12" s="35"/>
      <c r="J12" s="36"/>
      <c r="K12" s="35">
        <v>2</v>
      </c>
      <c r="L12" s="36"/>
      <c r="M12" s="35"/>
      <c r="N12" s="36"/>
      <c r="O12" s="35"/>
      <c r="P12" s="36"/>
      <c r="Q12" s="35">
        <v>1</v>
      </c>
    </row>
    <row r="13" spans="1:17" ht="27" customHeight="1" x14ac:dyDescent="0.5">
      <c r="A13" s="34" t="s">
        <v>250</v>
      </c>
      <c r="B13" s="35"/>
      <c r="C13" s="35">
        <v>1</v>
      </c>
      <c r="D13" s="36"/>
      <c r="E13" s="35">
        <v>1</v>
      </c>
      <c r="F13" s="38"/>
      <c r="G13" s="37"/>
      <c r="H13" s="36"/>
      <c r="I13" s="35"/>
      <c r="J13" s="36"/>
      <c r="K13" s="35"/>
      <c r="L13" s="36"/>
      <c r="M13" s="35">
        <v>3</v>
      </c>
      <c r="N13" s="36"/>
      <c r="O13" s="35"/>
      <c r="P13" s="36"/>
      <c r="Q13" s="35">
        <v>1</v>
      </c>
    </row>
    <row r="14" spans="1:17" ht="27" customHeight="1" x14ac:dyDescent="0.5">
      <c r="A14" s="34" t="s">
        <v>251</v>
      </c>
      <c r="B14" s="35"/>
      <c r="C14" s="35"/>
      <c r="D14" s="36"/>
      <c r="E14" s="35"/>
      <c r="F14" s="38">
        <v>1</v>
      </c>
      <c r="G14" s="37"/>
      <c r="H14" s="36"/>
      <c r="I14" s="35"/>
      <c r="J14" s="36"/>
      <c r="K14" s="35"/>
      <c r="L14" s="36"/>
      <c r="M14" s="35">
        <v>1</v>
      </c>
      <c r="N14" s="36"/>
      <c r="O14" s="35"/>
      <c r="P14" s="36"/>
      <c r="Q14" s="35">
        <v>1</v>
      </c>
    </row>
    <row r="15" spans="1:17" ht="27" customHeight="1" x14ac:dyDescent="0.5">
      <c r="A15" s="34" t="s">
        <v>252</v>
      </c>
      <c r="B15" s="35"/>
      <c r="C15" s="35"/>
      <c r="D15" s="36"/>
      <c r="E15" s="35"/>
      <c r="F15" s="38"/>
      <c r="G15" s="37"/>
      <c r="H15" s="36">
        <v>2</v>
      </c>
      <c r="I15" s="35"/>
      <c r="J15" s="36"/>
      <c r="K15" s="35"/>
      <c r="L15" s="36"/>
      <c r="M15" s="35"/>
      <c r="N15" s="36">
        <v>1</v>
      </c>
      <c r="O15" s="35"/>
      <c r="P15" s="36"/>
      <c r="Q15" s="35">
        <v>1</v>
      </c>
    </row>
    <row r="16" spans="1:17" ht="27" customHeight="1" x14ac:dyDescent="0.5">
      <c r="A16" s="34" t="s">
        <v>253</v>
      </c>
      <c r="B16" s="35"/>
      <c r="C16" s="35"/>
      <c r="D16" s="36"/>
      <c r="E16" s="35"/>
      <c r="F16" s="38"/>
      <c r="G16" s="37"/>
      <c r="H16" s="36"/>
      <c r="I16" s="35">
        <v>2</v>
      </c>
      <c r="J16" s="36">
        <v>2</v>
      </c>
      <c r="K16" s="35"/>
      <c r="L16" s="36"/>
      <c r="M16" s="35"/>
      <c r="N16" s="36"/>
      <c r="O16" s="35"/>
      <c r="P16" s="36"/>
      <c r="Q16" s="35">
        <v>1</v>
      </c>
    </row>
    <row r="17" spans="1:17" ht="27" customHeight="1" x14ac:dyDescent="0.5">
      <c r="A17" s="34" t="s">
        <v>254</v>
      </c>
      <c r="B17" s="35"/>
      <c r="C17" s="35"/>
      <c r="D17" s="36"/>
      <c r="E17" s="35"/>
      <c r="F17" s="38"/>
      <c r="G17" s="37">
        <v>1</v>
      </c>
      <c r="H17" s="36"/>
      <c r="I17" s="35"/>
      <c r="J17" s="36"/>
      <c r="K17" s="35"/>
      <c r="L17" s="36"/>
      <c r="M17" s="35"/>
      <c r="N17" s="36"/>
      <c r="O17" s="35"/>
      <c r="P17" s="36"/>
      <c r="Q17" s="35">
        <v>1</v>
      </c>
    </row>
    <row r="18" spans="1:17" ht="27" customHeight="1" x14ac:dyDescent="0.5">
      <c r="A18" s="34" t="s">
        <v>266</v>
      </c>
      <c r="B18" s="35"/>
      <c r="C18" s="35"/>
      <c r="D18" s="36"/>
      <c r="E18" s="35"/>
      <c r="F18" s="38">
        <v>1</v>
      </c>
      <c r="G18" s="37"/>
      <c r="H18" s="36"/>
      <c r="I18" s="35"/>
      <c r="J18" s="36"/>
      <c r="K18" s="35"/>
      <c r="L18" s="36"/>
      <c r="M18" s="35"/>
      <c r="N18" s="36"/>
      <c r="O18" s="35"/>
      <c r="P18" s="36"/>
      <c r="Q18" s="35">
        <v>1</v>
      </c>
    </row>
    <row r="19" spans="1:17" ht="27" customHeight="1" x14ac:dyDescent="0.5">
      <c r="A19" s="34" t="s">
        <v>267</v>
      </c>
      <c r="B19" s="35">
        <v>1</v>
      </c>
      <c r="C19" s="35"/>
      <c r="D19" s="36"/>
      <c r="E19" s="35"/>
      <c r="F19" s="38"/>
      <c r="G19" s="37"/>
      <c r="H19" s="36"/>
      <c r="I19" s="35"/>
      <c r="J19" s="36">
        <v>2</v>
      </c>
      <c r="K19" s="35"/>
      <c r="L19" s="36"/>
      <c r="M19" s="35"/>
      <c r="N19" s="36"/>
      <c r="O19" s="35">
        <v>3</v>
      </c>
      <c r="P19" s="36"/>
      <c r="Q19" s="35">
        <v>1</v>
      </c>
    </row>
    <row r="20" spans="1:17" ht="27" customHeight="1" x14ac:dyDescent="0.5">
      <c r="A20" s="34" t="s">
        <v>273</v>
      </c>
      <c r="B20" s="35"/>
      <c r="C20" s="35"/>
      <c r="D20" s="36"/>
      <c r="E20" s="35"/>
      <c r="F20" s="38">
        <v>1</v>
      </c>
      <c r="G20" s="37"/>
      <c r="H20" s="36"/>
      <c r="I20" s="35"/>
      <c r="J20" s="36"/>
      <c r="K20" s="35"/>
      <c r="L20" s="36"/>
      <c r="M20" s="35"/>
      <c r="N20" s="36"/>
      <c r="O20" s="35"/>
      <c r="P20" s="36"/>
      <c r="Q20" s="35">
        <v>1</v>
      </c>
    </row>
  </sheetData>
  <mergeCells count="1">
    <mergeCell ref="B1:C1"/>
  </mergeCells>
  <phoneticPr fontId="3" type="noConversion"/>
  <pageMargins left="1" right="1" top="1" bottom="1" header="0.5" footer="0.5"/>
  <pageSetup paperSize="9" scale="3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E8" sqref="E8"/>
    </sheetView>
  </sheetViews>
  <sheetFormatPr defaultColWidth="9" defaultRowHeight="16.5" x14ac:dyDescent="0.3"/>
  <cols>
    <col min="1" max="1" width="32.625" style="4" customWidth="1"/>
    <col min="2" max="2" width="18.625" style="4" customWidth="1"/>
    <col min="3" max="4" width="11.125" style="4" customWidth="1"/>
    <col min="5" max="6" width="11.625" style="4" customWidth="1"/>
    <col min="7" max="8" width="18.625" style="4" customWidth="1"/>
    <col min="9" max="9" width="18.625" style="39" customWidth="1"/>
    <col min="10" max="12" width="18.625" style="4" customWidth="1"/>
    <col min="13" max="13" width="18.625" style="39" customWidth="1"/>
    <col min="14" max="14" width="18.625" style="4" customWidth="1"/>
    <col min="15" max="15" width="18.625" style="39" customWidth="1"/>
    <col min="16" max="16384" width="9" style="4"/>
  </cols>
  <sheetData>
    <row r="1" spans="1:15" ht="144" customHeight="1" x14ac:dyDescent="0.3">
      <c r="A1" s="22" t="s">
        <v>274</v>
      </c>
      <c r="B1" s="75" t="s">
        <v>21</v>
      </c>
      <c r="C1" s="107" t="s">
        <v>20</v>
      </c>
      <c r="D1" s="113"/>
      <c r="E1" s="109" t="s">
        <v>23</v>
      </c>
      <c r="F1" s="114"/>
      <c r="G1" s="74" t="s">
        <v>71</v>
      </c>
      <c r="H1" s="75" t="s">
        <v>76</v>
      </c>
      <c r="I1" s="77" t="s">
        <v>297</v>
      </c>
      <c r="J1" s="75" t="s">
        <v>142</v>
      </c>
      <c r="K1" s="78" t="s">
        <v>80</v>
      </c>
      <c r="L1" s="79" t="s">
        <v>78</v>
      </c>
      <c r="M1" s="78" t="s">
        <v>300</v>
      </c>
      <c r="N1" s="75" t="s">
        <v>286</v>
      </c>
      <c r="O1" s="74" t="s">
        <v>147</v>
      </c>
    </row>
    <row r="2" spans="1:15" ht="45" customHeight="1" x14ac:dyDescent="0.3">
      <c r="A2" s="24" t="s">
        <v>25</v>
      </c>
      <c r="B2" s="25"/>
      <c r="C2" s="74"/>
      <c r="D2" s="76"/>
      <c r="E2" s="45"/>
      <c r="F2" s="45"/>
      <c r="G2" s="26"/>
      <c r="H2" s="25"/>
      <c r="I2" s="27"/>
      <c r="J2" s="25"/>
      <c r="K2" s="26"/>
      <c r="L2" s="25"/>
      <c r="M2" s="27"/>
      <c r="N2" s="25"/>
      <c r="O2" s="27"/>
    </row>
    <row r="3" spans="1:15" ht="38.25" customHeight="1" x14ac:dyDescent="0.3">
      <c r="A3" s="28" t="s">
        <v>92</v>
      </c>
      <c r="B3" s="30" t="s">
        <v>27</v>
      </c>
      <c r="C3" s="29" t="s">
        <v>140</v>
      </c>
      <c r="D3" s="29" t="s">
        <v>27</v>
      </c>
      <c r="E3" s="31" t="s">
        <v>27</v>
      </c>
      <c r="F3" s="31" t="s">
        <v>28</v>
      </c>
      <c r="G3" s="29" t="s">
        <v>30</v>
      </c>
      <c r="H3" s="30" t="s">
        <v>82</v>
      </c>
      <c r="I3" s="29" t="s">
        <v>82</v>
      </c>
      <c r="J3" s="30" t="s">
        <v>30</v>
      </c>
      <c r="K3" s="29" t="s">
        <v>140</v>
      </c>
      <c r="L3" s="30" t="s">
        <v>140</v>
      </c>
      <c r="M3" s="29" t="s">
        <v>301</v>
      </c>
      <c r="N3" s="30" t="s">
        <v>285</v>
      </c>
      <c r="O3" s="29" t="s">
        <v>148</v>
      </c>
    </row>
    <row r="4" spans="1:15" ht="38.25" customHeight="1" x14ac:dyDescent="0.3">
      <c r="A4" s="32" t="s">
        <v>31</v>
      </c>
      <c r="B4" s="33">
        <f t="shared" ref="B4:O4" si="0">SUM(B5:B26)</f>
        <v>1</v>
      </c>
      <c r="C4" s="33">
        <f t="shared" si="0"/>
        <v>55</v>
      </c>
      <c r="D4" s="33">
        <f t="shared" si="0"/>
        <v>90</v>
      </c>
      <c r="E4" s="33">
        <f t="shared" si="0"/>
        <v>1</v>
      </c>
      <c r="F4" s="33">
        <f t="shared" si="0"/>
        <v>8</v>
      </c>
      <c r="G4" s="33">
        <f t="shared" si="0"/>
        <v>53</v>
      </c>
      <c r="H4" s="33">
        <f t="shared" si="0"/>
        <v>19</v>
      </c>
      <c r="I4" s="33">
        <f t="shared" si="0"/>
        <v>4</v>
      </c>
      <c r="J4" s="33">
        <f t="shared" si="0"/>
        <v>1</v>
      </c>
      <c r="K4" s="33">
        <f t="shared" si="0"/>
        <v>1</v>
      </c>
      <c r="L4" s="33">
        <f t="shared" si="0"/>
        <v>1</v>
      </c>
      <c r="M4" s="33">
        <f t="shared" si="0"/>
        <v>1</v>
      </c>
      <c r="N4" s="33">
        <f t="shared" si="0"/>
        <v>12</v>
      </c>
      <c r="O4" s="33">
        <f t="shared" si="0"/>
        <v>8</v>
      </c>
    </row>
    <row r="5" spans="1:15" ht="27" customHeight="1" x14ac:dyDescent="0.5">
      <c r="A5" s="34" t="s">
        <v>275</v>
      </c>
      <c r="B5" s="36"/>
      <c r="C5" s="35"/>
      <c r="D5" s="35"/>
      <c r="E5" s="38"/>
      <c r="F5" s="38"/>
      <c r="G5" s="37">
        <v>16</v>
      </c>
      <c r="H5" s="36"/>
      <c r="I5" s="35"/>
      <c r="J5" s="36"/>
      <c r="K5" s="37"/>
      <c r="L5" s="36"/>
      <c r="M5" s="35"/>
      <c r="N5" s="36"/>
      <c r="O5" s="35"/>
    </row>
    <row r="6" spans="1:15" ht="27" customHeight="1" x14ac:dyDescent="0.5">
      <c r="A6" s="34" t="s">
        <v>276</v>
      </c>
      <c r="B6" s="36"/>
      <c r="C6" s="35"/>
      <c r="D6" s="35"/>
      <c r="E6" s="38"/>
      <c r="F6" s="38"/>
      <c r="G6" s="37">
        <v>16</v>
      </c>
      <c r="H6" s="36"/>
      <c r="I6" s="35"/>
      <c r="J6" s="36"/>
      <c r="K6" s="37"/>
      <c r="L6" s="36"/>
      <c r="M6" s="35"/>
      <c r="N6" s="36"/>
      <c r="O6" s="35"/>
    </row>
    <row r="7" spans="1:15" ht="27" customHeight="1" x14ac:dyDescent="0.5">
      <c r="A7" s="34" t="s">
        <v>154</v>
      </c>
      <c r="B7" s="36"/>
      <c r="C7" s="35"/>
      <c r="D7" s="35"/>
      <c r="E7" s="38"/>
      <c r="F7" s="38"/>
      <c r="G7" s="37"/>
      <c r="H7" s="36">
        <v>16</v>
      </c>
      <c r="I7" s="35"/>
      <c r="J7" s="36"/>
      <c r="K7" s="37"/>
      <c r="L7" s="36"/>
      <c r="M7" s="35"/>
      <c r="N7" s="36"/>
      <c r="O7" s="35"/>
    </row>
    <row r="8" spans="1:15" ht="27" customHeight="1" x14ac:dyDescent="0.5">
      <c r="A8" s="34" t="s">
        <v>277</v>
      </c>
      <c r="B8" s="36"/>
      <c r="C8" s="35"/>
      <c r="D8" s="35"/>
      <c r="E8" s="38"/>
      <c r="F8" s="38"/>
      <c r="G8" s="37">
        <v>16</v>
      </c>
      <c r="H8" s="36"/>
      <c r="I8" s="35"/>
      <c r="J8" s="36"/>
      <c r="K8" s="37"/>
      <c r="L8" s="36"/>
      <c r="M8" s="35"/>
      <c r="N8" s="36"/>
      <c r="O8" s="35"/>
    </row>
    <row r="9" spans="1:15" ht="27" customHeight="1" x14ac:dyDescent="0.5">
      <c r="A9" s="34" t="s">
        <v>279</v>
      </c>
      <c r="B9" s="36">
        <v>1</v>
      </c>
      <c r="C9" s="35"/>
      <c r="D9" s="35"/>
      <c r="E9" s="38"/>
      <c r="F9" s="38"/>
      <c r="G9" s="37"/>
      <c r="H9" s="36"/>
      <c r="I9" s="35"/>
      <c r="J9" s="36"/>
      <c r="K9" s="37"/>
      <c r="L9" s="36"/>
      <c r="M9" s="35"/>
      <c r="N9" s="36"/>
      <c r="O9" s="35"/>
    </row>
    <row r="10" spans="1:15" ht="27" customHeight="1" x14ac:dyDescent="0.5">
      <c r="A10" s="34" t="s">
        <v>284</v>
      </c>
      <c r="B10" s="36"/>
      <c r="C10" s="35"/>
      <c r="D10" s="35"/>
      <c r="E10" s="38"/>
      <c r="F10" s="38"/>
      <c r="G10" s="37"/>
      <c r="H10" s="36"/>
      <c r="I10" s="35"/>
      <c r="J10" s="36"/>
      <c r="K10" s="37"/>
      <c r="L10" s="36"/>
      <c r="M10" s="35"/>
      <c r="N10" s="36">
        <v>12</v>
      </c>
      <c r="O10" s="35"/>
    </row>
    <row r="11" spans="1:15" ht="27" customHeight="1" x14ac:dyDescent="0.5">
      <c r="A11" s="34" t="s">
        <v>287</v>
      </c>
      <c r="B11" s="36"/>
      <c r="C11" s="35"/>
      <c r="D11" s="35"/>
      <c r="E11" s="38"/>
      <c r="F11" s="38">
        <v>2</v>
      </c>
      <c r="G11" s="37"/>
      <c r="H11" s="36"/>
      <c r="I11" s="35"/>
      <c r="J11" s="36"/>
      <c r="K11" s="37"/>
      <c r="L11" s="36"/>
      <c r="M11" s="35"/>
      <c r="N11" s="36"/>
      <c r="O11" s="35"/>
    </row>
    <row r="12" spans="1:15" ht="27" customHeight="1" x14ac:dyDescent="0.5">
      <c r="A12" s="34" t="s">
        <v>288</v>
      </c>
      <c r="B12" s="36"/>
      <c r="C12" s="35"/>
      <c r="D12" s="35"/>
      <c r="E12" s="38"/>
      <c r="F12" s="38"/>
      <c r="G12" s="37"/>
      <c r="H12" s="36">
        <v>2</v>
      </c>
      <c r="I12" s="35"/>
      <c r="J12" s="36"/>
      <c r="K12" s="37"/>
      <c r="L12" s="36"/>
      <c r="M12" s="35"/>
      <c r="N12" s="36"/>
      <c r="O12" s="35"/>
    </row>
    <row r="13" spans="1:15" ht="27" customHeight="1" x14ac:dyDescent="0.5">
      <c r="A13" s="34" t="s">
        <v>289</v>
      </c>
      <c r="B13" s="36"/>
      <c r="C13" s="35"/>
      <c r="D13" s="35"/>
      <c r="E13" s="38"/>
      <c r="F13" s="38"/>
      <c r="G13" s="37"/>
      <c r="H13" s="36">
        <v>1</v>
      </c>
      <c r="I13" s="35">
        <v>1</v>
      </c>
      <c r="J13" s="36">
        <v>1</v>
      </c>
      <c r="K13" s="37"/>
      <c r="L13" s="36">
        <v>1</v>
      </c>
      <c r="M13" s="35"/>
      <c r="N13" s="36"/>
      <c r="O13" s="35">
        <v>1</v>
      </c>
    </row>
    <row r="14" spans="1:15" ht="27" customHeight="1" x14ac:dyDescent="0.5">
      <c r="A14" s="34" t="s">
        <v>290</v>
      </c>
      <c r="B14" s="36"/>
      <c r="C14" s="35"/>
      <c r="D14" s="35"/>
      <c r="E14" s="38"/>
      <c r="F14" s="38">
        <v>1</v>
      </c>
      <c r="G14" s="37"/>
      <c r="H14" s="36"/>
      <c r="I14" s="35"/>
      <c r="J14" s="36"/>
      <c r="K14" s="37"/>
      <c r="L14" s="36"/>
      <c r="M14" s="35"/>
      <c r="N14" s="36"/>
      <c r="O14" s="35">
        <v>1</v>
      </c>
    </row>
    <row r="15" spans="1:15" ht="27" customHeight="1" x14ac:dyDescent="0.5">
      <c r="A15" s="34" t="s">
        <v>291</v>
      </c>
      <c r="B15" s="36"/>
      <c r="C15" s="35"/>
      <c r="D15" s="35"/>
      <c r="E15" s="38"/>
      <c r="F15" s="38">
        <v>1</v>
      </c>
      <c r="G15" s="37"/>
      <c r="H15" s="36"/>
      <c r="I15" s="35"/>
      <c r="J15" s="36"/>
      <c r="K15" s="37"/>
      <c r="L15" s="36"/>
      <c r="M15" s="35"/>
      <c r="N15" s="36"/>
      <c r="O15" s="35">
        <v>1</v>
      </c>
    </row>
    <row r="16" spans="1:15" ht="27" customHeight="1" x14ac:dyDescent="0.5">
      <c r="A16" s="34" t="s">
        <v>292</v>
      </c>
      <c r="B16" s="36"/>
      <c r="C16" s="35"/>
      <c r="D16" s="35"/>
      <c r="E16" s="38"/>
      <c r="F16" s="38">
        <v>1</v>
      </c>
      <c r="G16" s="37"/>
      <c r="H16" s="36"/>
      <c r="I16" s="35"/>
      <c r="J16" s="36"/>
      <c r="K16" s="37"/>
      <c r="L16" s="36"/>
      <c r="M16" s="35"/>
      <c r="N16" s="36"/>
      <c r="O16" s="35">
        <v>1</v>
      </c>
    </row>
    <row r="17" spans="1:15" ht="27" customHeight="1" x14ac:dyDescent="0.5">
      <c r="A17" s="34" t="s">
        <v>293</v>
      </c>
      <c r="B17" s="36"/>
      <c r="C17" s="35"/>
      <c r="D17" s="35"/>
      <c r="E17" s="38"/>
      <c r="F17" s="38">
        <v>1</v>
      </c>
      <c r="G17" s="37"/>
      <c r="H17" s="36"/>
      <c r="I17" s="35"/>
      <c r="J17" s="36"/>
      <c r="K17" s="37"/>
      <c r="L17" s="36"/>
      <c r="M17" s="35"/>
      <c r="N17" s="36"/>
      <c r="O17" s="35">
        <v>1</v>
      </c>
    </row>
    <row r="18" spans="1:15" ht="27" customHeight="1" x14ac:dyDescent="0.5">
      <c r="A18" s="34" t="s">
        <v>294</v>
      </c>
      <c r="B18" s="36"/>
      <c r="C18" s="35"/>
      <c r="D18" s="35"/>
      <c r="E18" s="38"/>
      <c r="F18" s="38">
        <v>1</v>
      </c>
      <c r="G18" s="37"/>
      <c r="H18" s="36"/>
      <c r="I18" s="35"/>
      <c r="J18" s="36"/>
      <c r="K18" s="37"/>
      <c r="L18" s="36"/>
      <c r="M18" s="35"/>
      <c r="N18" s="36"/>
      <c r="O18" s="35">
        <v>1</v>
      </c>
    </row>
    <row r="19" spans="1:15" ht="27" customHeight="1" x14ac:dyDescent="0.5">
      <c r="A19" s="34" t="s">
        <v>295</v>
      </c>
      <c r="B19" s="36"/>
      <c r="C19" s="35"/>
      <c r="D19" s="35"/>
      <c r="E19" s="38">
        <v>1</v>
      </c>
      <c r="F19" s="38"/>
      <c r="G19" s="37"/>
      <c r="H19" s="36"/>
      <c r="I19" s="35"/>
      <c r="J19" s="36"/>
      <c r="K19" s="37"/>
      <c r="L19" s="36"/>
      <c r="M19" s="35"/>
      <c r="N19" s="36"/>
      <c r="O19" s="35"/>
    </row>
    <row r="20" spans="1:15" ht="27" customHeight="1" x14ac:dyDescent="0.5">
      <c r="A20" s="34" t="s">
        <v>296</v>
      </c>
      <c r="B20" s="36"/>
      <c r="C20" s="35"/>
      <c r="D20" s="35"/>
      <c r="E20" s="38"/>
      <c r="F20" s="38"/>
      <c r="G20" s="37"/>
      <c r="H20" s="36"/>
      <c r="I20" s="35">
        <v>3</v>
      </c>
      <c r="J20" s="36"/>
      <c r="K20" s="37"/>
      <c r="L20" s="36"/>
      <c r="M20" s="35">
        <v>1</v>
      </c>
      <c r="N20" s="36"/>
      <c r="O20" s="35">
        <v>1</v>
      </c>
    </row>
    <row r="21" spans="1:15" ht="27" customHeight="1" x14ac:dyDescent="0.5">
      <c r="A21" s="34" t="s">
        <v>298</v>
      </c>
      <c r="B21" s="36"/>
      <c r="C21" s="35"/>
      <c r="D21" s="35"/>
      <c r="E21" s="38"/>
      <c r="F21" s="38">
        <v>1</v>
      </c>
      <c r="G21" s="37"/>
      <c r="H21" s="36"/>
      <c r="I21" s="35"/>
      <c r="J21" s="36"/>
      <c r="K21" s="37">
        <v>1</v>
      </c>
      <c r="L21" s="36"/>
      <c r="M21" s="35"/>
      <c r="N21" s="36"/>
      <c r="O21" s="35"/>
    </row>
    <row r="22" spans="1:15" ht="27" customHeight="1" x14ac:dyDescent="0.5">
      <c r="A22" s="34" t="s">
        <v>280</v>
      </c>
      <c r="B22" s="36"/>
      <c r="C22" s="35">
        <v>20</v>
      </c>
      <c r="D22" s="35">
        <v>30</v>
      </c>
      <c r="E22" s="38"/>
      <c r="F22" s="38"/>
      <c r="G22" s="37"/>
      <c r="H22" s="36"/>
      <c r="I22" s="35"/>
      <c r="J22" s="36"/>
      <c r="K22" s="37"/>
      <c r="L22" s="36"/>
      <c r="M22" s="35"/>
      <c r="N22" s="36"/>
      <c r="O22" s="35"/>
    </row>
    <row r="23" spans="1:15" ht="27" customHeight="1" x14ac:dyDescent="0.5">
      <c r="A23" s="34" t="s">
        <v>281</v>
      </c>
      <c r="B23" s="36"/>
      <c r="C23" s="35">
        <v>15</v>
      </c>
      <c r="D23" s="35">
        <v>20</v>
      </c>
      <c r="E23" s="38"/>
      <c r="F23" s="38"/>
      <c r="G23" s="37"/>
      <c r="H23" s="36"/>
      <c r="I23" s="35"/>
      <c r="J23" s="36"/>
      <c r="K23" s="37"/>
      <c r="L23" s="36"/>
      <c r="M23" s="35"/>
      <c r="N23" s="36"/>
      <c r="O23" s="35"/>
    </row>
    <row r="24" spans="1:15" ht="27" customHeight="1" x14ac:dyDescent="0.5">
      <c r="A24" s="34" t="s">
        <v>282</v>
      </c>
      <c r="B24" s="36"/>
      <c r="C24" s="35"/>
      <c r="D24" s="35">
        <v>20</v>
      </c>
      <c r="E24" s="38"/>
      <c r="F24" s="38"/>
      <c r="G24" s="37"/>
      <c r="H24" s="36"/>
      <c r="I24" s="35"/>
      <c r="J24" s="36"/>
      <c r="K24" s="37"/>
      <c r="L24" s="36"/>
      <c r="M24" s="35"/>
      <c r="N24" s="36"/>
      <c r="O24" s="35"/>
    </row>
    <row r="25" spans="1:15" ht="27" customHeight="1" x14ac:dyDescent="0.5">
      <c r="A25" s="34" t="s">
        <v>283</v>
      </c>
      <c r="B25" s="36"/>
      <c r="C25" s="35">
        <v>20</v>
      </c>
      <c r="D25" s="35">
        <v>20</v>
      </c>
      <c r="E25" s="38"/>
      <c r="F25" s="38"/>
      <c r="G25" s="37"/>
      <c r="H25" s="36"/>
      <c r="I25" s="35"/>
      <c r="J25" s="36"/>
      <c r="K25" s="37"/>
      <c r="L25" s="36"/>
      <c r="M25" s="35"/>
      <c r="N25" s="36"/>
      <c r="O25" s="35"/>
    </row>
    <row r="26" spans="1:15" ht="27" customHeight="1" x14ac:dyDescent="0.5">
      <c r="A26" s="34" t="s">
        <v>299</v>
      </c>
      <c r="B26" s="36"/>
      <c r="C26" s="35"/>
      <c r="D26" s="35"/>
      <c r="E26" s="38"/>
      <c r="F26" s="38"/>
      <c r="G26" s="37">
        <v>5</v>
      </c>
      <c r="H26" s="36"/>
      <c r="I26" s="35"/>
      <c r="J26" s="36"/>
      <c r="K26" s="37"/>
      <c r="L26" s="36"/>
      <c r="M26" s="35"/>
      <c r="N26" s="36"/>
      <c r="O26" s="35">
        <v>1</v>
      </c>
    </row>
  </sheetData>
  <mergeCells count="2">
    <mergeCell ref="C1:D1"/>
    <mergeCell ref="E1:F1"/>
  </mergeCells>
  <phoneticPr fontId="3" type="noConversion"/>
  <pageMargins left="1" right="1" top="1" bottom="1" header="0.5" footer="0.5"/>
  <pageSetup paperSize="9" scale="3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J11" sqref="J11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0" width="9" style="4"/>
    <col min="11" max="12" width="32.125" style="4" customWidth="1"/>
    <col min="13" max="16384" width="9" style="4"/>
  </cols>
  <sheetData>
    <row r="1" spans="1:12" ht="188.25" customHeight="1" x14ac:dyDescent="0.3">
      <c r="A1" s="105" t="s">
        <v>302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  <c r="I1" s="3"/>
    </row>
    <row r="2" spans="1:12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  <c r="I2" s="3"/>
    </row>
    <row r="3" spans="1:12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  <c r="I3" s="3"/>
    </row>
    <row r="4" spans="1:12" ht="110.25" customHeight="1" x14ac:dyDescent="0.3">
      <c r="A4" s="7"/>
      <c r="B4" s="8">
        <f t="shared" ref="B4:G4" si="0">SUM(B5:B7)</f>
        <v>10</v>
      </c>
      <c r="C4" s="8">
        <f t="shared" si="0"/>
        <v>12</v>
      </c>
      <c r="D4" s="8">
        <f t="shared" si="0"/>
        <v>176</v>
      </c>
      <c r="E4" s="8">
        <f t="shared" si="0"/>
        <v>16</v>
      </c>
      <c r="F4" s="8">
        <f>SUM(F5:F7)</f>
        <v>20</v>
      </c>
      <c r="G4" s="8">
        <f t="shared" si="0"/>
        <v>2506</v>
      </c>
      <c r="H4" s="9"/>
      <c r="I4" s="9"/>
    </row>
    <row r="5" spans="1:12" ht="92.25" customHeight="1" x14ac:dyDescent="0.3">
      <c r="A5" s="10" t="s">
        <v>10</v>
      </c>
      <c r="B5" s="11">
        <v>10</v>
      </c>
      <c r="C5" s="12"/>
      <c r="D5" s="12">
        <v>112</v>
      </c>
      <c r="E5" s="12">
        <v>12</v>
      </c>
      <c r="F5" s="12">
        <v>20</v>
      </c>
      <c r="G5" s="12">
        <f>1068+4</f>
        <v>1072</v>
      </c>
      <c r="H5" s="9"/>
      <c r="I5" s="9"/>
    </row>
    <row r="6" spans="1:12" ht="92.25" customHeight="1" x14ac:dyDescent="0.3">
      <c r="A6" s="10" t="s">
        <v>11</v>
      </c>
      <c r="B6" s="11"/>
      <c r="C6" s="12"/>
      <c r="D6" s="12">
        <v>48</v>
      </c>
      <c r="E6" s="12"/>
      <c r="F6" s="12"/>
      <c r="G6" s="12">
        <f>706+2</f>
        <v>708</v>
      </c>
      <c r="H6" s="9"/>
      <c r="I6" s="9"/>
    </row>
    <row r="7" spans="1:12" ht="92.25" customHeight="1" x14ac:dyDescent="0.3">
      <c r="A7" s="10" t="s">
        <v>12</v>
      </c>
      <c r="B7" s="11"/>
      <c r="C7" s="12">
        <f>4+8</f>
        <v>12</v>
      </c>
      <c r="D7" s="12">
        <v>16</v>
      </c>
      <c r="E7" s="12">
        <v>4</v>
      </c>
      <c r="F7" s="12"/>
      <c r="G7" s="12">
        <v>726</v>
      </c>
      <c r="H7" s="13"/>
      <c r="I7" s="13"/>
      <c r="K7" s="42"/>
    </row>
    <row r="8" spans="1:12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12" ht="27" customHeight="1" x14ac:dyDescent="0.3">
      <c r="A9" s="16"/>
      <c r="H9" s="3"/>
      <c r="I9" s="3"/>
    </row>
    <row r="10" spans="1:12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  <c r="I10" s="3"/>
      <c r="K10" s="82" t="s">
        <v>303</v>
      </c>
      <c r="L10" s="41" t="s">
        <v>304</v>
      </c>
    </row>
    <row r="11" spans="1:12" ht="84" customHeight="1" x14ac:dyDescent="0.3">
      <c r="A11" s="10" t="s">
        <v>10</v>
      </c>
      <c r="B11" s="20">
        <f>B5/10</f>
        <v>1</v>
      </c>
      <c r="C11" s="20"/>
      <c r="D11" s="20">
        <f>D5/16</f>
        <v>7</v>
      </c>
      <c r="E11" s="20">
        <f>E5/4</f>
        <v>3</v>
      </c>
      <c r="F11" s="20">
        <f>F5/20</f>
        <v>1</v>
      </c>
      <c r="G11" s="20">
        <f>G5/2</f>
        <v>536</v>
      </c>
      <c r="H11" s="21">
        <f>SUM(B11:G11)</f>
        <v>548</v>
      </c>
      <c r="I11" s="21" t="s">
        <v>308</v>
      </c>
      <c r="K11" s="41" t="s">
        <v>305</v>
      </c>
      <c r="L11" s="41">
        <f>G11-(9*56)</f>
        <v>32</v>
      </c>
    </row>
    <row r="12" spans="1:12" ht="84" customHeight="1" x14ac:dyDescent="0.3">
      <c r="A12" s="10" t="s">
        <v>11</v>
      </c>
      <c r="B12" s="20"/>
      <c r="C12" s="20"/>
      <c r="D12" s="20">
        <f>D6/16</f>
        <v>3</v>
      </c>
      <c r="E12" s="20"/>
      <c r="F12" s="20"/>
      <c r="G12" s="20">
        <f t="shared" ref="G12:G13" si="1">G6/2</f>
        <v>354</v>
      </c>
      <c r="H12" s="21">
        <f>SUM(B12:G12)</f>
        <v>357</v>
      </c>
      <c r="I12" s="21" t="s">
        <v>309</v>
      </c>
      <c r="K12" s="41" t="s">
        <v>306</v>
      </c>
      <c r="L12" s="41">
        <f>G12-(6*56)</f>
        <v>18</v>
      </c>
    </row>
    <row r="13" spans="1:12" ht="84" customHeight="1" x14ac:dyDescent="0.3">
      <c r="A13" s="10" t="s">
        <v>12</v>
      </c>
      <c r="B13" s="20"/>
      <c r="C13" s="20">
        <f>C7/4</f>
        <v>3</v>
      </c>
      <c r="D13" s="20">
        <f>D7/16</f>
        <v>1</v>
      </c>
      <c r="E13" s="20">
        <f>E7/4</f>
        <v>1</v>
      </c>
      <c r="F13" s="20"/>
      <c r="G13" s="20">
        <f t="shared" si="1"/>
        <v>363</v>
      </c>
      <c r="H13" s="21">
        <f>SUM(B13:G13)</f>
        <v>368</v>
      </c>
      <c r="I13" s="21" t="s">
        <v>310</v>
      </c>
      <c r="K13" s="41" t="s">
        <v>307</v>
      </c>
      <c r="L13" s="41">
        <f>G13-(6*56)</f>
        <v>27</v>
      </c>
    </row>
  </sheetData>
  <mergeCells count="1">
    <mergeCell ref="A1:A3"/>
  </mergeCells>
  <phoneticPr fontId="3" type="noConversion"/>
  <conditionalFormatting sqref="A5">
    <cfRule type="duplicateValues" dxfId="19" priority="4"/>
  </conditionalFormatting>
  <conditionalFormatting sqref="A6">
    <cfRule type="duplicateValues" dxfId="18" priority="5"/>
  </conditionalFormatting>
  <conditionalFormatting sqref="A7">
    <cfRule type="duplicateValues" dxfId="17" priority="2"/>
  </conditionalFormatting>
  <conditionalFormatting sqref="A11">
    <cfRule type="duplicateValues" dxfId="16" priority="3"/>
  </conditionalFormatting>
  <conditionalFormatting sqref="A12">
    <cfRule type="duplicateValues" dxfId="15" priority="6"/>
  </conditionalFormatting>
  <conditionalFormatting sqref="A13">
    <cfRule type="duplicateValues" dxfId="14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I12" sqref="I12"/>
    </sheetView>
  </sheetViews>
  <sheetFormatPr defaultColWidth="9" defaultRowHeight="16.5" x14ac:dyDescent="0.3"/>
  <cols>
    <col min="1" max="1" width="32.625" style="4" customWidth="1"/>
    <col min="2" max="2" width="18.625" style="4" customWidth="1"/>
    <col min="3" max="3" width="18.25" style="4" customWidth="1"/>
    <col min="4" max="6" width="11.625" style="4" customWidth="1"/>
    <col min="7" max="8" width="11.125" style="4" customWidth="1"/>
    <col min="9" max="9" width="18.625" style="4" customWidth="1"/>
    <col min="10" max="10" width="18.625" style="39" customWidth="1"/>
    <col min="11" max="13" width="18.625" style="4" customWidth="1"/>
    <col min="14" max="14" width="18.625" style="39" customWidth="1"/>
    <col min="15" max="15" width="18.625" style="4" customWidth="1"/>
    <col min="16" max="16" width="18.625" style="39" customWidth="1"/>
    <col min="17" max="17" width="18.625" style="4" customWidth="1"/>
    <col min="18" max="18" width="18.625" style="39" customWidth="1"/>
    <col min="19" max="16384" width="9" style="4"/>
  </cols>
  <sheetData>
    <row r="1" spans="1:18" ht="144" customHeight="1" x14ac:dyDescent="0.3">
      <c r="A1" s="22" t="s">
        <v>311</v>
      </c>
      <c r="B1" s="81" t="s">
        <v>21</v>
      </c>
      <c r="C1" s="87" t="s">
        <v>20</v>
      </c>
      <c r="D1" s="109" t="s">
        <v>23</v>
      </c>
      <c r="E1" s="110"/>
      <c r="F1" s="114"/>
      <c r="G1" s="107" t="s">
        <v>71</v>
      </c>
      <c r="H1" s="108"/>
      <c r="I1" s="84" t="s">
        <v>256</v>
      </c>
      <c r="J1" s="80" t="s">
        <v>297</v>
      </c>
      <c r="K1" s="84" t="s">
        <v>272</v>
      </c>
      <c r="L1" s="83" t="s">
        <v>340</v>
      </c>
      <c r="M1" s="84" t="s">
        <v>341</v>
      </c>
      <c r="N1" s="83" t="s">
        <v>342</v>
      </c>
      <c r="O1" s="84" t="s">
        <v>343</v>
      </c>
      <c r="P1" s="83" t="s">
        <v>344</v>
      </c>
      <c r="Q1" s="86" t="s">
        <v>346</v>
      </c>
      <c r="R1" s="85" t="s">
        <v>147</v>
      </c>
    </row>
    <row r="2" spans="1:18" ht="45" customHeight="1" x14ac:dyDescent="0.3">
      <c r="A2" s="24" t="s">
        <v>25</v>
      </c>
      <c r="B2" s="25"/>
      <c r="C2" s="87"/>
      <c r="D2" s="90" t="s">
        <v>351</v>
      </c>
      <c r="E2" s="45"/>
      <c r="F2" s="45"/>
      <c r="G2" s="26"/>
      <c r="H2" s="26"/>
      <c r="I2" s="25"/>
      <c r="J2" s="27"/>
      <c r="K2" s="25"/>
      <c r="L2" s="26"/>
      <c r="M2" s="25"/>
      <c r="N2" s="27"/>
      <c r="O2" s="25"/>
      <c r="P2" s="27"/>
      <c r="Q2" s="25"/>
      <c r="R2" s="27"/>
    </row>
    <row r="3" spans="1:18" ht="38.25" customHeight="1" x14ac:dyDescent="0.3">
      <c r="A3" s="28" t="s">
        <v>92</v>
      </c>
      <c r="B3" s="30" t="s">
        <v>27</v>
      </c>
      <c r="C3" s="29" t="s">
        <v>28</v>
      </c>
      <c r="D3" s="31" t="s">
        <v>27</v>
      </c>
      <c r="E3" s="31" t="s">
        <v>27</v>
      </c>
      <c r="F3" s="31" t="s">
        <v>28</v>
      </c>
      <c r="G3" s="29" t="s">
        <v>30</v>
      </c>
      <c r="H3" s="29" t="s">
        <v>339</v>
      </c>
      <c r="I3" s="30" t="s">
        <v>82</v>
      </c>
      <c r="J3" s="29" t="s">
        <v>82</v>
      </c>
      <c r="K3" s="30" t="s">
        <v>30</v>
      </c>
      <c r="L3" s="29" t="s">
        <v>345</v>
      </c>
      <c r="M3" s="30" t="s">
        <v>345</v>
      </c>
      <c r="N3" s="29" t="s">
        <v>345</v>
      </c>
      <c r="O3" s="30" t="s">
        <v>345</v>
      </c>
      <c r="P3" s="29" t="s">
        <v>345</v>
      </c>
      <c r="Q3" s="30" t="s">
        <v>347</v>
      </c>
      <c r="R3" s="29" t="s">
        <v>148</v>
      </c>
    </row>
    <row r="4" spans="1:18" ht="38.25" customHeight="1" x14ac:dyDescent="0.3">
      <c r="A4" s="32" t="s">
        <v>31</v>
      </c>
      <c r="B4" s="33">
        <f t="shared" ref="B4:R4" si="0">SUM(B5:B37)</f>
        <v>2</v>
      </c>
      <c r="C4" s="33">
        <f t="shared" si="0"/>
        <v>3</v>
      </c>
      <c r="D4" s="33">
        <f t="shared" si="0"/>
        <v>12</v>
      </c>
      <c r="E4" s="33">
        <f t="shared" si="0"/>
        <v>4</v>
      </c>
      <c r="F4" s="33">
        <f t="shared" si="0"/>
        <v>8</v>
      </c>
      <c r="G4" s="33">
        <f t="shared" si="0"/>
        <v>9</v>
      </c>
      <c r="H4" s="33">
        <f t="shared" si="0"/>
        <v>1</v>
      </c>
      <c r="I4" s="33">
        <f t="shared" si="0"/>
        <v>6</v>
      </c>
      <c r="J4" s="33">
        <f t="shared" si="0"/>
        <v>1</v>
      </c>
      <c r="K4" s="33">
        <f t="shared" si="0"/>
        <v>7</v>
      </c>
      <c r="L4" s="33">
        <f t="shared" si="0"/>
        <v>1</v>
      </c>
      <c r="M4" s="33">
        <f t="shared" si="0"/>
        <v>1</v>
      </c>
      <c r="N4" s="33">
        <f t="shared" si="0"/>
        <v>20</v>
      </c>
      <c r="O4" s="33">
        <f t="shared" si="0"/>
        <v>1</v>
      </c>
      <c r="P4" s="33">
        <f t="shared" si="0"/>
        <v>5</v>
      </c>
      <c r="Q4" s="33">
        <f t="shared" si="0"/>
        <v>1</v>
      </c>
      <c r="R4" s="33">
        <f t="shared" si="0"/>
        <v>20</v>
      </c>
    </row>
    <row r="5" spans="1:18" ht="27" customHeight="1" x14ac:dyDescent="0.5">
      <c r="A5" s="34" t="s">
        <v>312</v>
      </c>
      <c r="B5" s="36">
        <v>1</v>
      </c>
      <c r="C5" s="35"/>
      <c r="D5" s="38"/>
      <c r="E5" s="38"/>
      <c r="F5" s="38"/>
      <c r="G5" s="37"/>
      <c r="H5" s="37"/>
      <c r="I5" s="36"/>
      <c r="J5" s="35"/>
      <c r="K5" s="36"/>
      <c r="L5" s="37"/>
      <c r="M5" s="36"/>
      <c r="N5" s="35"/>
      <c r="O5" s="36"/>
      <c r="P5" s="35"/>
      <c r="Q5" s="36"/>
      <c r="R5" s="35"/>
    </row>
    <row r="6" spans="1:18" ht="27" customHeight="1" x14ac:dyDescent="0.5">
      <c r="A6" s="34" t="s">
        <v>313</v>
      </c>
      <c r="B6" s="36"/>
      <c r="C6" s="35"/>
      <c r="D6" s="38"/>
      <c r="E6" s="38"/>
      <c r="F6" s="38"/>
      <c r="G6" s="37"/>
      <c r="H6" s="37"/>
      <c r="I6" s="36"/>
      <c r="J6" s="35"/>
      <c r="K6" s="36"/>
      <c r="L6" s="37"/>
      <c r="M6" s="36"/>
      <c r="N6" s="35"/>
      <c r="O6" s="36"/>
      <c r="P6" s="35">
        <v>1</v>
      </c>
      <c r="Q6" s="36"/>
      <c r="R6" s="35"/>
    </row>
    <row r="7" spans="1:18" ht="27" customHeight="1" x14ac:dyDescent="0.5">
      <c r="A7" s="34" t="s">
        <v>314</v>
      </c>
      <c r="B7" s="36"/>
      <c r="C7" s="35"/>
      <c r="D7" s="38"/>
      <c r="E7" s="38"/>
      <c r="F7" s="38"/>
      <c r="G7" s="37"/>
      <c r="H7" s="37"/>
      <c r="I7" s="36"/>
      <c r="J7" s="35"/>
      <c r="K7" s="36"/>
      <c r="L7" s="37"/>
      <c r="M7" s="36"/>
      <c r="N7" s="35"/>
      <c r="O7" s="36"/>
      <c r="P7" s="35">
        <v>2</v>
      </c>
      <c r="Q7" s="36"/>
      <c r="R7" s="35"/>
    </row>
    <row r="8" spans="1:18" ht="27" customHeight="1" x14ac:dyDescent="0.5">
      <c r="A8" s="34" t="s">
        <v>315</v>
      </c>
      <c r="B8" s="36"/>
      <c r="C8" s="35"/>
      <c r="D8" s="38"/>
      <c r="E8" s="38"/>
      <c r="F8" s="38"/>
      <c r="G8" s="37"/>
      <c r="H8" s="37"/>
      <c r="I8" s="36"/>
      <c r="J8" s="35"/>
      <c r="K8" s="36"/>
      <c r="L8" s="37"/>
      <c r="M8" s="36"/>
      <c r="N8" s="35">
        <v>2</v>
      </c>
      <c r="O8" s="36"/>
      <c r="P8" s="35"/>
      <c r="Q8" s="36"/>
      <c r="R8" s="35"/>
    </row>
    <row r="9" spans="1:18" ht="27" customHeight="1" x14ac:dyDescent="0.5">
      <c r="A9" s="34" t="s">
        <v>316</v>
      </c>
      <c r="B9" s="36"/>
      <c r="C9" s="35"/>
      <c r="D9" s="38"/>
      <c r="E9" s="38"/>
      <c r="F9" s="38"/>
      <c r="G9" s="37"/>
      <c r="H9" s="37"/>
      <c r="I9" s="36"/>
      <c r="J9" s="35"/>
      <c r="K9" s="36"/>
      <c r="L9" s="37"/>
      <c r="M9" s="36"/>
      <c r="N9" s="35">
        <v>2</v>
      </c>
      <c r="O9" s="36"/>
      <c r="P9" s="35"/>
      <c r="Q9" s="36"/>
      <c r="R9" s="35"/>
    </row>
    <row r="10" spans="1:18" ht="27" customHeight="1" x14ac:dyDescent="0.5">
      <c r="A10" s="34" t="s">
        <v>317</v>
      </c>
      <c r="B10" s="36"/>
      <c r="C10" s="35"/>
      <c r="D10" s="38"/>
      <c r="E10" s="38"/>
      <c r="F10" s="38"/>
      <c r="G10" s="37"/>
      <c r="H10" s="37"/>
      <c r="I10" s="36"/>
      <c r="J10" s="35"/>
      <c r="K10" s="36"/>
      <c r="L10" s="37"/>
      <c r="M10" s="36"/>
      <c r="N10" s="35"/>
      <c r="O10" s="36"/>
      <c r="P10" s="35">
        <v>2</v>
      </c>
      <c r="Q10" s="36"/>
      <c r="R10" s="35"/>
    </row>
    <row r="11" spans="1:18" ht="27" customHeight="1" x14ac:dyDescent="0.5">
      <c r="A11" s="34" t="s">
        <v>318</v>
      </c>
      <c r="B11" s="36"/>
      <c r="C11" s="35">
        <v>1</v>
      </c>
      <c r="D11" s="38"/>
      <c r="E11" s="38"/>
      <c r="F11" s="38"/>
      <c r="G11" s="37"/>
      <c r="H11" s="37"/>
      <c r="I11" s="36"/>
      <c r="J11" s="35"/>
      <c r="K11" s="36"/>
      <c r="L11" s="37"/>
      <c r="M11" s="36"/>
      <c r="N11" s="35"/>
      <c r="O11" s="36"/>
      <c r="P11" s="35"/>
      <c r="Q11" s="36"/>
      <c r="R11" s="35"/>
    </row>
    <row r="12" spans="1:18" ht="27" customHeight="1" x14ac:dyDescent="0.5">
      <c r="A12" s="34" t="s">
        <v>319</v>
      </c>
      <c r="B12" s="36"/>
      <c r="C12" s="35"/>
      <c r="D12" s="38"/>
      <c r="E12" s="38"/>
      <c r="F12" s="38"/>
      <c r="G12" s="37"/>
      <c r="H12" s="37"/>
      <c r="I12" s="36"/>
      <c r="J12" s="35"/>
      <c r="K12" s="36">
        <v>6</v>
      </c>
      <c r="L12" s="37"/>
      <c r="M12" s="36"/>
      <c r="N12" s="35">
        <v>1</v>
      </c>
      <c r="O12" s="36"/>
      <c r="P12" s="35"/>
      <c r="Q12" s="36"/>
      <c r="R12" s="35">
        <v>1</v>
      </c>
    </row>
    <row r="13" spans="1:18" ht="27" customHeight="1" x14ac:dyDescent="0.5">
      <c r="A13" s="34" t="s">
        <v>320</v>
      </c>
      <c r="B13" s="36"/>
      <c r="C13" s="35"/>
      <c r="D13" s="38"/>
      <c r="E13" s="38"/>
      <c r="F13" s="38"/>
      <c r="G13" s="37">
        <v>3</v>
      </c>
      <c r="H13" s="37"/>
      <c r="I13" s="36"/>
      <c r="J13" s="35"/>
      <c r="K13" s="36"/>
      <c r="L13" s="37"/>
      <c r="M13" s="36"/>
      <c r="N13" s="35"/>
      <c r="O13" s="36"/>
      <c r="P13" s="35"/>
      <c r="Q13" s="36"/>
      <c r="R13" s="35">
        <v>1</v>
      </c>
    </row>
    <row r="14" spans="1:18" ht="27" customHeight="1" x14ac:dyDescent="0.5">
      <c r="A14" s="34" t="s">
        <v>321</v>
      </c>
      <c r="B14" s="36"/>
      <c r="C14" s="35"/>
      <c r="D14" s="38"/>
      <c r="E14" s="38">
        <v>1</v>
      </c>
      <c r="F14" s="38"/>
      <c r="G14" s="37"/>
      <c r="H14" s="37"/>
      <c r="I14" s="36"/>
      <c r="J14" s="35"/>
      <c r="K14" s="36">
        <v>1</v>
      </c>
      <c r="L14" s="37">
        <v>1</v>
      </c>
      <c r="M14" s="36"/>
      <c r="N14" s="35"/>
      <c r="O14" s="36"/>
      <c r="P14" s="35"/>
      <c r="Q14" s="36"/>
      <c r="R14" s="35">
        <v>1</v>
      </c>
    </row>
    <row r="15" spans="1:18" ht="27" customHeight="1" x14ac:dyDescent="0.5">
      <c r="A15" s="34" t="s">
        <v>322</v>
      </c>
      <c r="B15" s="36"/>
      <c r="C15" s="35"/>
      <c r="D15" s="38"/>
      <c r="E15" s="38"/>
      <c r="F15" s="38"/>
      <c r="G15" s="37"/>
      <c r="H15" s="37"/>
      <c r="I15" s="36"/>
      <c r="J15" s="35"/>
      <c r="K15" s="36"/>
      <c r="L15" s="37"/>
      <c r="M15" s="36"/>
      <c r="N15" s="35">
        <v>10</v>
      </c>
      <c r="O15" s="36"/>
      <c r="P15" s="35"/>
      <c r="Q15" s="36"/>
      <c r="R15" s="35">
        <v>1</v>
      </c>
    </row>
    <row r="16" spans="1:18" ht="27" customHeight="1" x14ac:dyDescent="0.5">
      <c r="A16" s="34" t="s">
        <v>323</v>
      </c>
      <c r="B16" s="36"/>
      <c r="C16" s="35"/>
      <c r="D16" s="38"/>
      <c r="E16" s="38"/>
      <c r="F16" s="38"/>
      <c r="G16" s="37">
        <v>2</v>
      </c>
      <c r="H16" s="37"/>
      <c r="I16" s="36"/>
      <c r="J16" s="35">
        <v>1</v>
      </c>
      <c r="K16" s="36"/>
      <c r="L16" s="37"/>
      <c r="M16" s="36"/>
      <c r="N16" s="35"/>
      <c r="O16" s="36"/>
      <c r="P16" s="35"/>
      <c r="Q16" s="36"/>
      <c r="R16" s="35">
        <v>1</v>
      </c>
    </row>
    <row r="17" spans="1:18" ht="27" customHeight="1" x14ac:dyDescent="0.5">
      <c r="A17" s="34" t="s">
        <v>324</v>
      </c>
      <c r="B17" s="36"/>
      <c r="C17" s="35">
        <v>1</v>
      </c>
      <c r="D17" s="38"/>
      <c r="E17" s="38"/>
      <c r="F17" s="38"/>
      <c r="G17" s="37"/>
      <c r="H17" s="37"/>
      <c r="I17" s="36"/>
      <c r="J17" s="35"/>
      <c r="K17" s="36"/>
      <c r="L17" s="37"/>
      <c r="M17" s="36"/>
      <c r="N17" s="35"/>
      <c r="O17" s="36"/>
      <c r="P17" s="35"/>
      <c r="Q17" s="36"/>
      <c r="R17" s="35">
        <v>1</v>
      </c>
    </row>
    <row r="18" spans="1:18" ht="27" customHeight="1" x14ac:dyDescent="0.5">
      <c r="A18" s="34" t="s">
        <v>325</v>
      </c>
      <c r="B18" s="36"/>
      <c r="C18" s="35"/>
      <c r="D18" s="38"/>
      <c r="E18" s="38"/>
      <c r="F18" s="38"/>
      <c r="G18" s="37"/>
      <c r="H18" s="37"/>
      <c r="I18" s="36"/>
      <c r="J18" s="35"/>
      <c r="K18" s="36"/>
      <c r="L18" s="37"/>
      <c r="M18" s="36"/>
      <c r="N18" s="35">
        <v>5</v>
      </c>
      <c r="O18" s="36"/>
      <c r="P18" s="35"/>
      <c r="Q18" s="36"/>
      <c r="R18" s="35"/>
    </row>
    <row r="19" spans="1:18" ht="27" customHeight="1" x14ac:dyDescent="0.5">
      <c r="A19" s="34" t="s">
        <v>326</v>
      </c>
      <c r="B19" s="36"/>
      <c r="C19" s="35"/>
      <c r="D19" s="38"/>
      <c r="E19" s="38"/>
      <c r="F19" s="38"/>
      <c r="G19" s="37"/>
      <c r="H19" s="37"/>
      <c r="I19" s="36">
        <v>2</v>
      </c>
      <c r="J19" s="35"/>
      <c r="K19" s="36"/>
      <c r="L19" s="37"/>
      <c r="M19" s="36"/>
      <c r="N19" s="35"/>
      <c r="O19" s="36">
        <v>1</v>
      </c>
      <c r="P19" s="35"/>
      <c r="Q19" s="36"/>
      <c r="R19" s="35">
        <v>1</v>
      </c>
    </row>
    <row r="20" spans="1:18" ht="27" customHeight="1" x14ac:dyDescent="0.5">
      <c r="A20" s="34" t="s">
        <v>327</v>
      </c>
      <c r="B20" s="36"/>
      <c r="C20" s="35"/>
      <c r="D20" s="38"/>
      <c r="E20" s="38"/>
      <c r="F20" s="38">
        <v>1</v>
      </c>
      <c r="G20" s="37"/>
      <c r="H20" s="37"/>
      <c r="I20" s="36"/>
      <c r="J20" s="35"/>
      <c r="K20" s="36"/>
      <c r="L20" s="37"/>
      <c r="M20" s="36"/>
      <c r="N20" s="35"/>
      <c r="O20" s="36"/>
      <c r="P20" s="35"/>
      <c r="Q20" s="36"/>
      <c r="R20" s="35">
        <v>1</v>
      </c>
    </row>
    <row r="21" spans="1:18" ht="27" customHeight="1" x14ac:dyDescent="0.5">
      <c r="A21" s="34" t="s">
        <v>328</v>
      </c>
      <c r="B21" s="36"/>
      <c r="C21" s="35"/>
      <c r="D21" s="38"/>
      <c r="E21" s="38"/>
      <c r="F21" s="38"/>
      <c r="G21" s="37"/>
      <c r="H21" s="37">
        <v>1</v>
      </c>
      <c r="I21" s="36"/>
      <c r="J21" s="35"/>
      <c r="K21" s="36"/>
      <c r="L21" s="37"/>
      <c r="M21" s="36"/>
      <c r="N21" s="35"/>
      <c r="O21" s="36"/>
      <c r="P21" s="35"/>
      <c r="Q21" s="36"/>
      <c r="R21" s="35">
        <v>1</v>
      </c>
    </row>
    <row r="22" spans="1:18" ht="27" customHeight="1" x14ac:dyDescent="0.5">
      <c r="A22" s="34" t="s">
        <v>329</v>
      </c>
      <c r="B22" s="36"/>
      <c r="C22" s="35"/>
      <c r="D22" s="38"/>
      <c r="E22" s="38"/>
      <c r="F22" s="38">
        <v>1</v>
      </c>
      <c r="G22" s="37"/>
      <c r="H22" s="37"/>
      <c r="I22" s="36"/>
      <c r="J22" s="35"/>
      <c r="K22" s="36"/>
      <c r="L22" s="37"/>
      <c r="M22" s="36"/>
      <c r="N22" s="35"/>
      <c r="O22" s="36"/>
      <c r="P22" s="35"/>
      <c r="Q22" s="36"/>
      <c r="R22" s="35">
        <v>1</v>
      </c>
    </row>
    <row r="23" spans="1:18" ht="27" customHeight="1" x14ac:dyDescent="0.5">
      <c r="A23" s="34" t="s">
        <v>330</v>
      </c>
      <c r="B23" s="36"/>
      <c r="C23" s="35"/>
      <c r="D23" s="38"/>
      <c r="E23" s="38"/>
      <c r="F23" s="38">
        <v>1</v>
      </c>
      <c r="G23" s="37"/>
      <c r="H23" s="37"/>
      <c r="I23" s="36"/>
      <c r="J23" s="35"/>
      <c r="K23" s="36"/>
      <c r="L23" s="37"/>
      <c r="M23" s="36"/>
      <c r="N23" s="35"/>
      <c r="O23" s="36"/>
      <c r="P23" s="35"/>
      <c r="Q23" s="36"/>
      <c r="R23" s="35">
        <v>1</v>
      </c>
    </row>
    <row r="24" spans="1:18" ht="27" customHeight="1" x14ac:dyDescent="0.5">
      <c r="A24" s="34" t="s">
        <v>331</v>
      </c>
      <c r="B24" s="36"/>
      <c r="C24" s="35">
        <v>1</v>
      </c>
      <c r="D24" s="38"/>
      <c r="E24" s="38"/>
      <c r="F24" s="38"/>
      <c r="G24" s="37"/>
      <c r="H24" s="37"/>
      <c r="I24" s="36"/>
      <c r="J24" s="35"/>
      <c r="K24" s="36"/>
      <c r="L24" s="37"/>
      <c r="M24" s="36"/>
      <c r="N24" s="35"/>
      <c r="O24" s="36"/>
      <c r="P24" s="35"/>
      <c r="Q24" s="36"/>
      <c r="R24" s="35">
        <v>1</v>
      </c>
    </row>
    <row r="25" spans="1:18" ht="27" customHeight="1" x14ac:dyDescent="0.5">
      <c r="A25" s="34" t="s">
        <v>332</v>
      </c>
      <c r="B25" s="36"/>
      <c r="C25" s="35"/>
      <c r="D25" s="38"/>
      <c r="E25" s="38"/>
      <c r="F25" s="38"/>
      <c r="G25" s="37"/>
      <c r="H25" s="37"/>
      <c r="I25" s="36">
        <v>4</v>
      </c>
      <c r="J25" s="35"/>
      <c r="K25" s="36"/>
      <c r="L25" s="37"/>
      <c r="M25" s="36"/>
      <c r="N25" s="35"/>
      <c r="O25" s="36"/>
      <c r="P25" s="35"/>
      <c r="Q25" s="36"/>
      <c r="R25" s="35">
        <v>1</v>
      </c>
    </row>
    <row r="26" spans="1:18" ht="27" customHeight="1" x14ac:dyDescent="0.5">
      <c r="A26" s="34" t="s">
        <v>333</v>
      </c>
      <c r="B26" s="36"/>
      <c r="C26" s="35"/>
      <c r="D26" s="38"/>
      <c r="E26" s="38"/>
      <c r="F26" s="38">
        <v>1</v>
      </c>
      <c r="G26" s="37"/>
      <c r="H26" s="37"/>
      <c r="I26" s="36"/>
      <c r="J26" s="35"/>
      <c r="K26" s="36"/>
      <c r="L26" s="37"/>
      <c r="M26" s="36"/>
      <c r="N26" s="35"/>
      <c r="O26" s="36"/>
      <c r="P26" s="35"/>
      <c r="Q26" s="36"/>
      <c r="R26" s="35">
        <v>1</v>
      </c>
    </row>
    <row r="27" spans="1:18" ht="27" customHeight="1" x14ac:dyDescent="0.5">
      <c r="A27" s="34" t="s">
        <v>334</v>
      </c>
      <c r="B27" s="36"/>
      <c r="C27" s="35"/>
      <c r="D27" s="38"/>
      <c r="E27" s="38"/>
      <c r="F27" s="38">
        <v>1</v>
      </c>
      <c r="G27" s="37"/>
      <c r="H27" s="37"/>
      <c r="I27" s="36"/>
      <c r="J27" s="35"/>
      <c r="K27" s="36"/>
      <c r="L27" s="37"/>
      <c r="M27" s="36"/>
      <c r="N27" s="35"/>
      <c r="O27" s="36"/>
      <c r="P27" s="35"/>
      <c r="Q27" s="36"/>
      <c r="R27" s="35">
        <v>1</v>
      </c>
    </row>
    <row r="28" spans="1:18" ht="27" customHeight="1" x14ac:dyDescent="0.5">
      <c r="A28" s="34" t="s">
        <v>335</v>
      </c>
      <c r="B28" s="36"/>
      <c r="C28" s="35"/>
      <c r="D28" s="38"/>
      <c r="E28" s="38"/>
      <c r="F28" s="38">
        <v>1</v>
      </c>
      <c r="G28" s="37"/>
      <c r="H28" s="37"/>
      <c r="I28" s="36"/>
      <c r="J28" s="35"/>
      <c r="K28" s="36"/>
      <c r="L28" s="37"/>
      <c r="M28" s="36"/>
      <c r="N28" s="35"/>
      <c r="O28" s="36"/>
      <c r="P28" s="35"/>
      <c r="Q28" s="36"/>
      <c r="R28" s="35">
        <v>1</v>
      </c>
    </row>
    <row r="29" spans="1:18" ht="27" customHeight="1" x14ac:dyDescent="0.5">
      <c r="A29" s="34" t="s">
        <v>336</v>
      </c>
      <c r="B29" s="36"/>
      <c r="C29" s="35"/>
      <c r="D29" s="38"/>
      <c r="E29" s="38"/>
      <c r="F29" s="38">
        <v>1</v>
      </c>
      <c r="G29" s="37"/>
      <c r="H29" s="37"/>
      <c r="I29" s="36"/>
      <c r="J29" s="35"/>
      <c r="K29" s="36"/>
      <c r="L29" s="37"/>
      <c r="M29" s="36"/>
      <c r="N29" s="35"/>
      <c r="O29" s="36"/>
      <c r="P29" s="35"/>
      <c r="Q29" s="36"/>
      <c r="R29" s="35">
        <v>1</v>
      </c>
    </row>
    <row r="30" spans="1:18" ht="27" customHeight="1" x14ac:dyDescent="0.5">
      <c r="A30" s="34" t="s">
        <v>337</v>
      </c>
      <c r="B30" s="36"/>
      <c r="C30" s="35"/>
      <c r="D30" s="38"/>
      <c r="E30" s="38"/>
      <c r="F30" s="38">
        <v>1</v>
      </c>
      <c r="G30" s="37"/>
      <c r="H30" s="37"/>
      <c r="I30" s="36"/>
      <c r="J30" s="35"/>
      <c r="K30" s="36"/>
      <c r="L30" s="37"/>
      <c r="M30" s="36"/>
      <c r="N30" s="35"/>
      <c r="O30" s="36"/>
      <c r="P30" s="35"/>
      <c r="Q30" s="36"/>
      <c r="R30" s="35">
        <v>1</v>
      </c>
    </row>
    <row r="31" spans="1:18" ht="27" customHeight="1" x14ac:dyDescent="0.5">
      <c r="A31" s="34" t="s">
        <v>338</v>
      </c>
      <c r="B31" s="36"/>
      <c r="C31" s="35"/>
      <c r="D31" s="38"/>
      <c r="E31" s="38">
        <v>1</v>
      </c>
      <c r="F31" s="38"/>
      <c r="G31" s="37"/>
      <c r="H31" s="37"/>
      <c r="I31" s="36"/>
      <c r="J31" s="35"/>
      <c r="K31" s="36"/>
      <c r="L31" s="37"/>
      <c r="M31" s="36">
        <v>1</v>
      </c>
      <c r="N31" s="35"/>
      <c r="O31" s="36"/>
      <c r="P31" s="35"/>
      <c r="Q31" s="36"/>
      <c r="R31" s="35">
        <v>1</v>
      </c>
    </row>
    <row r="32" spans="1:18" ht="27" customHeight="1" x14ac:dyDescent="0.5">
      <c r="A32" s="34" t="s">
        <v>348</v>
      </c>
      <c r="B32" s="36"/>
      <c r="C32" s="35"/>
      <c r="D32" s="38"/>
      <c r="E32" s="38"/>
      <c r="F32" s="38"/>
      <c r="G32" s="37"/>
      <c r="H32" s="37"/>
      <c r="I32" s="36"/>
      <c r="J32" s="35"/>
      <c r="K32" s="36"/>
      <c r="L32" s="37"/>
      <c r="M32" s="36"/>
      <c r="N32" s="35"/>
      <c r="O32" s="36"/>
      <c r="P32" s="35"/>
      <c r="Q32" s="36">
        <v>1</v>
      </c>
      <c r="R32" s="35"/>
    </row>
    <row r="33" spans="1:18" ht="27" customHeight="1" x14ac:dyDescent="0.5">
      <c r="A33" s="34" t="s">
        <v>349</v>
      </c>
      <c r="B33" s="36"/>
      <c r="C33" s="35"/>
      <c r="D33" s="38"/>
      <c r="E33" s="38"/>
      <c r="F33" s="38"/>
      <c r="G33" s="37">
        <v>4</v>
      </c>
      <c r="H33" s="37"/>
      <c r="I33" s="36"/>
      <c r="J33" s="35"/>
      <c r="K33" s="36"/>
      <c r="L33" s="37"/>
      <c r="M33" s="36"/>
      <c r="N33" s="35"/>
      <c r="O33" s="36"/>
      <c r="P33" s="35"/>
      <c r="Q33" s="36"/>
      <c r="R33" s="35">
        <v>1</v>
      </c>
    </row>
    <row r="34" spans="1:18" ht="27" customHeight="1" x14ac:dyDescent="0.5">
      <c r="A34" s="34" t="s">
        <v>350</v>
      </c>
      <c r="B34" s="36"/>
      <c r="C34" s="35"/>
      <c r="D34" s="38">
        <v>12</v>
      </c>
      <c r="E34" s="38"/>
      <c r="F34" s="38"/>
      <c r="G34" s="37"/>
      <c r="H34" s="37"/>
      <c r="I34" s="36"/>
      <c r="J34" s="35"/>
      <c r="K34" s="36"/>
      <c r="L34" s="37"/>
      <c r="M34" s="36"/>
      <c r="N34" s="35"/>
      <c r="O34" s="36"/>
      <c r="P34" s="35"/>
      <c r="Q34" s="36"/>
      <c r="R34" s="35"/>
    </row>
    <row r="35" spans="1:18" ht="27" customHeight="1" x14ac:dyDescent="0.5">
      <c r="A35" s="34" t="s">
        <v>352</v>
      </c>
      <c r="B35" s="36"/>
      <c r="C35" s="35"/>
      <c r="D35" s="38"/>
      <c r="E35" s="38">
        <v>1</v>
      </c>
      <c r="F35" s="38"/>
      <c r="G35" s="37"/>
      <c r="H35" s="37"/>
      <c r="I35" s="36"/>
      <c r="J35" s="35"/>
      <c r="K35" s="36"/>
      <c r="L35" s="37"/>
      <c r="M35" s="36"/>
      <c r="N35" s="35"/>
      <c r="O35" s="36"/>
      <c r="P35" s="35"/>
      <c r="Q35" s="36"/>
      <c r="R35" s="35"/>
    </row>
    <row r="36" spans="1:18" ht="27" customHeight="1" x14ac:dyDescent="0.5">
      <c r="A36" s="34" t="s">
        <v>353</v>
      </c>
      <c r="B36" s="36"/>
      <c r="C36" s="35"/>
      <c r="D36" s="38"/>
      <c r="E36" s="38">
        <v>1</v>
      </c>
      <c r="F36" s="38"/>
      <c r="G36" s="37"/>
      <c r="H36" s="37"/>
      <c r="I36" s="36"/>
      <c r="J36" s="35"/>
      <c r="K36" s="36"/>
      <c r="L36" s="37"/>
      <c r="M36" s="36"/>
      <c r="N36" s="35"/>
      <c r="O36" s="36"/>
      <c r="P36" s="35"/>
      <c r="Q36" s="36"/>
      <c r="R36" s="35"/>
    </row>
    <row r="37" spans="1:18" ht="27" customHeight="1" x14ac:dyDescent="0.5">
      <c r="A37" s="34" t="s">
        <v>354</v>
      </c>
      <c r="B37" s="36">
        <v>1</v>
      </c>
      <c r="C37" s="35"/>
      <c r="D37" s="38"/>
      <c r="E37" s="38"/>
      <c r="F37" s="38"/>
      <c r="G37" s="37"/>
      <c r="H37" s="37"/>
      <c r="I37" s="36"/>
      <c r="J37" s="35"/>
      <c r="K37" s="36"/>
      <c r="L37" s="37"/>
      <c r="M37" s="36"/>
      <c r="N37" s="35"/>
      <c r="O37" s="36"/>
      <c r="P37" s="35"/>
      <c r="Q37" s="36"/>
      <c r="R37" s="35"/>
    </row>
  </sheetData>
  <mergeCells count="2">
    <mergeCell ref="D1:F1"/>
    <mergeCell ref="G1:H1"/>
  </mergeCells>
  <phoneticPr fontId="3" type="noConversion"/>
  <pageMargins left="1" right="1" top="1" bottom="1" header="0.5" footer="0.5"/>
  <pageSetup paperSize="9" scale="3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E6" sqref="E6"/>
    </sheetView>
  </sheetViews>
  <sheetFormatPr defaultColWidth="9" defaultRowHeight="16.5" x14ac:dyDescent="0.3"/>
  <cols>
    <col min="1" max="1" width="32.625" style="4" customWidth="1"/>
    <col min="2" max="2" width="18.625" style="4" customWidth="1"/>
    <col min="3" max="3" width="18.25" style="4" customWidth="1"/>
    <col min="4" max="4" width="18.625" style="4" customWidth="1"/>
    <col min="5" max="5" width="18.625" style="39" customWidth="1"/>
    <col min="6" max="6" width="18.625" style="4" customWidth="1"/>
    <col min="7" max="7" width="18.625" style="39" customWidth="1"/>
    <col min="8" max="16384" width="9" style="4"/>
  </cols>
  <sheetData>
    <row r="1" spans="1:7" ht="144" customHeight="1" x14ac:dyDescent="0.3">
      <c r="A1" s="22" t="s">
        <v>311</v>
      </c>
      <c r="B1" s="89" t="s">
        <v>22</v>
      </c>
      <c r="C1" s="88" t="s">
        <v>20</v>
      </c>
      <c r="D1" s="89" t="s">
        <v>358</v>
      </c>
      <c r="E1" s="88" t="s">
        <v>342</v>
      </c>
      <c r="F1" s="89" t="s">
        <v>343</v>
      </c>
      <c r="G1" s="88" t="s">
        <v>344</v>
      </c>
    </row>
    <row r="2" spans="1:7" ht="45" customHeight="1" x14ac:dyDescent="0.3">
      <c r="A2" s="24" t="s">
        <v>25</v>
      </c>
      <c r="B2" s="25"/>
      <c r="C2" s="88"/>
      <c r="D2" s="25"/>
      <c r="E2" s="27"/>
      <c r="F2" s="25"/>
      <c r="G2" s="27"/>
    </row>
    <row r="3" spans="1:7" ht="38.25" customHeight="1" x14ac:dyDescent="0.3">
      <c r="A3" s="28" t="s">
        <v>92</v>
      </c>
      <c r="B3" s="30" t="s">
        <v>356</v>
      </c>
      <c r="C3" s="29" t="s">
        <v>28</v>
      </c>
      <c r="D3" s="30" t="s">
        <v>345</v>
      </c>
      <c r="E3" s="29" t="s">
        <v>345</v>
      </c>
      <c r="F3" s="30" t="s">
        <v>345</v>
      </c>
      <c r="G3" s="29" t="s">
        <v>345</v>
      </c>
    </row>
    <row r="4" spans="1:7" ht="38.25" customHeight="1" x14ac:dyDescent="0.3">
      <c r="A4" s="32" t="s">
        <v>31</v>
      </c>
      <c r="B4" s="33">
        <f>B5+B6</f>
        <v>1</v>
      </c>
      <c r="C4" s="33">
        <f t="shared" ref="C4:G4" si="0">C5+C6</f>
        <v>4</v>
      </c>
      <c r="D4" s="33">
        <f t="shared" si="0"/>
        <v>6</v>
      </c>
      <c r="E4" s="33">
        <f t="shared" si="0"/>
        <v>5</v>
      </c>
      <c r="F4" s="33">
        <f t="shared" si="0"/>
        <v>5</v>
      </c>
      <c r="G4" s="33">
        <f t="shared" si="0"/>
        <v>12</v>
      </c>
    </row>
    <row r="5" spans="1:7" ht="27" customHeight="1" x14ac:dyDescent="0.45">
      <c r="A5" s="34" t="s">
        <v>355</v>
      </c>
      <c r="B5" s="36"/>
      <c r="C5" s="35">
        <v>4</v>
      </c>
      <c r="D5" s="36">
        <v>5</v>
      </c>
      <c r="E5" s="35">
        <v>5</v>
      </c>
      <c r="F5" s="36">
        <v>5</v>
      </c>
      <c r="G5" s="35">
        <v>12</v>
      </c>
    </row>
    <row r="6" spans="1:7" ht="27" customHeight="1" x14ac:dyDescent="0.45">
      <c r="A6" s="34" t="s">
        <v>357</v>
      </c>
      <c r="B6" s="36">
        <v>1</v>
      </c>
      <c r="C6" s="35"/>
      <c r="D6" s="36">
        <v>1</v>
      </c>
      <c r="E6" s="35"/>
      <c r="F6" s="36"/>
      <c r="G6" s="35"/>
    </row>
  </sheetData>
  <phoneticPr fontId="3" type="noConversion"/>
  <pageMargins left="1" right="1" top="1" bottom="1" header="0.5" footer="0.5"/>
  <pageSetup paperSize="9" scale="3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E9" sqref="E9"/>
    </sheetView>
  </sheetViews>
  <sheetFormatPr defaultColWidth="9" defaultRowHeight="16.5" x14ac:dyDescent="0.3"/>
  <cols>
    <col min="1" max="1" width="32.625" style="4" customWidth="1"/>
    <col min="2" max="2" width="18.625" style="4" customWidth="1"/>
    <col min="3" max="3" width="18.25" style="4" customWidth="1"/>
    <col min="4" max="5" width="11.625" style="4" customWidth="1"/>
    <col min="6" max="6" width="18.625" style="39" customWidth="1"/>
    <col min="7" max="7" width="18.625" style="4" customWidth="1"/>
    <col min="8" max="8" width="18.625" style="39" customWidth="1"/>
    <col min="9" max="9" width="18.625" style="4" customWidth="1"/>
    <col min="10" max="16384" width="9" style="4"/>
  </cols>
  <sheetData>
    <row r="1" spans="1:9" ht="144" customHeight="1" x14ac:dyDescent="0.3">
      <c r="A1" s="22" t="s">
        <v>359</v>
      </c>
      <c r="B1" s="92" t="s">
        <v>21</v>
      </c>
      <c r="C1" s="91" t="s">
        <v>20</v>
      </c>
      <c r="D1" s="109" t="s">
        <v>23</v>
      </c>
      <c r="E1" s="110"/>
      <c r="F1" s="91" t="s">
        <v>136</v>
      </c>
      <c r="G1" s="92" t="s">
        <v>272</v>
      </c>
      <c r="H1" s="91" t="s">
        <v>78</v>
      </c>
      <c r="I1" s="93" t="s">
        <v>380</v>
      </c>
    </row>
    <row r="2" spans="1:9" ht="45" customHeight="1" x14ac:dyDescent="0.3">
      <c r="A2" s="24" t="s">
        <v>25</v>
      </c>
      <c r="B2" s="25"/>
      <c r="C2" s="91"/>
      <c r="D2" s="45"/>
      <c r="E2" s="45"/>
      <c r="F2" s="27"/>
      <c r="G2" s="25"/>
      <c r="H2" s="27"/>
      <c r="I2" s="25"/>
    </row>
    <row r="3" spans="1:9" ht="38.25" customHeight="1" x14ac:dyDescent="0.3">
      <c r="A3" s="28" t="s">
        <v>92</v>
      </c>
      <c r="B3" s="30" t="s">
        <v>27</v>
      </c>
      <c r="C3" s="29" t="s">
        <v>28</v>
      </c>
      <c r="D3" s="31" t="s">
        <v>27</v>
      </c>
      <c r="E3" s="31" t="s">
        <v>28</v>
      </c>
      <c r="F3" s="29" t="s">
        <v>82</v>
      </c>
      <c r="G3" s="30" t="s">
        <v>30</v>
      </c>
      <c r="H3" s="29" t="s">
        <v>345</v>
      </c>
      <c r="I3" s="30" t="s">
        <v>381</v>
      </c>
    </row>
    <row r="4" spans="1:9" ht="38.25" customHeight="1" x14ac:dyDescent="0.3">
      <c r="A4" s="32" t="s">
        <v>31</v>
      </c>
      <c r="B4" s="33">
        <f t="shared" ref="B4:I4" si="0">SUM(B5:B19)</f>
        <v>1</v>
      </c>
      <c r="C4" s="33">
        <f t="shared" si="0"/>
        <v>9</v>
      </c>
      <c r="D4" s="33">
        <f t="shared" si="0"/>
        <v>1</v>
      </c>
      <c r="E4" s="33">
        <f t="shared" si="0"/>
        <v>6</v>
      </c>
      <c r="F4" s="33">
        <f t="shared" si="0"/>
        <v>1</v>
      </c>
      <c r="G4" s="33">
        <f t="shared" si="0"/>
        <v>5</v>
      </c>
      <c r="H4" s="33">
        <f t="shared" si="0"/>
        <v>4</v>
      </c>
      <c r="I4" s="33">
        <f t="shared" si="0"/>
        <v>5</v>
      </c>
    </row>
    <row r="5" spans="1:9" ht="27" customHeight="1" x14ac:dyDescent="0.5">
      <c r="A5" s="34" t="s">
        <v>360</v>
      </c>
      <c r="B5" s="36"/>
      <c r="C5" s="35">
        <v>1</v>
      </c>
      <c r="D5" s="38"/>
      <c r="E5" s="38"/>
      <c r="F5" s="35"/>
      <c r="G5" s="36"/>
      <c r="H5" s="35"/>
      <c r="I5" s="36"/>
    </row>
    <row r="6" spans="1:9" ht="27" customHeight="1" x14ac:dyDescent="0.5">
      <c r="A6" s="34" t="s">
        <v>361</v>
      </c>
      <c r="B6" s="36"/>
      <c r="C6" s="35">
        <v>2</v>
      </c>
      <c r="D6" s="38"/>
      <c r="E6" s="38"/>
      <c r="F6" s="35"/>
      <c r="G6" s="36"/>
      <c r="H6" s="35"/>
      <c r="I6" s="36"/>
    </row>
    <row r="7" spans="1:9" ht="27" customHeight="1" x14ac:dyDescent="0.5">
      <c r="A7" s="34" t="s">
        <v>362</v>
      </c>
      <c r="B7" s="36"/>
      <c r="C7" s="35">
        <v>1</v>
      </c>
      <c r="D7" s="38"/>
      <c r="E7" s="38"/>
      <c r="F7" s="35"/>
      <c r="G7" s="36"/>
      <c r="H7" s="35"/>
      <c r="I7" s="36"/>
    </row>
    <row r="8" spans="1:9" ht="27" customHeight="1" x14ac:dyDescent="0.5">
      <c r="A8" s="34" t="s">
        <v>363</v>
      </c>
      <c r="B8" s="36">
        <v>1</v>
      </c>
      <c r="C8" s="35">
        <v>2</v>
      </c>
      <c r="D8" s="38"/>
      <c r="E8" s="38"/>
      <c r="F8" s="35"/>
      <c r="G8" s="36"/>
      <c r="H8" s="35"/>
      <c r="I8" s="36"/>
    </row>
    <row r="9" spans="1:9" ht="27" customHeight="1" x14ac:dyDescent="0.5">
      <c r="A9" s="34" t="s">
        <v>364</v>
      </c>
      <c r="B9" s="36"/>
      <c r="C9" s="35">
        <v>3</v>
      </c>
      <c r="D9" s="38"/>
      <c r="E9" s="38"/>
      <c r="F9" s="35"/>
      <c r="G9" s="36"/>
      <c r="H9" s="35"/>
      <c r="I9" s="36"/>
    </row>
    <row r="10" spans="1:9" ht="27" customHeight="1" x14ac:dyDescent="0.5">
      <c r="A10" s="34" t="s">
        <v>370</v>
      </c>
      <c r="B10" s="36"/>
      <c r="C10" s="35"/>
      <c r="D10" s="38"/>
      <c r="E10" s="38"/>
      <c r="F10" s="35"/>
      <c r="G10" s="36">
        <v>5</v>
      </c>
      <c r="H10" s="35"/>
      <c r="I10" s="36"/>
    </row>
    <row r="11" spans="1:9" ht="27" customHeight="1" x14ac:dyDescent="0.5">
      <c r="A11" s="34" t="s">
        <v>371</v>
      </c>
      <c r="B11" s="36"/>
      <c r="C11" s="35"/>
      <c r="D11" s="38"/>
      <c r="E11" s="38"/>
      <c r="F11" s="35"/>
      <c r="G11" s="36"/>
      <c r="H11" s="35">
        <v>2</v>
      </c>
      <c r="I11" s="36"/>
    </row>
    <row r="12" spans="1:9" ht="27" customHeight="1" x14ac:dyDescent="0.5">
      <c r="A12" s="34" t="s">
        <v>372</v>
      </c>
      <c r="B12" s="36"/>
      <c r="C12" s="35"/>
      <c r="D12" s="38"/>
      <c r="E12" s="38">
        <v>1</v>
      </c>
      <c r="F12" s="35"/>
      <c r="G12" s="36"/>
      <c r="H12" s="35"/>
      <c r="I12" s="36">
        <v>1</v>
      </c>
    </row>
    <row r="13" spans="1:9" ht="27" customHeight="1" x14ac:dyDescent="0.5">
      <c r="A13" s="34" t="s">
        <v>373</v>
      </c>
      <c r="B13" s="36"/>
      <c r="C13" s="35"/>
      <c r="D13" s="38"/>
      <c r="E13" s="38">
        <v>1</v>
      </c>
      <c r="F13" s="35"/>
      <c r="G13" s="36"/>
      <c r="H13" s="35"/>
      <c r="I13" s="36">
        <v>1</v>
      </c>
    </row>
    <row r="14" spans="1:9" ht="27" customHeight="1" x14ac:dyDescent="0.5">
      <c r="A14" s="34" t="s">
        <v>374</v>
      </c>
      <c r="B14" s="36"/>
      <c r="C14" s="35"/>
      <c r="D14" s="38"/>
      <c r="E14" s="38">
        <v>1</v>
      </c>
      <c r="F14" s="35"/>
      <c r="G14" s="36"/>
      <c r="H14" s="35"/>
      <c r="I14" s="36">
        <v>1</v>
      </c>
    </row>
    <row r="15" spans="1:9" ht="27" customHeight="1" x14ac:dyDescent="0.5">
      <c r="A15" s="34" t="s">
        <v>375</v>
      </c>
      <c r="B15" s="36"/>
      <c r="C15" s="35"/>
      <c r="D15" s="38"/>
      <c r="E15" s="38">
        <v>1</v>
      </c>
      <c r="F15" s="35"/>
      <c r="G15" s="36"/>
      <c r="H15" s="35"/>
      <c r="I15" s="36">
        <v>1</v>
      </c>
    </row>
    <row r="16" spans="1:9" ht="27" customHeight="1" x14ac:dyDescent="0.5">
      <c r="A16" s="34" t="s">
        <v>376</v>
      </c>
      <c r="B16" s="36"/>
      <c r="C16" s="35"/>
      <c r="D16" s="38"/>
      <c r="E16" s="38"/>
      <c r="F16" s="35"/>
      <c r="G16" s="36"/>
      <c r="H16" s="35">
        <v>2</v>
      </c>
      <c r="I16" s="36"/>
    </row>
    <row r="17" spans="1:9" ht="27" customHeight="1" x14ac:dyDescent="0.5">
      <c r="A17" s="34" t="s">
        <v>377</v>
      </c>
      <c r="B17" s="36"/>
      <c r="C17" s="35"/>
      <c r="D17" s="38">
        <v>1</v>
      </c>
      <c r="E17" s="38">
        <v>1</v>
      </c>
      <c r="F17" s="35"/>
      <c r="G17" s="36"/>
      <c r="H17" s="35"/>
      <c r="I17" s="36"/>
    </row>
    <row r="18" spans="1:9" ht="27" customHeight="1" x14ac:dyDescent="0.5">
      <c r="A18" s="34" t="s">
        <v>378</v>
      </c>
      <c r="B18" s="36"/>
      <c r="C18" s="35"/>
      <c r="D18" s="38"/>
      <c r="E18" s="38"/>
      <c r="F18" s="35">
        <v>1</v>
      </c>
      <c r="G18" s="36"/>
      <c r="H18" s="35"/>
      <c r="I18" s="36"/>
    </row>
    <row r="19" spans="1:9" ht="27" customHeight="1" x14ac:dyDescent="0.5">
      <c r="A19" s="34" t="s">
        <v>379</v>
      </c>
      <c r="B19" s="36"/>
      <c r="C19" s="35"/>
      <c r="D19" s="38"/>
      <c r="E19" s="38">
        <v>1</v>
      </c>
      <c r="F19" s="35"/>
      <c r="G19" s="36"/>
      <c r="H19" s="35"/>
      <c r="I19" s="36">
        <v>1</v>
      </c>
    </row>
  </sheetData>
  <mergeCells count="1">
    <mergeCell ref="D1:E1"/>
  </mergeCells>
  <phoneticPr fontId="3" type="noConversion"/>
  <pageMargins left="1" right="1" top="1" bottom="1" header="0.5" footer="0.5"/>
  <pageSetup paperSize="9" scale="3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A4" sqref="A4"/>
    </sheetView>
  </sheetViews>
  <sheetFormatPr defaultColWidth="9" defaultRowHeight="16.5" x14ac:dyDescent="0.3"/>
  <cols>
    <col min="1" max="1" width="50.875" style="4" customWidth="1"/>
    <col min="2" max="2" width="34.75" style="4" customWidth="1"/>
    <col min="3" max="16384" width="9" style="4"/>
  </cols>
  <sheetData>
    <row r="1" spans="1:2" ht="188.25" customHeight="1" x14ac:dyDescent="0.3">
      <c r="A1" s="105" t="s">
        <v>369</v>
      </c>
      <c r="B1" s="1" t="s">
        <v>365</v>
      </c>
    </row>
    <row r="2" spans="1:2" ht="68.25" customHeight="1" x14ac:dyDescent="0.3">
      <c r="A2" s="105"/>
      <c r="B2" s="5" t="s">
        <v>366</v>
      </c>
    </row>
    <row r="3" spans="1:2" ht="68.25" customHeight="1" x14ac:dyDescent="0.3">
      <c r="A3" s="106"/>
      <c r="B3" s="5" t="s">
        <v>367</v>
      </c>
    </row>
    <row r="4" spans="1:2" ht="110.25" customHeight="1" x14ac:dyDescent="0.3">
      <c r="A4" s="7"/>
      <c r="B4" s="8">
        <f>SUM(B5:B5)</f>
        <v>50</v>
      </c>
    </row>
    <row r="5" spans="1:2" ht="92.25" customHeight="1" x14ac:dyDescent="0.3">
      <c r="A5" s="10" t="s">
        <v>368</v>
      </c>
      <c r="B5" s="94">
        <v>50</v>
      </c>
    </row>
  </sheetData>
  <mergeCells count="1">
    <mergeCell ref="A1:A3"/>
  </mergeCells>
  <phoneticPr fontId="3" type="noConversion"/>
  <conditionalFormatting sqref="A5">
    <cfRule type="duplicateValues" dxfId="13" priority="1"/>
  </conditionalFormatting>
  <pageMargins left="1" right="1" top="1" bottom="1" header="0.5" footer="0.5"/>
  <pageSetup paperSize="9" scale="3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J47" sqref="J47"/>
    </sheetView>
  </sheetViews>
  <sheetFormatPr defaultColWidth="9" defaultRowHeight="16.5" x14ac:dyDescent="0.3"/>
  <cols>
    <col min="1" max="1" width="50.875" style="4" customWidth="1"/>
    <col min="2" max="2" width="34.75" style="4" customWidth="1"/>
    <col min="3" max="16384" width="9" style="4"/>
  </cols>
  <sheetData>
    <row r="1" spans="1:2" ht="188.25" customHeight="1" x14ac:dyDescent="0.3">
      <c r="A1" s="105" t="s">
        <v>383</v>
      </c>
      <c r="B1" s="1" t="s">
        <v>384</v>
      </c>
    </row>
    <row r="2" spans="1:2" ht="68.25" customHeight="1" x14ac:dyDescent="0.3">
      <c r="A2" s="105"/>
      <c r="B2" s="5" t="s">
        <v>387</v>
      </c>
    </row>
    <row r="3" spans="1:2" ht="68.25" customHeight="1" x14ac:dyDescent="0.3">
      <c r="A3" s="106"/>
      <c r="B3" s="5" t="s">
        <v>385</v>
      </c>
    </row>
    <row r="4" spans="1:2" ht="110.25" customHeight="1" x14ac:dyDescent="0.3">
      <c r="A4" s="7"/>
      <c r="B4" s="8">
        <f>SUM(B5:B5)</f>
        <v>25</v>
      </c>
    </row>
    <row r="5" spans="1:2" ht="92.25" customHeight="1" x14ac:dyDescent="0.3">
      <c r="A5" s="10" t="s">
        <v>386</v>
      </c>
      <c r="B5" s="94">
        <v>25</v>
      </c>
    </row>
  </sheetData>
  <mergeCells count="1">
    <mergeCell ref="A1:A3"/>
  </mergeCells>
  <phoneticPr fontId="3" type="noConversion"/>
  <conditionalFormatting sqref="A5">
    <cfRule type="duplicateValues" dxfId="12" priority="1"/>
  </conditionalFormatting>
  <pageMargins left="1" right="1" top="1" bottom="1" header="0.5" footer="0.5"/>
  <pageSetup paperSize="9" scale="3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G13" sqref="G13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382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20</v>
      </c>
      <c r="C4" s="8">
        <f t="shared" si="0"/>
        <v>4</v>
      </c>
      <c r="D4" s="8">
        <f t="shared" si="0"/>
        <v>80</v>
      </c>
      <c r="E4" s="8">
        <f t="shared" si="0"/>
        <v>16</v>
      </c>
      <c r="F4" s="8">
        <f>SUM(F5:F7)</f>
        <v>40</v>
      </c>
      <c r="G4" s="8">
        <f t="shared" si="0"/>
        <v>2</v>
      </c>
      <c r="H4" s="9"/>
    </row>
    <row r="5" spans="1:8" ht="92.25" customHeight="1" x14ac:dyDescent="0.3">
      <c r="A5" s="10" t="s">
        <v>10</v>
      </c>
      <c r="B5" s="11">
        <v>10</v>
      </c>
      <c r="C5" s="12">
        <v>4</v>
      </c>
      <c r="D5" s="12">
        <v>32</v>
      </c>
      <c r="E5" s="12">
        <v>12</v>
      </c>
      <c r="F5" s="12">
        <v>40</v>
      </c>
      <c r="G5" s="12">
        <v>2</v>
      </c>
      <c r="H5" s="9"/>
    </row>
    <row r="6" spans="1:8" ht="92.25" customHeight="1" x14ac:dyDescent="0.3">
      <c r="A6" s="10" t="s">
        <v>11</v>
      </c>
      <c r="B6" s="11">
        <v>10</v>
      </c>
      <c r="C6" s="12"/>
      <c r="D6" s="12">
        <v>16</v>
      </c>
      <c r="E6" s="12"/>
      <c r="F6" s="12"/>
      <c r="G6" s="12"/>
      <c r="H6" s="9"/>
    </row>
    <row r="7" spans="1:8" ht="92.25" customHeight="1" x14ac:dyDescent="0.3">
      <c r="A7" s="10" t="s">
        <v>12</v>
      </c>
      <c r="B7" s="11"/>
      <c r="C7" s="12"/>
      <c r="D7" s="12">
        <f>16+16</f>
        <v>32</v>
      </c>
      <c r="E7" s="12">
        <v>4</v>
      </c>
      <c r="F7" s="12"/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>
        <f>B5/10</f>
        <v>1</v>
      </c>
      <c r="C11" s="20">
        <f>C5/4</f>
        <v>1</v>
      </c>
      <c r="D11" s="20">
        <f>D5/16</f>
        <v>2</v>
      </c>
      <c r="E11" s="20">
        <f t="shared" ref="E11" si="1">E5/4</f>
        <v>3</v>
      </c>
      <c r="F11" s="20">
        <f>F5/20</f>
        <v>2</v>
      </c>
      <c r="G11" s="20">
        <f>G5/2</f>
        <v>1</v>
      </c>
      <c r="H11" s="21">
        <f>SUM(B11:G11)</f>
        <v>10</v>
      </c>
    </row>
    <row r="12" spans="1:8" ht="84" customHeight="1" x14ac:dyDescent="0.3">
      <c r="A12" s="10" t="s">
        <v>11</v>
      </c>
      <c r="B12" s="20">
        <f>B6/10</f>
        <v>1</v>
      </c>
      <c r="C12" s="20"/>
      <c r="D12" s="20">
        <f>D6/16</f>
        <v>1</v>
      </c>
      <c r="E12" s="20"/>
      <c r="F12" s="20"/>
      <c r="G12" s="20"/>
      <c r="H12" s="21">
        <f>SUM(B12:G12)</f>
        <v>2</v>
      </c>
    </row>
    <row r="13" spans="1:8" ht="84" customHeight="1" x14ac:dyDescent="0.3">
      <c r="A13" s="10" t="s">
        <v>12</v>
      </c>
      <c r="B13" s="20"/>
      <c r="C13" s="20"/>
      <c r="D13" s="20">
        <f>D7/16</f>
        <v>2</v>
      </c>
      <c r="E13" s="20">
        <f>E7/4</f>
        <v>1</v>
      </c>
      <c r="F13" s="20"/>
      <c r="G13" s="20"/>
      <c r="H13" s="21">
        <f>SUM(B13:G13)</f>
        <v>3</v>
      </c>
    </row>
  </sheetData>
  <mergeCells count="1">
    <mergeCell ref="A1:A3"/>
  </mergeCells>
  <phoneticPr fontId="3" type="noConversion"/>
  <conditionalFormatting sqref="A5">
    <cfRule type="duplicateValues" dxfId="11" priority="4"/>
  </conditionalFormatting>
  <conditionalFormatting sqref="A6">
    <cfRule type="duplicateValues" dxfId="10" priority="5"/>
  </conditionalFormatting>
  <conditionalFormatting sqref="A7">
    <cfRule type="duplicateValues" dxfId="9" priority="2"/>
  </conditionalFormatting>
  <conditionalFormatting sqref="A11">
    <cfRule type="duplicateValues" dxfId="8" priority="3"/>
  </conditionalFormatting>
  <conditionalFormatting sqref="A12">
    <cfRule type="duplicateValues" dxfId="7" priority="6"/>
  </conditionalFormatting>
  <conditionalFormatting sqref="A13">
    <cfRule type="duplicateValues" dxfId="6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I13" sqref="I13"/>
    </sheetView>
  </sheetViews>
  <sheetFormatPr defaultColWidth="9" defaultRowHeight="16.5" x14ac:dyDescent="0.3"/>
  <cols>
    <col min="1" max="1" width="32.625" style="4" customWidth="1"/>
    <col min="2" max="2" width="18.625" style="39" customWidth="1"/>
    <col min="3" max="4" width="11.625" style="4" customWidth="1"/>
    <col min="5" max="6" width="11.125" style="39" customWidth="1"/>
    <col min="7" max="7" width="18.625" style="4" customWidth="1"/>
    <col min="8" max="8" width="18.625" style="39" customWidth="1"/>
    <col min="9" max="9" width="18.625" style="4" customWidth="1"/>
    <col min="10" max="10" width="18.625" style="39" customWidth="1"/>
    <col min="11" max="11" width="18.625" style="4" customWidth="1"/>
    <col min="12" max="16384" width="9" style="4"/>
  </cols>
  <sheetData>
    <row r="1" spans="1:11" ht="144" customHeight="1" x14ac:dyDescent="0.3">
      <c r="A1" s="22" t="s">
        <v>414</v>
      </c>
      <c r="B1" s="95" t="s">
        <v>412</v>
      </c>
      <c r="C1" s="109" t="s">
        <v>23</v>
      </c>
      <c r="D1" s="110"/>
      <c r="E1" s="107" t="s">
        <v>405</v>
      </c>
      <c r="F1" s="108"/>
      <c r="G1" s="96" t="s">
        <v>136</v>
      </c>
      <c r="H1" s="95" t="s">
        <v>406</v>
      </c>
      <c r="I1" s="96" t="s">
        <v>407</v>
      </c>
      <c r="J1" s="95" t="s">
        <v>408</v>
      </c>
      <c r="K1" s="96" t="s">
        <v>410</v>
      </c>
    </row>
    <row r="2" spans="1:11" ht="45" customHeight="1" x14ac:dyDescent="0.3">
      <c r="A2" s="24" t="s">
        <v>25</v>
      </c>
      <c r="B2" s="27"/>
      <c r="C2" s="45"/>
      <c r="D2" s="45"/>
      <c r="E2" s="27"/>
      <c r="F2" s="27"/>
      <c r="G2" s="25"/>
      <c r="H2" s="27"/>
      <c r="I2" s="25"/>
      <c r="J2" s="27"/>
      <c r="K2" s="25"/>
    </row>
    <row r="3" spans="1:11" ht="38.25" customHeight="1" x14ac:dyDescent="0.3">
      <c r="A3" s="28" t="s">
        <v>92</v>
      </c>
      <c r="B3" s="29" t="s">
        <v>413</v>
      </c>
      <c r="C3" s="31" t="s">
        <v>27</v>
      </c>
      <c r="D3" s="31" t="s">
        <v>28</v>
      </c>
      <c r="E3" s="29" t="s">
        <v>30</v>
      </c>
      <c r="F3" s="29" t="s">
        <v>29</v>
      </c>
      <c r="G3" s="30" t="s">
        <v>404</v>
      </c>
      <c r="H3" s="29" t="s">
        <v>409</v>
      </c>
      <c r="I3" s="30" t="s">
        <v>409</v>
      </c>
      <c r="J3" s="29" t="s">
        <v>409</v>
      </c>
      <c r="K3" s="30" t="s">
        <v>411</v>
      </c>
    </row>
    <row r="4" spans="1:11" ht="38.25" customHeight="1" x14ac:dyDescent="0.3">
      <c r="A4" s="32" t="s">
        <v>31</v>
      </c>
      <c r="B4" s="33">
        <f t="shared" ref="B4:K4" si="0">SUM(B5:B20)</f>
        <v>1</v>
      </c>
      <c r="C4" s="33">
        <f t="shared" si="0"/>
        <v>3</v>
      </c>
      <c r="D4" s="33">
        <f t="shared" si="0"/>
        <v>6</v>
      </c>
      <c r="E4" s="33">
        <f t="shared" si="0"/>
        <v>7</v>
      </c>
      <c r="F4" s="33">
        <f t="shared" si="0"/>
        <v>3</v>
      </c>
      <c r="G4" s="33">
        <f t="shared" si="0"/>
        <v>1</v>
      </c>
      <c r="H4" s="33">
        <f t="shared" si="0"/>
        <v>6</v>
      </c>
      <c r="I4" s="33">
        <f t="shared" si="0"/>
        <v>1</v>
      </c>
      <c r="J4" s="33">
        <f t="shared" si="0"/>
        <v>2</v>
      </c>
      <c r="K4" s="33">
        <f t="shared" si="0"/>
        <v>5</v>
      </c>
    </row>
    <row r="5" spans="1:11" ht="27" customHeight="1" x14ac:dyDescent="0.5">
      <c r="A5" s="34" t="s">
        <v>388</v>
      </c>
      <c r="B5" s="35"/>
      <c r="C5" s="38"/>
      <c r="D5" s="38"/>
      <c r="E5" s="35"/>
      <c r="F5" s="35"/>
      <c r="G5" s="36"/>
      <c r="H5" s="35"/>
      <c r="I5" s="36">
        <v>1</v>
      </c>
      <c r="J5" s="35"/>
      <c r="K5" s="36"/>
    </row>
    <row r="6" spans="1:11" ht="27" customHeight="1" x14ac:dyDescent="0.5">
      <c r="A6" s="34" t="s">
        <v>389</v>
      </c>
      <c r="B6" s="35"/>
      <c r="C6" s="38"/>
      <c r="D6" s="38"/>
      <c r="E6" s="35"/>
      <c r="F6" s="35"/>
      <c r="G6" s="36"/>
      <c r="H6" s="35"/>
      <c r="I6" s="36"/>
      <c r="J6" s="35">
        <v>2</v>
      </c>
      <c r="K6" s="36"/>
    </row>
    <row r="7" spans="1:11" ht="27" customHeight="1" x14ac:dyDescent="0.5">
      <c r="A7" s="34" t="s">
        <v>390</v>
      </c>
      <c r="B7" s="35"/>
      <c r="C7" s="38"/>
      <c r="D7" s="38">
        <v>1</v>
      </c>
      <c r="E7" s="35"/>
      <c r="F7" s="35"/>
      <c r="G7" s="36"/>
      <c r="H7" s="35"/>
      <c r="I7" s="36"/>
      <c r="J7" s="35"/>
      <c r="K7" s="36"/>
    </row>
    <row r="8" spans="1:11" ht="27" customHeight="1" x14ac:dyDescent="0.5">
      <c r="A8" s="34" t="s">
        <v>391</v>
      </c>
      <c r="B8" s="35"/>
      <c r="C8" s="38"/>
      <c r="D8" s="38"/>
      <c r="E8" s="35"/>
      <c r="F8" s="35"/>
      <c r="G8" s="36"/>
      <c r="H8" s="35">
        <v>4</v>
      </c>
      <c r="I8" s="36"/>
      <c r="J8" s="35"/>
      <c r="K8" s="36"/>
    </row>
    <row r="9" spans="1:11" ht="27" customHeight="1" x14ac:dyDescent="0.5">
      <c r="A9" s="34" t="s">
        <v>392</v>
      </c>
      <c r="B9" s="35"/>
      <c r="C9" s="38"/>
      <c r="D9" s="38"/>
      <c r="E9" s="35"/>
      <c r="F9" s="35"/>
      <c r="G9" s="36"/>
      <c r="H9" s="35">
        <v>2</v>
      </c>
      <c r="I9" s="36"/>
      <c r="J9" s="35"/>
      <c r="K9" s="36"/>
    </row>
    <row r="10" spans="1:11" ht="27" customHeight="1" x14ac:dyDescent="0.5">
      <c r="A10" s="34" t="s">
        <v>393</v>
      </c>
      <c r="B10" s="35"/>
      <c r="C10" s="38"/>
      <c r="D10" s="38"/>
      <c r="E10" s="35"/>
      <c r="F10" s="35"/>
      <c r="G10" s="36"/>
      <c r="H10" s="35"/>
      <c r="I10" s="36"/>
      <c r="J10" s="35"/>
      <c r="K10" s="36">
        <v>5</v>
      </c>
    </row>
    <row r="11" spans="1:11" ht="27" customHeight="1" x14ac:dyDescent="0.5">
      <c r="A11" s="34" t="s">
        <v>394</v>
      </c>
      <c r="B11" s="35"/>
      <c r="C11" s="38">
        <v>1</v>
      </c>
      <c r="D11" s="38"/>
      <c r="E11" s="35"/>
      <c r="F11" s="35"/>
      <c r="G11" s="36">
        <v>1</v>
      </c>
      <c r="H11" s="35"/>
      <c r="I11" s="36"/>
      <c r="J11" s="35"/>
      <c r="K11" s="36"/>
    </row>
    <row r="12" spans="1:11" ht="27" customHeight="1" x14ac:dyDescent="0.5">
      <c r="A12" s="34" t="s">
        <v>395</v>
      </c>
      <c r="B12" s="35"/>
      <c r="C12" s="38">
        <v>1</v>
      </c>
      <c r="D12" s="38"/>
      <c r="E12" s="35"/>
      <c r="F12" s="35"/>
      <c r="G12" s="36"/>
      <c r="H12" s="35"/>
      <c r="I12" s="36"/>
      <c r="J12" s="35"/>
      <c r="K12" s="36"/>
    </row>
    <row r="13" spans="1:11" ht="27" customHeight="1" x14ac:dyDescent="0.5">
      <c r="A13" s="34" t="s">
        <v>396</v>
      </c>
      <c r="B13" s="35"/>
      <c r="C13" s="38"/>
      <c r="D13" s="38"/>
      <c r="E13" s="35">
        <v>3</v>
      </c>
      <c r="F13" s="35"/>
      <c r="G13" s="36"/>
      <c r="H13" s="35"/>
      <c r="I13" s="36"/>
      <c r="J13" s="35"/>
      <c r="K13" s="36"/>
    </row>
    <row r="14" spans="1:11" ht="27" customHeight="1" x14ac:dyDescent="0.5">
      <c r="A14" s="34" t="s">
        <v>397</v>
      </c>
      <c r="B14" s="35"/>
      <c r="C14" s="38"/>
      <c r="D14" s="38">
        <v>2</v>
      </c>
      <c r="E14" s="35"/>
      <c r="F14" s="35"/>
      <c r="G14" s="36"/>
      <c r="H14" s="35"/>
      <c r="I14" s="36"/>
      <c r="J14" s="35"/>
      <c r="K14" s="36"/>
    </row>
    <row r="15" spans="1:11" ht="27" customHeight="1" x14ac:dyDescent="0.5">
      <c r="A15" s="34" t="s">
        <v>398</v>
      </c>
      <c r="B15" s="35"/>
      <c r="C15" s="38"/>
      <c r="D15" s="38">
        <v>1</v>
      </c>
      <c r="E15" s="35"/>
      <c r="F15" s="35"/>
      <c r="G15" s="36"/>
      <c r="H15" s="35"/>
      <c r="I15" s="36"/>
      <c r="J15" s="35"/>
      <c r="K15" s="36"/>
    </row>
    <row r="16" spans="1:11" ht="27" customHeight="1" x14ac:dyDescent="0.5">
      <c r="A16" s="34" t="s">
        <v>399</v>
      </c>
      <c r="B16" s="35"/>
      <c r="C16" s="38"/>
      <c r="D16" s="38">
        <v>1</v>
      </c>
      <c r="E16" s="35"/>
      <c r="F16" s="35"/>
      <c r="G16" s="36"/>
      <c r="H16" s="35"/>
      <c r="I16" s="36"/>
      <c r="J16" s="35"/>
      <c r="K16" s="36"/>
    </row>
    <row r="17" spans="1:11" ht="27" customHeight="1" x14ac:dyDescent="0.5">
      <c r="A17" s="34" t="s">
        <v>400</v>
      </c>
      <c r="B17" s="35"/>
      <c r="C17" s="38"/>
      <c r="D17" s="38"/>
      <c r="E17" s="35"/>
      <c r="F17" s="35">
        <v>3</v>
      </c>
      <c r="G17" s="36"/>
      <c r="H17" s="35"/>
      <c r="I17" s="36"/>
      <c r="J17" s="35"/>
      <c r="K17" s="36"/>
    </row>
    <row r="18" spans="1:11" ht="27" customHeight="1" x14ac:dyDescent="0.5">
      <c r="A18" s="34" t="s">
        <v>401</v>
      </c>
      <c r="B18" s="35"/>
      <c r="C18" s="38"/>
      <c r="D18" s="38">
        <v>1</v>
      </c>
      <c r="E18" s="35"/>
      <c r="F18" s="35"/>
      <c r="G18" s="36"/>
      <c r="H18" s="35"/>
      <c r="I18" s="36"/>
      <c r="J18" s="35"/>
      <c r="K18" s="36"/>
    </row>
    <row r="19" spans="1:11" ht="27" customHeight="1" x14ac:dyDescent="0.5">
      <c r="A19" s="34" t="s">
        <v>402</v>
      </c>
      <c r="B19" s="35"/>
      <c r="C19" s="38"/>
      <c r="D19" s="38"/>
      <c r="E19" s="35">
        <v>4</v>
      </c>
      <c r="F19" s="35"/>
      <c r="G19" s="36"/>
      <c r="H19" s="35"/>
      <c r="I19" s="36"/>
      <c r="J19" s="35"/>
      <c r="K19" s="36"/>
    </row>
    <row r="20" spans="1:11" ht="27" customHeight="1" x14ac:dyDescent="0.5">
      <c r="A20" s="34" t="s">
        <v>403</v>
      </c>
      <c r="B20" s="35">
        <v>1</v>
      </c>
      <c r="C20" s="38">
        <v>1</v>
      </c>
      <c r="D20" s="38"/>
      <c r="E20" s="35"/>
      <c r="F20" s="35"/>
      <c r="G20" s="36"/>
      <c r="H20" s="35"/>
      <c r="I20" s="36"/>
      <c r="J20" s="35"/>
      <c r="K20" s="36"/>
    </row>
  </sheetData>
  <mergeCells count="2">
    <mergeCell ref="C1:D1"/>
    <mergeCell ref="E1:F1"/>
  </mergeCells>
  <phoneticPr fontId="3" type="noConversion"/>
  <pageMargins left="1" right="1" top="1" bottom="1" header="0.5" footer="0.5"/>
  <pageSetup paperSize="9" scale="3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view="pageBreakPreview" zoomScale="55" zoomScaleNormal="55" zoomScaleSheetLayoutView="55" workbookViewId="0">
      <pane xSplit="1" ySplit="4" topLeftCell="B25" activePane="bottomRight" state="frozen"/>
      <selection pane="topRight"/>
      <selection pane="bottomLeft"/>
      <selection pane="bottomRight" activeCell="I1" sqref="I1"/>
    </sheetView>
  </sheetViews>
  <sheetFormatPr defaultColWidth="9" defaultRowHeight="16.5" x14ac:dyDescent="0.3"/>
  <cols>
    <col min="1" max="1" width="32.625" style="4" customWidth="1"/>
    <col min="2" max="2" width="18.625" style="4" customWidth="1"/>
    <col min="3" max="4" width="10.25" style="39" customWidth="1"/>
    <col min="5" max="8" width="11.625" style="4" customWidth="1"/>
    <col min="9" max="9" width="25.25" style="39" customWidth="1"/>
    <col min="10" max="10" width="18.625" style="4" customWidth="1"/>
    <col min="11" max="11" width="18.625" style="39" customWidth="1"/>
    <col min="12" max="12" width="18.625" style="4" customWidth="1"/>
    <col min="13" max="13" width="18.625" style="39" customWidth="1"/>
    <col min="14" max="14" width="18.625" style="4" customWidth="1"/>
    <col min="15" max="16384" width="9" style="4"/>
  </cols>
  <sheetData>
    <row r="1" spans="1:14" ht="144" customHeight="1" x14ac:dyDescent="0.3">
      <c r="A1" s="22" t="s">
        <v>415</v>
      </c>
      <c r="B1" s="100" t="s">
        <v>21</v>
      </c>
      <c r="C1" s="107" t="s">
        <v>20</v>
      </c>
      <c r="D1" s="108"/>
      <c r="E1" s="109" t="s">
        <v>23</v>
      </c>
      <c r="F1" s="110"/>
      <c r="G1" s="110"/>
      <c r="H1" s="110"/>
      <c r="I1" s="102" t="s">
        <v>71</v>
      </c>
      <c r="J1" s="101" t="s">
        <v>76</v>
      </c>
      <c r="K1" s="97" t="s">
        <v>78</v>
      </c>
      <c r="L1" s="100" t="s">
        <v>272</v>
      </c>
      <c r="M1" s="97" t="s">
        <v>144</v>
      </c>
      <c r="N1" s="98" t="s">
        <v>419</v>
      </c>
    </row>
    <row r="2" spans="1:14" ht="45" customHeight="1" x14ac:dyDescent="0.3">
      <c r="A2" s="24" t="s">
        <v>25</v>
      </c>
      <c r="B2" s="25"/>
      <c r="C2" s="27"/>
      <c r="D2" s="99"/>
      <c r="E2" s="115" t="s">
        <v>417</v>
      </c>
      <c r="F2" s="116"/>
      <c r="G2" s="45"/>
      <c r="H2" s="45"/>
      <c r="I2" s="27"/>
      <c r="J2" s="25"/>
      <c r="K2" s="27"/>
      <c r="L2" s="25"/>
      <c r="M2" s="27"/>
      <c r="N2" s="25"/>
    </row>
    <row r="3" spans="1:14" ht="38.25" customHeight="1" x14ac:dyDescent="0.3">
      <c r="A3" s="28" t="s">
        <v>92</v>
      </c>
      <c r="B3" s="30" t="s">
        <v>425</v>
      </c>
      <c r="C3" s="29" t="s">
        <v>27</v>
      </c>
      <c r="D3" s="29" t="s">
        <v>422</v>
      </c>
      <c r="E3" s="31" t="s">
        <v>29</v>
      </c>
      <c r="F3" s="31" t="s">
        <v>27</v>
      </c>
      <c r="G3" s="31" t="s">
        <v>27</v>
      </c>
      <c r="H3" s="31" t="s">
        <v>28</v>
      </c>
      <c r="I3" s="29" t="s">
        <v>29</v>
      </c>
      <c r="J3" s="30" t="s">
        <v>82</v>
      </c>
      <c r="K3" s="29" t="s">
        <v>30</v>
      </c>
      <c r="L3" s="30" t="s">
        <v>30</v>
      </c>
      <c r="M3" s="29" t="s">
        <v>30</v>
      </c>
      <c r="N3" s="30" t="s">
        <v>30</v>
      </c>
    </row>
    <row r="4" spans="1:14" ht="38.25" customHeight="1" x14ac:dyDescent="0.3">
      <c r="A4" s="32" t="s">
        <v>31</v>
      </c>
      <c r="B4" s="33">
        <f t="shared" ref="B4:N4" si="0">SUM(B5:B42)</f>
        <v>1</v>
      </c>
      <c r="C4" s="33">
        <f t="shared" si="0"/>
        <v>2</v>
      </c>
      <c r="D4" s="33">
        <f t="shared" si="0"/>
        <v>6</v>
      </c>
      <c r="E4" s="33">
        <f t="shared" si="0"/>
        <v>12</v>
      </c>
      <c r="F4" s="33">
        <f t="shared" si="0"/>
        <v>12</v>
      </c>
      <c r="G4" s="33">
        <f t="shared" si="0"/>
        <v>1</v>
      </c>
      <c r="H4" s="33">
        <f t="shared" si="0"/>
        <v>8</v>
      </c>
      <c r="I4" s="33">
        <f t="shared" si="0"/>
        <v>2</v>
      </c>
      <c r="J4" s="33">
        <f t="shared" si="0"/>
        <v>1</v>
      </c>
      <c r="K4" s="33">
        <f t="shared" si="0"/>
        <v>10</v>
      </c>
      <c r="L4" s="33">
        <f t="shared" si="0"/>
        <v>1</v>
      </c>
      <c r="M4" s="33">
        <f t="shared" si="0"/>
        <v>43</v>
      </c>
      <c r="N4" s="33">
        <f t="shared" si="0"/>
        <v>20</v>
      </c>
    </row>
    <row r="5" spans="1:14" ht="27" customHeight="1" x14ac:dyDescent="0.5">
      <c r="A5" s="34" t="s">
        <v>416</v>
      </c>
      <c r="B5" s="36"/>
      <c r="C5" s="35"/>
      <c r="D5" s="35"/>
      <c r="E5" s="38">
        <v>12</v>
      </c>
      <c r="F5" s="38">
        <v>12</v>
      </c>
      <c r="G5" s="38"/>
      <c r="H5" s="38"/>
      <c r="I5" s="35"/>
      <c r="J5" s="36"/>
      <c r="K5" s="35"/>
      <c r="L5" s="36"/>
      <c r="M5" s="35"/>
      <c r="N5" s="36"/>
    </row>
    <row r="6" spans="1:14" ht="27" customHeight="1" x14ac:dyDescent="0.5">
      <c r="A6" s="34" t="s">
        <v>418</v>
      </c>
      <c r="B6" s="36"/>
      <c r="C6" s="35"/>
      <c r="D6" s="35"/>
      <c r="E6" s="38"/>
      <c r="F6" s="38"/>
      <c r="G6" s="38"/>
      <c r="H6" s="38"/>
      <c r="I6" s="35"/>
      <c r="J6" s="36"/>
      <c r="K6" s="35"/>
      <c r="L6" s="36"/>
      <c r="M6" s="35"/>
      <c r="N6" s="36">
        <v>20</v>
      </c>
    </row>
    <row r="7" spans="1:14" ht="27" customHeight="1" x14ac:dyDescent="0.5">
      <c r="A7" s="34" t="s">
        <v>420</v>
      </c>
      <c r="B7" s="36"/>
      <c r="C7" s="35">
        <v>2</v>
      </c>
      <c r="D7" s="35">
        <v>4</v>
      </c>
      <c r="E7" s="38"/>
      <c r="F7" s="38"/>
      <c r="G7" s="38"/>
      <c r="H7" s="38"/>
      <c r="I7" s="35"/>
      <c r="J7" s="36"/>
      <c r="K7" s="35"/>
      <c r="L7" s="36"/>
      <c r="M7" s="35"/>
      <c r="N7" s="36"/>
    </row>
    <row r="8" spans="1:14" ht="27" customHeight="1" x14ac:dyDescent="0.5">
      <c r="A8" s="34" t="s">
        <v>421</v>
      </c>
      <c r="B8" s="36"/>
      <c r="C8" s="35"/>
      <c r="D8" s="35">
        <v>1</v>
      </c>
      <c r="E8" s="38"/>
      <c r="F8" s="38"/>
      <c r="G8" s="38"/>
      <c r="H8" s="38"/>
      <c r="I8" s="35"/>
      <c r="J8" s="36"/>
      <c r="K8" s="35"/>
      <c r="L8" s="36"/>
      <c r="M8" s="35"/>
      <c r="N8" s="36"/>
    </row>
    <row r="9" spans="1:14" ht="27" customHeight="1" x14ac:dyDescent="0.5">
      <c r="A9" s="34" t="s">
        <v>423</v>
      </c>
      <c r="B9" s="36"/>
      <c r="C9" s="35"/>
      <c r="D9" s="35"/>
      <c r="E9" s="38"/>
      <c r="F9" s="38"/>
      <c r="G9" s="38"/>
      <c r="H9" s="38"/>
      <c r="I9" s="35"/>
      <c r="J9" s="36"/>
      <c r="K9" s="35">
        <v>1</v>
      </c>
      <c r="L9" s="36"/>
      <c r="M9" s="35"/>
      <c r="N9" s="36"/>
    </row>
    <row r="10" spans="1:14" ht="27" customHeight="1" x14ac:dyDescent="0.5">
      <c r="A10" s="34" t="s">
        <v>424</v>
      </c>
      <c r="B10" s="36">
        <v>1</v>
      </c>
      <c r="C10" s="35"/>
      <c r="D10" s="35"/>
      <c r="E10" s="38"/>
      <c r="F10" s="38"/>
      <c r="G10" s="38"/>
      <c r="H10" s="38"/>
      <c r="I10" s="35"/>
      <c r="J10" s="36"/>
      <c r="K10" s="35"/>
      <c r="L10" s="36"/>
      <c r="M10" s="35"/>
      <c r="N10" s="36"/>
    </row>
    <row r="11" spans="1:14" ht="27" customHeight="1" x14ac:dyDescent="0.5">
      <c r="A11" s="34" t="s">
        <v>426</v>
      </c>
      <c r="B11" s="36"/>
      <c r="C11" s="35"/>
      <c r="D11" s="35"/>
      <c r="E11" s="38"/>
      <c r="F11" s="38"/>
      <c r="G11" s="38"/>
      <c r="H11" s="38"/>
      <c r="I11" s="35"/>
      <c r="J11" s="36"/>
      <c r="K11" s="35"/>
      <c r="L11" s="36">
        <v>1</v>
      </c>
      <c r="M11" s="35"/>
      <c r="N11" s="36"/>
    </row>
    <row r="12" spans="1:14" ht="27" customHeight="1" x14ac:dyDescent="0.5">
      <c r="A12" s="34" t="s">
        <v>427</v>
      </c>
      <c r="B12" s="36"/>
      <c r="C12" s="35"/>
      <c r="D12" s="35"/>
      <c r="E12" s="38"/>
      <c r="F12" s="38"/>
      <c r="G12" s="38"/>
      <c r="H12" s="38">
        <v>1</v>
      </c>
      <c r="I12" s="35"/>
      <c r="J12" s="36"/>
      <c r="K12" s="35"/>
      <c r="L12" s="36"/>
      <c r="M12" s="35"/>
      <c r="N12" s="36"/>
    </row>
    <row r="13" spans="1:14" ht="27" customHeight="1" x14ac:dyDescent="0.5">
      <c r="A13" s="34" t="s">
        <v>428</v>
      </c>
      <c r="B13" s="36"/>
      <c r="C13" s="35"/>
      <c r="D13" s="35"/>
      <c r="E13" s="38"/>
      <c r="F13" s="38"/>
      <c r="G13" s="38"/>
      <c r="H13" s="38"/>
      <c r="I13" s="35"/>
      <c r="J13" s="36"/>
      <c r="K13" s="35"/>
      <c r="L13" s="36"/>
      <c r="M13" s="35">
        <v>1</v>
      </c>
      <c r="N13" s="36"/>
    </row>
    <row r="14" spans="1:14" ht="27" customHeight="1" x14ac:dyDescent="0.5">
      <c r="A14" s="34" t="s">
        <v>429</v>
      </c>
      <c r="B14" s="36"/>
      <c r="C14" s="35"/>
      <c r="D14" s="35"/>
      <c r="E14" s="38"/>
      <c r="F14" s="38"/>
      <c r="G14" s="38"/>
      <c r="H14" s="38"/>
      <c r="I14" s="35"/>
      <c r="J14" s="36"/>
      <c r="K14" s="35"/>
      <c r="L14" s="36"/>
      <c r="M14" s="35">
        <v>1</v>
      </c>
      <c r="N14" s="36"/>
    </row>
    <row r="15" spans="1:14" ht="27" customHeight="1" x14ac:dyDescent="0.5">
      <c r="A15" s="34" t="s">
        <v>430</v>
      </c>
      <c r="B15" s="36"/>
      <c r="C15" s="35"/>
      <c r="D15" s="35"/>
      <c r="E15" s="38"/>
      <c r="F15" s="38"/>
      <c r="G15" s="38"/>
      <c r="H15" s="38"/>
      <c r="I15" s="35"/>
      <c r="J15" s="36"/>
      <c r="K15" s="35"/>
      <c r="L15" s="36"/>
      <c r="M15" s="35">
        <v>1</v>
      </c>
      <c r="N15" s="36"/>
    </row>
    <row r="16" spans="1:14" ht="27" customHeight="1" x14ac:dyDescent="0.5">
      <c r="A16" s="34" t="s">
        <v>431</v>
      </c>
      <c r="B16" s="36"/>
      <c r="C16" s="35"/>
      <c r="D16" s="35">
        <v>1</v>
      </c>
      <c r="E16" s="38"/>
      <c r="F16" s="38"/>
      <c r="G16" s="38"/>
      <c r="H16" s="38"/>
      <c r="I16" s="35"/>
      <c r="J16" s="36"/>
      <c r="K16" s="35"/>
      <c r="L16" s="36"/>
      <c r="M16" s="35"/>
      <c r="N16" s="36"/>
    </row>
    <row r="17" spans="1:14" ht="27" customHeight="1" x14ac:dyDescent="0.5">
      <c r="A17" s="34" t="s">
        <v>432</v>
      </c>
      <c r="B17" s="36"/>
      <c r="C17" s="35"/>
      <c r="D17" s="35"/>
      <c r="E17" s="38"/>
      <c r="F17" s="38"/>
      <c r="G17" s="38"/>
      <c r="H17" s="38"/>
      <c r="I17" s="35"/>
      <c r="J17" s="36"/>
      <c r="K17" s="35"/>
      <c r="L17" s="36"/>
      <c r="M17" s="35">
        <v>3</v>
      </c>
      <c r="N17" s="36"/>
    </row>
    <row r="18" spans="1:14" ht="27" customHeight="1" x14ac:dyDescent="0.5">
      <c r="A18" s="34" t="s">
        <v>433</v>
      </c>
      <c r="B18" s="36"/>
      <c r="C18" s="35"/>
      <c r="D18" s="35"/>
      <c r="E18" s="38"/>
      <c r="F18" s="38"/>
      <c r="G18" s="38"/>
      <c r="H18" s="38"/>
      <c r="I18" s="35"/>
      <c r="J18" s="36"/>
      <c r="K18" s="35"/>
      <c r="L18" s="36"/>
      <c r="M18" s="35">
        <v>7</v>
      </c>
      <c r="N18" s="36"/>
    </row>
    <row r="19" spans="1:14" ht="27" customHeight="1" x14ac:dyDescent="0.5">
      <c r="A19" s="34" t="s">
        <v>434</v>
      </c>
      <c r="B19" s="36"/>
      <c r="C19" s="35"/>
      <c r="D19" s="35"/>
      <c r="E19" s="38"/>
      <c r="F19" s="38"/>
      <c r="G19" s="38"/>
      <c r="H19" s="38"/>
      <c r="I19" s="35"/>
      <c r="J19" s="36"/>
      <c r="K19" s="35"/>
      <c r="L19" s="36"/>
      <c r="M19" s="35">
        <v>3</v>
      </c>
      <c r="N19" s="36"/>
    </row>
    <row r="20" spans="1:14" ht="27" customHeight="1" x14ac:dyDescent="0.5">
      <c r="A20" s="34" t="s">
        <v>435</v>
      </c>
      <c r="B20" s="36"/>
      <c r="C20" s="35"/>
      <c r="D20" s="35"/>
      <c r="E20" s="38"/>
      <c r="F20" s="38"/>
      <c r="G20" s="38"/>
      <c r="H20" s="38"/>
      <c r="I20" s="35"/>
      <c r="J20" s="36"/>
      <c r="K20" s="35"/>
      <c r="L20" s="36"/>
      <c r="M20" s="35">
        <v>2</v>
      </c>
      <c r="N20" s="36"/>
    </row>
    <row r="21" spans="1:14" ht="27" customHeight="1" x14ac:dyDescent="0.5">
      <c r="A21" s="34" t="s">
        <v>436</v>
      </c>
      <c r="B21" s="36"/>
      <c r="C21" s="35"/>
      <c r="D21" s="35"/>
      <c r="E21" s="38"/>
      <c r="F21" s="38"/>
      <c r="G21" s="38"/>
      <c r="H21" s="38"/>
      <c r="I21" s="35"/>
      <c r="J21" s="36"/>
      <c r="K21" s="35"/>
      <c r="L21" s="36"/>
      <c r="M21" s="35">
        <v>2</v>
      </c>
      <c r="N21" s="36"/>
    </row>
    <row r="22" spans="1:14" ht="27" customHeight="1" x14ac:dyDescent="0.5">
      <c r="A22" s="34" t="s">
        <v>437</v>
      </c>
      <c r="B22" s="36"/>
      <c r="C22" s="35"/>
      <c r="D22" s="35"/>
      <c r="E22" s="38"/>
      <c r="F22" s="38"/>
      <c r="G22" s="38"/>
      <c r="H22" s="38"/>
      <c r="I22" s="35"/>
      <c r="J22" s="36"/>
      <c r="K22" s="35"/>
      <c r="L22" s="36"/>
      <c r="M22" s="35">
        <v>5</v>
      </c>
      <c r="N22" s="36"/>
    </row>
    <row r="23" spans="1:14" ht="27" customHeight="1" x14ac:dyDescent="0.5">
      <c r="A23" s="34" t="s">
        <v>438</v>
      </c>
      <c r="B23" s="36"/>
      <c r="C23" s="35"/>
      <c r="D23" s="35"/>
      <c r="E23" s="38"/>
      <c r="F23" s="38"/>
      <c r="G23" s="38"/>
      <c r="H23" s="38"/>
      <c r="I23" s="35"/>
      <c r="J23" s="36"/>
      <c r="K23" s="35">
        <v>2</v>
      </c>
      <c r="L23" s="36"/>
      <c r="M23" s="35"/>
      <c r="N23" s="36"/>
    </row>
    <row r="24" spans="1:14" ht="27" customHeight="1" x14ac:dyDescent="0.5">
      <c r="A24" s="34" t="s">
        <v>439</v>
      </c>
      <c r="B24" s="36"/>
      <c r="C24" s="35"/>
      <c r="D24" s="35"/>
      <c r="E24" s="38"/>
      <c r="F24" s="38"/>
      <c r="G24" s="38"/>
      <c r="H24" s="38"/>
      <c r="I24" s="35"/>
      <c r="J24" s="36"/>
      <c r="K24" s="35"/>
      <c r="L24" s="36"/>
      <c r="M24" s="35">
        <v>1</v>
      </c>
      <c r="N24" s="36"/>
    </row>
    <row r="25" spans="1:14" ht="27" customHeight="1" x14ac:dyDescent="0.5">
      <c r="A25" s="34" t="s">
        <v>440</v>
      </c>
      <c r="B25" s="36"/>
      <c r="C25" s="35"/>
      <c r="D25" s="35"/>
      <c r="E25" s="38"/>
      <c r="F25" s="38"/>
      <c r="G25" s="38"/>
      <c r="H25" s="38"/>
      <c r="I25" s="35"/>
      <c r="J25" s="36"/>
      <c r="K25" s="35"/>
      <c r="L25" s="36"/>
      <c r="M25" s="35">
        <v>2</v>
      </c>
      <c r="N25" s="36"/>
    </row>
    <row r="26" spans="1:14" ht="27" customHeight="1" x14ac:dyDescent="0.5">
      <c r="A26" s="34" t="s">
        <v>441</v>
      </c>
      <c r="B26" s="36"/>
      <c r="C26" s="35"/>
      <c r="D26" s="35"/>
      <c r="E26" s="38"/>
      <c r="F26" s="38"/>
      <c r="G26" s="38"/>
      <c r="H26" s="38"/>
      <c r="I26" s="35"/>
      <c r="J26" s="36"/>
      <c r="K26" s="35"/>
      <c r="L26" s="36"/>
      <c r="M26" s="35">
        <v>2</v>
      </c>
      <c r="N26" s="36"/>
    </row>
    <row r="27" spans="1:14" ht="27" customHeight="1" x14ac:dyDescent="0.5">
      <c r="A27" s="34" t="s">
        <v>442</v>
      </c>
      <c r="B27" s="36"/>
      <c r="C27" s="35"/>
      <c r="D27" s="35"/>
      <c r="E27" s="38"/>
      <c r="F27" s="38"/>
      <c r="G27" s="38"/>
      <c r="H27" s="38"/>
      <c r="I27" s="35"/>
      <c r="J27" s="36"/>
      <c r="K27" s="35"/>
      <c r="L27" s="36"/>
      <c r="M27" s="35">
        <v>6</v>
      </c>
      <c r="N27" s="36"/>
    </row>
    <row r="28" spans="1:14" ht="27" customHeight="1" x14ac:dyDescent="0.5">
      <c r="A28" s="34" t="s">
        <v>443</v>
      </c>
      <c r="B28" s="36"/>
      <c r="C28" s="35"/>
      <c r="D28" s="35"/>
      <c r="E28" s="38"/>
      <c r="F28" s="38"/>
      <c r="G28" s="38"/>
      <c r="H28" s="38"/>
      <c r="I28" s="35"/>
      <c r="J28" s="36"/>
      <c r="K28" s="35"/>
      <c r="L28" s="36"/>
      <c r="M28" s="35">
        <v>1</v>
      </c>
      <c r="N28" s="36"/>
    </row>
    <row r="29" spans="1:14" ht="27" customHeight="1" x14ac:dyDescent="0.5">
      <c r="A29" s="34" t="s">
        <v>444</v>
      </c>
      <c r="B29" s="36"/>
      <c r="C29" s="35"/>
      <c r="D29" s="35"/>
      <c r="E29" s="38"/>
      <c r="F29" s="38"/>
      <c r="G29" s="38"/>
      <c r="H29" s="38"/>
      <c r="I29" s="35"/>
      <c r="J29" s="36"/>
      <c r="K29" s="35"/>
      <c r="L29" s="36"/>
      <c r="M29" s="35">
        <v>3</v>
      </c>
      <c r="N29" s="36"/>
    </row>
    <row r="30" spans="1:14" ht="27" customHeight="1" x14ac:dyDescent="0.5">
      <c r="A30" s="34" t="s">
        <v>445</v>
      </c>
      <c r="B30" s="36"/>
      <c r="C30" s="35"/>
      <c r="D30" s="35"/>
      <c r="E30" s="38"/>
      <c r="F30" s="38"/>
      <c r="G30" s="38"/>
      <c r="H30" s="38"/>
      <c r="I30" s="35"/>
      <c r="J30" s="36"/>
      <c r="K30" s="35"/>
      <c r="L30" s="36"/>
      <c r="M30" s="35">
        <v>2</v>
      </c>
      <c r="N30" s="36"/>
    </row>
    <row r="31" spans="1:14" ht="27" customHeight="1" x14ac:dyDescent="0.5">
      <c r="A31" s="34" t="s">
        <v>446</v>
      </c>
      <c r="B31" s="36"/>
      <c r="C31" s="35"/>
      <c r="D31" s="35"/>
      <c r="E31" s="38"/>
      <c r="F31" s="38"/>
      <c r="G31" s="38"/>
      <c r="H31" s="38"/>
      <c r="I31" s="35"/>
      <c r="J31" s="36"/>
      <c r="K31" s="35"/>
      <c r="L31" s="36"/>
      <c r="M31" s="35">
        <v>1</v>
      </c>
      <c r="N31" s="36"/>
    </row>
    <row r="32" spans="1:14" ht="27" customHeight="1" x14ac:dyDescent="0.5">
      <c r="A32" s="34" t="s">
        <v>447</v>
      </c>
      <c r="B32" s="36"/>
      <c r="C32" s="35"/>
      <c r="D32" s="35"/>
      <c r="E32" s="38"/>
      <c r="F32" s="38"/>
      <c r="G32" s="38"/>
      <c r="H32" s="38">
        <v>1</v>
      </c>
      <c r="I32" s="35"/>
      <c r="J32" s="36"/>
      <c r="K32" s="35"/>
      <c r="L32" s="36"/>
      <c r="M32" s="35"/>
      <c r="N32" s="36"/>
    </row>
    <row r="33" spans="1:14" ht="27" customHeight="1" x14ac:dyDescent="0.5">
      <c r="A33" s="34" t="s">
        <v>448</v>
      </c>
      <c r="B33" s="36"/>
      <c r="C33" s="35"/>
      <c r="D33" s="35"/>
      <c r="E33" s="38"/>
      <c r="F33" s="38"/>
      <c r="G33" s="38"/>
      <c r="H33" s="38">
        <v>1</v>
      </c>
      <c r="I33" s="35"/>
      <c r="J33" s="36"/>
      <c r="K33" s="35"/>
      <c r="L33" s="36"/>
      <c r="M33" s="35"/>
      <c r="N33" s="36"/>
    </row>
    <row r="34" spans="1:14" ht="27" customHeight="1" x14ac:dyDescent="0.5">
      <c r="A34" s="34" t="s">
        <v>449</v>
      </c>
      <c r="B34" s="36"/>
      <c r="C34" s="35"/>
      <c r="D34" s="35"/>
      <c r="E34" s="38"/>
      <c r="F34" s="38"/>
      <c r="G34" s="38"/>
      <c r="H34" s="38">
        <v>1</v>
      </c>
      <c r="I34" s="35"/>
      <c r="J34" s="36"/>
      <c r="K34" s="35"/>
      <c r="L34" s="36"/>
      <c r="M34" s="35"/>
      <c r="N34" s="36"/>
    </row>
    <row r="35" spans="1:14" ht="27" customHeight="1" x14ac:dyDescent="0.5">
      <c r="A35" s="34" t="s">
        <v>450</v>
      </c>
      <c r="B35" s="36"/>
      <c r="C35" s="35"/>
      <c r="D35" s="35"/>
      <c r="E35" s="38"/>
      <c r="F35" s="38"/>
      <c r="G35" s="38"/>
      <c r="H35" s="38">
        <v>1</v>
      </c>
      <c r="I35" s="35"/>
      <c r="J35" s="36"/>
      <c r="K35" s="35"/>
      <c r="L35" s="36"/>
      <c r="M35" s="35"/>
      <c r="N35" s="36"/>
    </row>
    <row r="36" spans="1:14" ht="27" customHeight="1" x14ac:dyDescent="0.5">
      <c r="A36" s="34" t="s">
        <v>127</v>
      </c>
      <c r="B36" s="36"/>
      <c r="C36" s="35"/>
      <c r="D36" s="35"/>
      <c r="E36" s="38"/>
      <c r="F36" s="38"/>
      <c r="G36" s="38"/>
      <c r="H36" s="38">
        <v>1</v>
      </c>
      <c r="I36" s="35"/>
      <c r="J36" s="36"/>
      <c r="K36" s="35"/>
      <c r="L36" s="36"/>
      <c r="M36" s="35"/>
      <c r="N36" s="36"/>
    </row>
    <row r="37" spans="1:14" ht="27" customHeight="1" x14ac:dyDescent="0.5">
      <c r="A37" s="34" t="s">
        <v>451</v>
      </c>
      <c r="B37" s="36"/>
      <c r="C37" s="35"/>
      <c r="D37" s="35"/>
      <c r="E37" s="38"/>
      <c r="F37" s="38"/>
      <c r="G37" s="38"/>
      <c r="H37" s="38"/>
      <c r="I37" s="35"/>
      <c r="J37" s="36"/>
      <c r="K37" s="35">
        <v>7</v>
      </c>
      <c r="L37" s="36"/>
      <c r="M37" s="35"/>
      <c r="N37" s="36"/>
    </row>
    <row r="38" spans="1:14" ht="27" customHeight="1" x14ac:dyDescent="0.5">
      <c r="A38" s="34" t="s">
        <v>452</v>
      </c>
      <c r="B38" s="36"/>
      <c r="C38" s="35"/>
      <c r="D38" s="35"/>
      <c r="E38" s="38"/>
      <c r="F38" s="38"/>
      <c r="G38" s="38"/>
      <c r="H38" s="38"/>
      <c r="I38" s="35">
        <v>1</v>
      </c>
      <c r="J38" s="36"/>
      <c r="K38" s="35"/>
      <c r="L38" s="36"/>
      <c r="M38" s="35"/>
      <c r="N38" s="36"/>
    </row>
    <row r="39" spans="1:14" ht="27" customHeight="1" x14ac:dyDescent="0.5">
      <c r="A39" s="34" t="s">
        <v>453</v>
      </c>
      <c r="B39" s="36"/>
      <c r="C39" s="35"/>
      <c r="D39" s="35"/>
      <c r="E39" s="38"/>
      <c r="F39" s="38"/>
      <c r="G39" s="38"/>
      <c r="H39" s="38"/>
      <c r="I39" s="35">
        <v>1</v>
      </c>
      <c r="J39" s="36"/>
      <c r="K39" s="35"/>
      <c r="L39" s="36"/>
      <c r="M39" s="35"/>
      <c r="N39" s="36"/>
    </row>
    <row r="40" spans="1:14" ht="27" customHeight="1" x14ac:dyDescent="0.5">
      <c r="A40" s="34" t="s">
        <v>454</v>
      </c>
      <c r="B40" s="36"/>
      <c r="C40" s="35"/>
      <c r="D40" s="35"/>
      <c r="E40" s="38"/>
      <c r="F40" s="38"/>
      <c r="G40" s="38"/>
      <c r="H40" s="38">
        <v>1</v>
      </c>
      <c r="I40" s="35"/>
      <c r="J40" s="36"/>
      <c r="K40" s="35"/>
      <c r="L40" s="36"/>
      <c r="M40" s="35"/>
      <c r="N40" s="36"/>
    </row>
    <row r="41" spans="1:14" ht="27" customHeight="1" x14ac:dyDescent="0.5">
      <c r="A41" s="34" t="s">
        <v>455</v>
      </c>
      <c r="B41" s="36"/>
      <c r="C41" s="35"/>
      <c r="D41" s="35"/>
      <c r="E41" s="38"/>
      <c r="F41" s="38"/>
      <c r="G41" s="38">
        <v>1</v>
      </c>
      <c r="H41" s="38"/>
      <c r="I41" s="35"/>
      <c r="J41" s="36">
        <v>1</v>
      </c>
      <c r="K41" s="35"/>
      <c r="L41" s="36"/>
      <c r="M41" s="35"/>
      <c r="N41" s="36"/>
    </row>
    <row r="42" spans="1:14" ht="27" customHeight="1" x14ac:dyDescent="0.5">
      <c r="A42" s="34" t="s">
        <v>456</v>
      </c>
      <c r="B42" s="36"/>
      <c r="C42" s="35"/>
      <c r="D42" s="35"/>
      <c r="E42" s="38"/>
      <c r="F42" s="38"/>
      <c r="G42" s="38"/>
      <c r="H42" s="38">
        <v>1</v>
      </c>
      <c r="I42" s="35"/>
      <c r="J42" s="36"/>
      <c r="K42" s="35"/>
      <c r="L42" s="36"/>
      <c r="M42" s="35"/>
      <c r="N42" s="36"/>
    </row>
  </sheetData>
  <mergeCells count="3">
    <mergeCell ref="E1:H1"/>
    <mergeCell ref="E2:F2"/>
    <mergeCell ref="C1:D1"/>
  </mergeCells>
  <phoneticPr fontId="3" type="noConversion"/>
  <pageMargins left="1" right="1" top="1" bottom="1" header="0.5" footer="0.5"/>
  <pageSetup paperSize="9" scale="3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view="pageBreakPreview" zoomScale="55" zoomScaleNormal="55" zoomScaleSheetLayoutView="55" workbookViewId="0">
      <pane xSplit="1" ySplit="4" topLeftCell="B5" activePane="bottomRight" state="frozen"/>
      <selection pane="topRight"/>
      <selection pane="bottomLeft"/>
      <selection pane="bottomRight" activeCell="R4" sqref="R4"/>
    </sheetView>
  </sheetViews>
  <sheetFormatPr defaultColWidth="9" defaultRowHeight="16.5" x14ac:dyDescent="0.3"/>
  <cols>
    <col min="1" max="1" width="32.625" style="4" customWidth="1"/>
    <col min="2" max="2" width="18.625" style="4" customWidth="1"/>
    <col min="3" max="4" width="10.25" style="39" customWidth="1"/>
    <col min="5" max="8" width="11.625" style="4" customWidth="1"/>
    <col min="9" max="9" width="25.25" style="39" customWidth="1"/>
    <col min="10" max="10" width="18.625" style="4" customWidth="1"/>
    <col min="11" max="11" width="18.625" style="39" customWidth="1"/>
    <col min="12" max="12" width="18.625" style="4" customWidth="1"/>
    <col min="13" max="13" width="18.625" style="39" customWidth="1"/>
    <col min="14" max="14" width="18.625" style="4" customWidth="1"/>
    <col min="15" max="16384" width="9" style="4"/>
  </cols>
  <sheetData>
    <row r="1" spans="1:14" ht="144" customHeight="1" x14ac:dyDescent="0.3">
      <c r="A1" s="22" t="s">
        <v>457</v>
      </c>
      <c r="B1" s="103" t="s">
        <v>21</v>
      </c>
      <c r="C1" s="107" t="s">
        <v>20</v>
      </c>
      <c r="D1" s="108"/>
      <c r="E1" s="109" t="s">
        <v>23</v>
      </c>
      <c r="F1" s="110"/>
      <c r="G1" s="110"/>
      <c r="H1" s="110"/>
      <c r="I1" s="102" t="s">
        <v>71</v>
      </c>
      <c r="J1" s="103" t="s">
        <v>76</v>
      </c>
      <c r="K1" s="102" t="s">
        <v>78</v>
      </c>
      <c r="L1" s="103" t="s">
        <v>272</v>
      </c>
      <c r="M1" s="102" t="s">
        <v>144</v>
      </c>
      <c r="N1" s="103" t="s">
        <v>419</v>
      </c>
    </row>
    <row r="2" spans="1:14" ht="45" customHeight="1" x14ac:dyDescent="0.3">
      <c r="A2" s="24" t="s">
        <v>25</v>
      </c>
      <c r="B2" s="25"/>
      <c r="C2" s="27"/>
      <c r="D2" s="102"/>
      <c r="E2" s="115" t="s">
        <v>417</v>
      </c>
      <c r="F2" s="116"/>
      <c r="G2" s="104"/>
      <c r="H2" s="104"/>
      <c r="I2" s="27"/>
      <c r="J2" s="25"/>
      <c r="K2" s="27"/>
      <c r="L2" s="25"/>
      <c r="M2" s="27"/>
      <c r="N2" s="25"/>
    </row>
    <row r="3" spans="1:14" ht="38.25" customHeight="1" x14ac:dyDescent="0.3">
      <c r="A3" s="28" t="s">
        <v>92</v>
      </c>
      <c r="B3" s="30" t="s">
        <v>27</v>
      </c>
      <c r="C3" s="29" t="s">
        <v>27</v>
      </c>
      <c r="D3" s="29" t="s">
        <v>28</v>
      </c>
      <c r="E3" s="31" t="s">
        <v>29</v>
      </c>
      <c r="F3" s="31" t="s">
        <v>27</v>
      </c>
      <c r="G3" s="31" t="s">
        <v>27</v>
      </c>
      <c r="H3" s="31" t="s">
        <v>28</v>
      </c>
      <c r="I3" s="29" t="s">
        <v>30</v>
      </c>
      <c r="J3" s="30" t="s">
        <v>82</v>
      </c>
      <c r="K3" s="29" t="s">
        <v>30</v>
      </c>
      <c r="L3" s="30" t="s">
        <v>30</v>
      </c>
      <c r="M3" s="29" t="s">
        <v>30</v>
      </c>
      <c r="N3" s="30" t="s">
        <v>30</v>
      </c>
    </row>
    <row r="4" spans="1:14" ht="38.25" customHeight="1" x14ac:dyDescent="0.3">
      <c r="A4" s="32" t="s">
        <v>31</v>
      </c>
      <c r="B4" s="33">
        <f t="shared" ref="B4:N4" si="0">SUM(B5:B42)</f>
        <v>0</v>
      </c>
      <c r="C4" s="33">
        <f t="shared" si="0"/>
        <v>0</v>
      </c>
      <c r="D4" s="33">
        <f t="shared" si="0"/>
        <v>0</v>
      </c>
      <c r="E4" s="33">
        <f t="shared" si="0"/>
        <v>0</v>
      </c>
      <c r="F4" s="33">
        <f t="shared" si="0"/>
        <v>0</v>
      </c>
      <c r="G4" s="33">
        <f t="shared" si="0"/>
        <v>0</v>
      </c>
      <c r="H4" s="33">
        <f t="shared" si="0"/>
        <v>0</v>
      </c>
      <c r="I4" s="33">
        <f t="shared" si="0"/>
        <v>64</v>
      </c>
      <c r="J4" s="33">
        <f t="shared" si="0"/>
        <v>32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</row>
    <row r="5" spans="1:14" ht="27" customHeight="1" x14ac:dyDescent="0.5">
      <c r="A5" s="34" t="s">
        <v>458</v>
      </c>
      <c r="B5" s="36"/>
      <c r="C5" s="35"/>
      <c r="D5" s="35"/>
      <c r="E5" s="38"/>
      <c r="F5" s="38"/>
      <c r="G5" s="38"/>
      <c r="H5" s="38"/>
      <c r="I5" s="35">
        <v>48</v>
      </c>
      <c r="J5" s="36"/>
      <c r="K5" s="35"/>
      <c r="L5" s="36"/>
      <c r="M5" s="35"/>
      <c r="N5" s="36"/>
    </row>
    <row r="6" spans="1:14" ht="27" customHeight="1" x14ac:dyDescent="0.5">
      <c r="A6" s="34" t="s">
        <v>275</v>
      </c>
      <c r="B6" s="36"/>
      <c r="C6" s="35"/>
      <c r="D6" s="35"/>
      <c r="E6" s="38"/>
      <c r="F6" s="38"/>
      <c r="G6" s="38"/>
      <c r="H6" s="38"/>
      <c r="I6" s="35">
        <v>16</v>
      </c>
      <c r="J6" s="36">
        <v>32</v>
      </c>
      <c r="K6" s="35"/>
      <c r="L6" s="36"/>
      <c r="M6" s="35"/>
      <c r="N6" s="36"/>
    </row>
    <row r="7" spans="1:14" ht="27" customHeight="1" x14ac:dyDescent="0.5">
      <c r="A7" s="34"/>
      <c r="B7" s="36"/>
      <c r="C7" s="35"/>
      <c r="D7" s="35"/>
      <c r="E7" s="38"/>
      <c r="F7" s="38"/>
      <c r="G7" s="38"/>
      <c r="H7" s="38"/>
      <c r="I7" s="35"/>
      <c r="J7" s="36"/>
      <c r="K7" s="35"/>
      <c r="L7" s="36"/>
      <c r="M7" s="35"/>
      <c r="N7" s="36"/>
    </row>
    <row r="8" spans="1:14" ht="27" customHeight="1" x14ac:dyDescent="0.5">
      <c r="A8" s="34"/>
      <c r="B8" s="36"/>
      <c r="C8" s="35"/>
      <c r="D8" s="35"/>
      <c r="E8" s="38"/>
      <c r="F8" s="38"/>
      <c r="G8" s="38"/>
      <c r="H8" s="38"/>
      <c r="I8" s="35"/>
      <c r="J8" s="36"/>
      <c r="K8" s="35"/>
      <c r="L8" s="36"/>
      <c r="M8" s="35"/>
      <c r="N8" s="36"/>
    </row>
    <row r="9" spans="1:14" ht="27" customHeight="1" x14ac:dyDescent="0.5">
      <c r="A9" s="34"/>
      <c r="B9" s="36"/>
      <c r="C9" s="35"/>
      <c r="D9" s="35"/>
      <c r="E9" s="38"/>
      <c r="F9" s="38"/>
      <c r="G9" s="38"/>
      <c r="H9" s="38"/>
      <c r="I9" s="35"/>
      <c r="J9" s="36"/>
      <c r="K9" s="35"/>
      <c r="L9" s="36"/>
      <c r="M9" s="35"/>
      <c r="N9" s="36"/>
    </row>
    <row r="10" spans="1:14" ht="27" customHeight="1" x14ac:dyDescent="0.5">
      <c r="A10" s="34"/>
      <c r="B10" s="36"/>
      <c r="C10" s="35"/>
      <c r="D10" s="35"/>
      <c r="E10" s="38"/>
      <c r="F10" s="38"/>
      <c r="G10" s="38"/>
      <c r="H10" s="38"/>
      <c r="I10" s="35"/>
      <c r="J10" s="36"/>
      <c r="K10" s="35"/>
      <c r="L10" s="36"/>
      <c r="M10" s="35"/>
      <c r="N10" s="36"/>
    </row>
    <row r="11" spans="1:14" ht="27" customHeight="1" x14ac:dyDescent="0.5">
      <c r="A11" s="34"/>
      <c r="B11" s="36"/>
      <c r="C11" s="35"/>
      <c r="D11" s="35"/>
      <c r="E11" s="38"/>
      <c r="F11" s="38"/>
      <c r="G11" s="38"/>
      <c r="H11" s="38"/>
      <c r="I11" s="35"/>
      <c r="J11" s="36"/>
      <c r="K11" s="35"/>
      <c r="L11" s="36"/>
      <c r="M11" s="35"/>
      <c r="N11" s="36"/>
    </row>
    <row r="12" spans="1:14" ht="27" customHeight="1" x14ac:dyDescent="0.5">
      <c r="A12" s="34"/>
      <c r="B12" s="36"/>
      <c r="C12" s="35"/>
      <c r="D12" s="35"/>
      <c r="E12" s="38"/>
      <c r="F12" s="38"/>
      <c r="G12" s="38"/>
      <c r="H12" s="38"/>
      <c r="I12" s="35"/>
      <c r="J12" s="36"/>
      <c r="K12" s="35"/>
      <c r="L12" s="36"/>
      <c r="M12" s="35"/>
      <c r="N12" s="36"/>
    </row>
    <row r="13" spans="1:14" ht="27" customHeight="1" x14ac:dyDescent="0.5">
      <c r="A13" s="34"/>
      <c r="B13" s="36"/>
      <c r="C13" s="35"/>
      <c r="D13" s="35"/>
      <c r="E13" s="38"/>
      <c r="F13" s="38"/>
      <c r="G13" s="38"/>
      <c r="H13" s="38"/>
      <c r="I13" s="35"/>
      <c r="J13" s="36"/>
      <c r="K13" s="35"/>
      <c r="L13" s="36"/>
      <c r="M13" s="35"/>
      <c r="N13" s="36"/>
    </row>
    <row r="14" spans="1:14" ht="27" customHeight="1" x14ac:dyDescent="0.5">
      <c r="A14" s="34"/>
      <c r="B14" s="36"/>
      <c r="C14" s="35"/>
      <c r="D14" s="35"/>
      <c r="E14" s="38"/>
      <c r="F14" s="38"/>
      <c r="G14" s="38"/>
      <c r="H14" s="38"/>
      <c r="I14" s="35"/>
      <c r="J14" s="36"/>
      <c r="K14" s="35"/>
      <c r="L14" s="36"/>
      <c r="M14" s="35"/>
      <c r="N14" s="36"/>
    </row>
    <row r="15" spans="1:14" ht="27" customHeight="1" x14ac:dyDescent="0.5">
      <c r="A15" s="34"/>
      <c r="B15" s="36"/>
      <c r="C15" s="35"/>
      <c r="D15" s="35"/>
      <c r="E15" s="38"/>
      <c r="F15" s="38"/>
      <c r="G15" s="38"/>
      <c r="H15" s="38"/>
      <c r="I15" s="35"/>
      <c r="J15" s="36"/>
      <c r="K15" s="35"/>
      <c r="L15" s="36"/>
      <c r="M15" s="35"/>
      <c r="N15" s="36"/>
    </row>
    <row r="16" spans="1:14" ht="27" customHeight="1" x14ac:dyDescent="0.5">
      <c r="A16" s="34"/>
      <c r="B16" s="36"/>
      <c r="C16" s="35"/>
      <c r="D16" s="35"/>
      <c r="E16" s="38"/>
      <c r="F16" s="38"/>
      <c r="G16" s="38"/>
      <c r="H16" s="38"/>
      <c r="I16" s="35"/>
      <c r="J16" s="36"/>
      <c r="K16" s="35"/>
      <c r="L16" s="36"/>
      <c r="M16" s="35"/>
      <c r="N16" s="36"/>
    </row>
    <row r="17" spans="1:14" ht="27" customHeight="1" x14ac:dyDescent="0.5">
      <c r="A17" s="34"/>
      <c r="B17" s="36"/>
      <c r="C17" s="35"/>
      <c r="D17" s="35"/>
      <c r="E17" s="38"/>
      <c r="F17" s="38"/>
      <c r="G17" s="38"/>
      <c r="H17" s="38"/>
      <c r="I17" s="35"/>
      <c r="J17" s="36"/>
      <c r="K17" s="35"/>
      <c r="L17" s="36"/>
      <c r="M17" s="35"/>
      <c r="N17" s="36"/>
    </row>
    <row r="18" spans="1:14" ht="27" customHeight="1" x14ac:dyDescent="0.5">
      <c r="A18" s="34"/>
      <c r="B18" s="36"/>
      <c r="C18" s="35"/>
      <c r="D18" s="35"/>
      <c r="E18" s="38"/>
      <c r="F18" s="38"/>
      <c r="G18" s="38"/>
      <c r="H18" s="38"/>
      <c r="I18" s="35"/>
      <c r="J18" s="36"/>
      <c r="K18" s="35"/>
      <c r="L18" s="36"/>
      <c r="M18" s="35"/>
      <c r="N18" s="36"/>
    </row>
    <row r="19" spans="1:14" ht="27" customHeight="1" x14ac:dyDescent="0.5">
      <c r="A19" s="34"/>
      <c r="B19" s="36"/>
      <c r="C19" s="35"/>
      <c r="D19" s="35"/>
      <c r="E19" s="38"/>
      <c r="F19" s="38"/>
      <c r="G19" s="38"/>
      <c r="H19" s="38"/>
      <c r="I19" s="35"/>
      <c r="J19" s="36"/>
      <c r="K19" s="35"/>
      <c r="L19" s="36"/>
      <c r="M19" s="35"/>
      <c r="N19" s="36"/>
    </row>
    <row r="20" spans="1:14" ht="27" customHeight="1" x14ac:dyDescent="0.5">
      <c r="A20" s="34"/>
      <c r="B20" s="36"/>
      <c r="C20" s="35"/>
      <c r="D20" s="35"/>
      <c r="E20" s="38"/>
      <c r="F20" s="38"/>
      <c r="G20" s="38"/>
      <c r="H20" s="38"/>
      <c r="I20" s="35"/>
      <c r="J20" s="36"/>
      <c r="K20" s="35"/>
      <c r="L20" s="36"/>
      <c r="M20" s="35"/>
      <c r="N20" s="36"/>
    </row>
    <row r="21" spans="1:14" ht="27" customHeight="1" x14ac:dyDescent="0.5">
      <c r="A21" s="34"/>
      <c r="B21" s="36"/>
      <c r="C21" s="35"/>
      <c r="D21" s="35"/>
      <c r="E21" s="38"/>
      <c r="F21" s="38"/>
      <c r="G21" s="38"/>
      <c r="H21" s="38"/>
      <c r="I21" s="35"/>
      <c r="J21" s="36"/>
      <c r="K21" s="35"/>
      <c r="L21" s="36"/>
      <c r="M21" s="35"/>
      <c r="N21" s="36"/>
    </row>
    <row r="22" spans="1:14" ht="27" customHeight="1" x14ac:dyDescent="0.5">
      <c r="A22" s="34"/>
      <c r="B22" s="36"/>
      <c r="C22" s="35"/>
      <c r="D22" s="35"/>
      <c r="E22" s="38"/>
      <c r="F22" s="38"/>
      <c r="G22" s="38"/>
      <c r="H22" s="38"/>
      <c r="I22" s="35"/>
      <c r="J22" s="36"/>
      <c r="K22" s="35"/>
      <c r="L22" s="36"/>
      <c r="M22" s="35"/>
      <c r="N22" s="36"/>
    </row>
    <row r="23" spans="1:14" ht="27" customHeight="1" x14ac:dyDescent="0.5">
      <c r="A23" s="34"/>
      <c r="B23" s="36"/>
      <c r="C23" s="35"/>
      <c r="D23" s="35"/>
      <c r="E23" s="38"/>
      <c r="F23" s="38"/>
      <c r="G23" s="38"/>
      <c r="H23" s="38"/>
      <c r="I23" s="35"/>
      <c r="J23" s="36"/>
      <c r="K23" s="35"/>
      <c r="L23" s="36"/>
      <c r="M23" s="35"/>
      <c r="N23" s="36"/>
    </row>
    <row r="24" spans="1:14" ht="27" customHeight="1" x14ac:dyDescent="0.5">
      <c r="A24" s="34"/>
      <c r="B24" s="36"/>
      <c r="C24" s="35"/>
      <c r="D24" s="35"/>
      <c r="E24" s="38"/>
      <c r="F24" s="38"/>
      <c r="G24" s="38"/>
      <c r="H24" s="38"/>
      <c r="I24" s="35"/>
      <c r="J24" s="36"/>
      <c r="K24" s="35"/>
      <c r="L24" s="36"/>
      <c r="M24" s="35"/>
      <c r="N24" s="36"/>
    </row>
    <row r="25" spans="1:14" ht="27" customHeight="1" x14ac:dyDescent="0.5">
      <c r="A25" s="34"/>
      <c r="B25" s="36"/>
      <c r="C25" s="35"/>
      <c r="D25" s="35"/>
      <c r="E25" s="38"/>
      <c r="F25" s="38"/>
      <c r="G25" s="38"/>
      <c r="H25" s="38"/>
      <c r="I25" s="35"/>
      <c r="J25" s="36"/>
      <c r="K25" s="35"/>
      <c r="L25" s="36"/>
      <c r="M25" s="35"/>
      <c r="N25" s="36"/>
    </row>
    <row r="26" spans="1:14" ht="27" customHeight="1" x14ac:dyDescent="0.5">
      <c r="A26" s="34"/>
      <c r="B26" s="36"/>
      <c r="C26" s="35"/>
      <c r="D26" s="35"/>
      <c r="E26" s="38"/>
      <c r="F26" s="38"/>
      <c r="G26" s="38"/>
      <c r="H26" s="38"/>
      <c r="I26" s="35"/>
      <c r="J26" s="36"/>
      <c r="K26" s="35"/>
      <c r="L26" s="36"/>
      <c r="M26" s="35"/>
      <c r="N26" s="36"/>
    </row>
    <row r="27" spans="1:14" ht="27" customHeight="1" x14ac:dyDescent="0.5">
      <c r="A27" s="34"/>
      <c r="B27" s="36"/>
      <c r="C27" s="35"/>
      <c r="D27" s="35"/>
      <c r="E27" s="38"/>
      <c r="F27" s="38"/>
      <c r="G27" s="38"/>
      <c r="H27" s="38"/>
      <c r="I27" s="35"/>
      <c r="J27" s="36"/>
      <c r="K27" s="35"/>
      <c r="L27" s="36"/>
      <c r="M27" s="35"/>
      <c r="N27" s="36"/>
    </row>
    <row r="28" spans="1:14" ht="27" customHeight="1" x14ac:dyDescent="0.5">
      <c r="A28" s="34"/>
      <c r="B28" s="36"/>
      <c r="C28" s="35"/>
      <c r="D28" s="35"/>
      <c r="E28" s="38"/>
      <c r="F28" s="38"/>
      <c r="G28" s="38"/>
      <c r="H28" s="38"/>
      <c r="I28" s="35"/>
      <c r="J28" s="36"/>
      <c r="K28" s="35"/>
      <c r="L28" s="36"/>
      <c r="M28" s="35"/>
      <c r="N28" s="36"/>
    </row>
    <row r="29" spans="1:14" ht="27" customHeight="1" x14ac:dyDescent="0.5">
      <c r="A29" s="34"/>
      <c r="B29" s="36"/>
      <c r="C29" s="35"/>
      <c r="D29" s="35"/>
      <c r="E29" s="38"/>
      <c r="F29" s="38"/>
      <c r="G29" s="38"/>
      <c r="H29" s="38"/>
      <c r="I29" s="35"/>
      <c r="J29" s="36"/>
      <c r="K29" s="35"/>
      <c r="L29" s="36"/>
      <c r="M29" s="35"/>
      <c r="N29" s="36"/>
    </row>
    <row r="30" spans="1:14" ht="27" customHeight="1" x14ac:dyDescent="0.5">
      <c r="A30" s="34"/>
      <c r="B30" s="36"/>
      <c r="C30" s="35"/>
      <c r="D30" s="35"/>
      <c r="E30" s="38"/>
      <c r="F30" s="38"/>
      <c r="G30" s="38"/>
      <c r="H30" s="38"/>
      <c r="I30" s="35"/>
      <c r="J30" s="36"/>
      <c r="K30" s="35"/>
      <c r="L30" s="36"/>
      <c r="M30" s="35"/>
      <c r="N30" s="36"/>
    </row>
    <row r="31" spans="1:14" ht="27" customHeight="1" x14ac:dyDescent="0.5">
      <c r="A31" s="34"/>
      <c r="B31" s="36"/>
      <c r="C31" s="35"/>
      <c r="D31" s="35"/>
      <c r="E31" s="38"/>
      <c r="F31" s="38"/>
      <c r="G31" s="38"/>
      <c r="H31" s="38"/>
      <c r="I31" s="35"/>
      <c r="J31" s="36"/>
      <c r="K31" s="35"/>
      <c r="L31" s="36"/>
      <c r="M31" s="35"/>
      <c r="N31" s="36"/>
    </row>
    <row r="32" spans="1:14" ht="27" customHeight="1" x14ac:dyDescent="0.5">
      <c r="A32" s="34"/>
      <c r="B32" s="36"/>
      <c r="C32" s="35"/>
      <c r="D32" s="35"/>
      <c r="E32" s="38"/>
      <c r="F32" s="38"/>
      <c r="G32" s="38"/>
      <c r="H32" s="38"/>
      <c r="I32" s="35"/>
      <c r="J32" s="36"/>
      <c r="K32" s="35"/>
      <c r="L32" s="36"/>
      <c r="M32" s="35"/>
      <c r="N32" s="36"/>
    </row>
    <row r="33" spans="1:14" ht="27" customHeight="1" x14ac:dyDescent="0.5">
      <c r="A33" s="34"/>
      <c r="B33" s="36"/>
      <c r="C33" s="35"/>
      <c r="D33" s="35"/>
      <c r="E33" s="38"/>
      <c r="F33" s="38"/>
      <c r="G33" s="38"/>
      <c r="H33" s="38"/>
      <c r="I33" s="35"/>
      <c r="J33" s="36"/>
      <c r="K33" s="35"/>
      <c r="L33" s="36"/>
      <c r="M33" s="35"/>
      <c r="N33" s="36"/>
    </row>
    <row r="34" spans="1:14" ht="27" customHeight="1" x14ac:dyDescent="0.5">
      <c r="A34" s="34"/>
      <c r="B34" s="36"/>
      <c r="C34" s="35"/>
      <c r="D34" s="35"/>
      <c r="E34" s="38"/>
      <c r="F34" s="38"/>
      <c r="G34" s="38"/>
      <c r="H34" s="38"/>
      <c r="I34" s="35"/>
      <c r="J34" s="36"/>
      <c r="K34" s="35"/>
      <c r="L34" s="36"/>
      <c r="M34" s="35"/>
      <c r="N34" s="36"/>
    </row>
    <row r="35" spans="1:14" ht="27" customHeight="1" x14ac:dyDescent="0.5">
      <c r="A35" s="34"/>
      <c r="B35" s="36"/>
      <c r="C35" s="35"/>
      <c r="D35" s="35"/>
      <c r="E35" s="38"/>
      <c r="F35" s="38"/>
      <c r="G35" s="38"/>
      <c r="H35" s="38"/>
      <c r="I35" s="35"/>
      <c r="J35" s="36"/>
      <c r="K35" s="35"/>
      <c r="L35" s="36"/>
      <c r="M35" s="35"/>
      <c r="N35" s="36"/>
    </row>
    <row r="36" spans="1:14" ht="27" customHeight="1" x14ac:dyDescent="0.5">
      <c r="A36" s="34"/>
      <c r="B36" s="36"/>
      <c r="C36" s="35"/>
      <c r="D36" s="35"/>
      <c r="E36" s="38"/>
      <c r="F36" s="38"/>
      <c r="G36" s="38"/>
      <c r="H36" s="38"/>
      <c r="I36" s="35"/>
      <c r="J36" s="36"/>
      <c r="K36" s="35"/>
      <c r="L36" s="36"/>
      <c r="M36" s="35"/>
      <c r="N36" s="36"/>
    </row>
    <row r="37" spans="1:14" ht="27" customHeight="1" x14ac:dyDescent="0.5">
      <c r="A37" s="34"/>
      <c r="B37" s="36"/>
      <c r="C37" s="35"/>
      <c r="D37" s="35"/>
      <c r="E37" s="38"/>
      <c r="F37" s="38"/>
      <c r="G37" s="38"/>
      <c r="H37" s="38"/>
      <c r="I37" s="35"/>
      <c r="J37" s="36"/>
      <c r="K37" s="35"/>
      <c r="L37" s="36"/>
      <c r="M37" s="35"/>
      <c r="N37" s="36"/>
    </row>
    <row r="38" spans="1:14" ht="27" customHeight="1" x14ac:dyDescent="0.5">
      <c r="A38" s="34"/>
      <c r="B38" s="36"/>
      <c r="C38" s="35"/>
      <c r="D38" s="35"/>
      <c r="E38" s="38"/>
      <c r="F38" s="38"/>
      <c r="G38" s="38"/>
      <c r="H38" s="38"/>
      <c r="I38" s="35"/>
      <c r="J38" s="36"/>
      <c r="K38" s="35"/>
      <c r="L38" s="36"/>
      <c r="M38" s="35"/>
      <c r="N38" s="36"/>
    </row>
    <row r="39" spans="1:14" ht="27" customHeight="1" x14ac:dyDescent="0.5">
      <c r="A39" s="34"/>
      <c r="B39" s="36"/>
      <c r="C39" s="35"/>
      <c r="D39" s="35"/>
      <c r="E39" s="38"/>
      <c r="F39" s="38"/>
      <c r="G39" s="38"/>
      <c r="H39" s="38"/>
      <c r="I39" s="35"/>
      <c r="J39" s="36"/>
      <c r="K39" s="35"/>
      <c r="L39" s="36"/>
      <c r="M39" s="35"/>
      <c r="N39" s="36"/>
    </row>
    <row r="40" spans="1:14" ht="27" customHeight="1" x14ac:dyDescent="0.5">
      <c r="A40" s="34"/>
      <c r="B40" s="36"/>
      <c r="C40" s="35"/>
      <c r="D40" s="35"/>
      <c r="E40" s="38"/>
      <c r="F40" s="38"/>
      <c r="G40" s="38"/>
      <c r="H40" s="38"/>
      <c r="I40" s="35"/>
      <c r="J40" s="36"/>
      <c r="K40" s="35"/>
      <c r="L40" s="36"/>
      <c r="M40" s="35"/>
      <c r="N40" s="36"/>
    </row>
    <row r="41" spans="1:14" ht="27" customHeight="1" x14ac:dyDescent="0.5">
      <c r="A41" s="34"/>
      <c r="B41" s="36"/>
      <c r="C41" s="35"/>
      <c r="D41" s="35"/>
      <c r="E41" s="38"/>
      <c r="F41" s="38"/>
      <c r="G41" s="38"/>
      <c r="H41" s="38"/>
      <c r="I41" s="35"/>
      <c r="J41" s="36"/>
      <c r="K41" s="35"/>
      <c r="L41" s="36"/>
      <c r="M41" s="35"/>
      <c r="N41" s="36"/>
    </row>
    <row r="42" spans="1:14" ht="27" customHeight="1" x14ac:dyDescent="0.5">
      <c r="A42" s="34"/>
      <c r="B42" s="36"/>
      <c r="C42" s="35"/>
      <c r="D42" s="35"/>
      <c r="E42" s="38"/>
      <c r="F42" s="38"/>
      <c r="G42" s="38"/>
      <c r="H42" s="38"/>
      <c r="I42" s="35"/>
      <c r="J42" s="36"/>
      <c r="K42" s="35"/>
      <c r="L42" s="36"/>
      <c r="M42" s="35"/>
      <c r="N42" s="36"/>
    </row>
  </sheetData>
  <mergeCells count="3">
    <mergeCell ref="C1:D1"/>
    <mergeCell ref="E1:H1"/>
    <mergeCell ref="E2:F2"/>
  </mergeCells>
  <phoneticPr fontId="3" type="noConversion"/>
  <pageMargins left="1" right="1" top="1" bottom="1" header="0.5" footer="0.5"/>
  <pageSetup paperSize="9" scale="3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F5" sqref="F5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8" width="24.5" style="4" customWidth="1"/>
    <col min="9" max="16384" width="9" style="4"/>
  </cols>
  <sheetData>
    <row r="1" spans="1:8" ht="188.25" customHeight="1" x14ac:dyDescent="0.3">
      <c r="A1" s="105" t="s">
        <v>459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2</v>
      </c>
      <c r="H1" s="3"/>
    </row>
    <row r="2" spans="1:8" ht="68.25" customHeight="1" x14ac:dyDescent="0.3">
      <c r="A2" s="105"/>
      <c r="B2" s="5" t="s">
        <v>4</v>
      </c>
      <c r="C2" s="5" t="s">
        <v>5</v>
      </c>
      <c r="D2" s="5" t="s">
        <v>6</v>
      </c>
      <c r="E2" s="6" t="s">
        <v>5</v>
      </c>
      <c r="F2" s="5" t="s">
        <v>7</v>
      </c>
      <c r="G2" s="5" t="s">
        <v>8</v>
      </c>
      <c r="H2" s="3"/>
    </row>
    <row r="3" spans="1:8" ht="68.25" customHeight="1" x14ac:dyDescent="0.3">
      <c r="A3" s="106"/>
      <c r="B3" s="5" t="s">
        <v>9</v>
      </c>
      <c r="C3" s="5" t="s">
        <v>9</v>
      </c>
      <c r="D3" s="5" t="s">
        <v>9</v>
      </c>
      <c r="E3" s="6" t="s">
        <v>9</v>
      </c>
      <c r="F3" s="5" t="s">
        <v>9</v>
      </c>
      <c r="G3" s="5" t="s">
        <v>9</v>
      </c>
      <c r="H3" s="3"/>
    </row>
    <row r="4" spans="1:8" ht="110.25" customHeight="1" x14ac:dyDescent="0.3">
      <c r="A4" s="7"/>
      <c r="B4" s="8">
        <f t="shared" ref="B4:G4" si="0">SUM(B5:B7)</f>
        <v>0</v>
      </c>
      <c r="C4" s="8">
        <f t="shared" si="0"/>
        <v>8</v>
      </c>
      <c r="D4" s="8">
        <f t="shared" si="0"/>
        <v>144</v>
      </c>
      <c r="E4" s="8">
        <f t="shared" si="0"/>
        <v>8</v>
      </c>
      <c r="F4" s="8">
        <f>SUM(F5:F7)</f>
        <v>60</v>
      </c>
      <c r="G4" s="8">
        <f t="shared" si="0"/>
        <v>12</v>
      </c>
      <c r="H4" s="9"/>
    </row>
    <row r="5" spans="1:8" ht="92.25" customHeight="1" x14ac:dyDescent="0.3">
      <c r="A5" s="10" t="s">
        <v>10</v>
      </c>
      <c r="B5" s="11"/>
      <c r="C5" s="12">
        <v>4</v>
      </c>
      <c r="D5" s="12">
        <v>48</v>
      </c>
      <c r="E5" s="12"/>
      <c r="F5" s="12"/>
      <c r="G5" s="12">
        <v>12</v>
      </c>
      <c r="H5" s="9"/>
    </row>
    <row r="6" spans="1:8" ht="92.25" customHeight="1" x14ac:dyDescent="0.3">
      <c r="A6" s="10" t="s">
        <v>11</v>
      </c>
      <c r="B6" s="11"/>
      <c r="C6" s="12">
        <v>4</v>
      </c>
      <c r="D6" s="12">
        <v>16</v>
      </c>
      <c r="E6" s="12"/>
      <c r="F6" s="12">
        <v>20</v>
      </c>
      <c r="G6" s="12"/>
      <c r="H6" s="9"/>
    </row>
    <row r="7" spans="1:8" ht="92.25" customHeight="1" x14ac:dyDescent="0.3">
      <c r="A7" s="10" t="s">
        <v>12</v>
      </c>
      <c r="B7" s="11"/>
      <c r="C7" s="12"/>
      <c r="D7" s="12">
        <f>64+16</f>
        <v>80</v>
      </c>
      <c r="E7" s="12">
        <f>4+4</f>
        <v>8</v>
      </c>
      <c r="F7" s="12">
        <v>40</v>
      </c>
      <c r="G7" s="12"/>
      <c r="H7" s="13"/>
    </row>
    <row r="8" spans="1:8" ht="27" customHeight="1" x14ac:dyDescent="0.3">
      <c r="B8" s="14"/>
      <c r="C8" s="14"/>
      <c r="D8" s="14"/>
      <c r="E8" s="14"/>
      <c r="F8" s="14"/>
      <c r="G8" s="14"/>
      <c r="H8" s="15"/>
    </row>
    <row r="9" spans="1:8" ht="27" customHeight="1" x14ac:dyDescent="0.3">
      <c r="A9" s="16"/>
      <c r="H9" s="3"/>
    </row>
    <row r="10" spans="1:8" ht="110.25" customHeight="1" x14ac:dyDescent="0.3">
      <c r="A10" s="17"/>
      <c r="B10" s="18" t="s">
        <v>13</v>
      </c>
      <c r="C10" s="18" t="s">
        <v>14</v>
      </c>
      <c r="D10" s="18" t="s">
        <v>15</v>
      </c>
      <c r="E10" s="18" t="s">
        <v>16</v>
      </c>
      <c r="F10" s="19" t="s">
        <v>17</v>
      </c>
      <c r="G10" s="18" t="s">
        <v>18</v>
      </c>
      <c r="H10" s="3"/>
    </row>
    <row r="11" spans="1:8" ht="84" customHeight="1" x14ac:dyDescent="0.3">
      <c r="A11" s="10" t="s">
        <v>10</v>
      </c>
      <c r="B11" s="20"/>
      <c r="C11" s="20">
        <f>C5/4</f>
        <v>1</v>
      </c>
      <c r="D11" s="20">
        <f>D5/16</f>
        <v>3</v>
      </c>
      <c r="E11" s="20"/>
      <c r="F11" s="20"/>
      <c r="G11" s="20">
        <f>G5/2</f>
        <v>6</v>
      </c>
      <c r="H11" s="21">
        <f>SUM(B11:G11)</f>
        <v>10</v>
      </c>
    </row>
    <row r="12" spans="1:8" ht="84" customHeight="1" x14ac:dyDescent="0.3">
      <c r="A12" s="10" t="s">
        <v>11</v>
      </c>
      <c r="B12" s="20"/>
      <c r="C12" s="20">
        <f>C6/4</f>
        <v>1</v>
      </c>
      <c r="D12" s="20">
        <f>D6/16</f>
        <v>1</v>
      </c>
      <c r="E12" s="20"/>
      <c r="F12" s="20">
        <f>F6/20</f>
        <v>1</v>
      </c>
      <c r="G12" s="20"/>
      <c r="H12" s="21">
        <f>SUM(B12:G12)</f>
        <v>3</v>
      </c>
    </row>
    <row r="13" spans="1:8" ht="84" customHeight="1" x14ac:dyDescent="0.3">
      <c r="A13" s="10" t="s">
        <v>12</v>
      </c>
      <c r="B13" s="20"/>
      <c r="C13" s="20"/>
      <c r="D13" s="20">
        <f>D7/16</f>
        <v>5</v>
      </c>
      <c r="E13" s="20">
        <f>E7/4</f>
        <v>2</v>
      </c>
      <c r="F13" s="20">
        <f>F7/20</f>
        <v>2</v>
      </c>
      <c r="G13" s="20"/>
      <c r="H13" s="21">
        <f>SUM(B13:G13)</f>
        <v>9</v>
      </c>
    </row>
  </sheetData>
  <mergeCells count="1">
    <mergeCell ref="A1:A3"/>
  </mergeCells>
  <phoneticPr fontId="3" type="noConversion"/>
  <conditionalFormatting sqref="A5">
    <cfRule type="duplicateValues" dxfId="5" priority="4"/>
  </conditionalFormatting>
  <conditionalFormatting sqref="A6">
    <cfRule type="duplicateValues" dxfId="4" priority="5"/>
  </conditionalFormatting>
  <conditionalFormatting sqref="A7">
    <cfRule type="duplicateValues" dxfId="3" priority="2"/>
  </conditionalFormatting>
  <conditionalFormatting sqref="A11">
    <cfRule type="duplicateValues" dxfId="2" priority="3"/>
  </conditionalFormatting>
  <conditionalFormatting sqref="A12">
    <cfRule type="duplicateValues" dxfId="1" priority="6"/>
  </conditionalFormatting>
  <conditionalFormatting sqref="A13">
    <cfRule type="duplicateValues" dxfId="0" priority="1"/>
  </conditionalFormatting>
  <pageMargins left="0.25" right="0.25" top="0.75" bottom="0.75" header="0.30000001192092896" footer="0.30000001192092896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48</vt:i4>
      </vt:variant>
    </vt:vector>
  </HeadingPairs>
  <TitlesOfParts>
    <vt:vector size="72" baseType="lpstr">
      <vt:lpstr>공장출고지서26.06.01(이마트)</vt:lpstr>
      <vt:lpstr>6.1</vt:lpstr>
      <vt:lpstr>공장출고지서26.06.03(이마트)</vt:lpstr>
      <vt:lpstr>6.4</vt:lpstr>
      <vt:lpstr>공장출고지서26.06.05(이마트)</vt:lpstr>
      <vt:lpstr>공장출고지서26.06.08(이마트)</vt:lpstr>
      <vt:lpstr>6.8</vt:lpstr>
      <vt:lpstr>6.9</vt:lpstr>
      <vt:lpstr>공장출고지서26.06.10(이마트)</vt:lpstr>
      <vt:lpstr>6.10</vt:lpstr>
      <vt:lpstr>공장출고지서26.06.12(이마트)</vt:lpstr>
      <vt:lpstr>6.11</vt:lpstr>
      <vt:lpstr>6.12</vt:lpstr>
      <vt:lpstr>공장출고지서26.06.15(이마트)</vt:lpstr>
      <vt:lpstr>6.15</vt:lpstr>
      <vt:lpstr>6.15 (로컬,급식)</vt:lpstr>
      <vt:lpstr>6.16</vt:lpstr>
      <vt:lpstr>맘스6.17</vt:lpstr>
      <vt:lpstr>노벨6.18</vt:lpstr>
      <vt:lpstr>공장출고지서26.06.17(이마트)</vt:lpstr>
      <vt:lpstr>6.17</vt:lpstr>
      <vt:lpstr>6.18</vt:lpstr>
      <vt:lpstr>6.19</vt:lpstr>
      <vt:lpstr>공장출고지서26.06.19(이마트)</vt:lpstr>
      <vt:lpstr>'6.1'!Print_Area</vt:lpstr>
      <vt:lpstr>'6.10'!Print_Area</vt:lpstr>
      <vt:lpstr>'6.11'!Print_Area</vt:lpstr>
      <vt:lpstr>'6.12'!Print_Area</vt:lpstr>
      <vt:lpstr>'6.15'!Print_Area</vt:lpstr>
      <vt:lpstr>'6.15 (로컬,급식)'!Print_Area</vt:lpstr>
      <vt:lpstr>'6.16'!Print_Area</vt:lpstr>
      <vt:lpstr>'6.17'!Print_Area</vt:lpstr>
      <vt:lpstr>'6.18'!Print_Area</vt:lpstr>
      <vt:lpstr>'6.19'!Print_Area</vt:lpstr>
      <vt:lpstr>'6.4'!Print_Area</vt:lpstr>
      <vt:lpstr>'6.8'!Print_Area</vt:lpstr>
      <vt:lpstr>'6.9'!Print_Area</vt:lpstr>
      <vt:lpstr>'공장출고지서26.06.01(이마트)'!Print_Area</vt:lpstr>
      <vt:lpstr>'공장출고지서26.06.03(이마트)'!Print_Area</vt:lpstr>
      <vt:lpstr>'공장출고지서26.06.05(이마트)'!Print_Area</vt:lpstr>
      <vt:lpstr>'공장출고지서26.06.08(이마트)'!Print_Area</vt:lpstr>
      <vt:lpstr>'공장출고지서26.06.10(이마트)'!Print_Area</vt:lpstr>
      <vt:lpstr>'공장출고지서26.06.12(이마트)'!Print_Area</vt:lpstr>
      <vt:lpstr>'공장출고지서26.06.15(이마트)'!Print_Area</vt:lpstr>
      <vt:lpstr>'공장출고지서26.06.17(이마트)'!Print_Area</vt:lpstr>
      <vt:lpstr>'공장출고지서26.06.19(이마트)'!Print_Area</vt:lpstr>
      <vt:lpstr>노벨6.18!Print_Area</vt:lpstr>
      <vt:lpstr>맘스6.17!Print_Area</vt:lpstr>
      <vt:lpstr>'6.1'!Print_Titles</vt:lpstr>
      <vt:lpstr>'6.10'!Print_Titles</vt:lpstr>
      <vt:lpstr>'6.11'!Print_Titles</vt:lpstr>
      <vt:lpstr>'6.12'!Print_Titles</vt:lpstr>
      <vt:lpstr>'6.15'!Print_Titles</vt:lpstr>
      <vt:lpstr>'6.15 (로컬,급식)'!Print_Titles</vt:lpstr>
      <vt:lpstr>'6.16'!Print_Titles</vt:lpstr>
      <vt:lpstr>'6.17'!Print_Titles</vt:lpstr>
      <vt:lpstr>'6.18'!Print_Titles</vt:lpstr>
      <vt:lpstr>'6.19'!Print_Titles</vt:lpstr>
      <vt:lpstr>'6.4'!Print_Titles</vt:lpstr>
      <vt:lpstr>'6.8'!Print_Titles</vt:lpstr>
      <vt:lpstr>'6.9'!Print_Titles</vt:lpstr>
      <vt:lpstr>'공장출고지서26.06.01(이마트)'!Print_Titles</vt:lpstr>
      <vt:lpstr>'공장출고지서26.06.03(이마트)'!Print_Titles</vt:lpstr>
      <vt:lpstr>'공장출고지서26.06.05(이마트)'!Print_Titles</vt:lpstr>
      <vt:lpstr>'공장출고지서26.06.08(이마트)'!Print_Titles</vt:lpstr>
      <vt:lpstr>'공장출고지서26.06.10(이마트)'!Print_Titles</vt:lpstr>
      <vt:lpstr>'공장출고지서26.06.12(이마트)'!Print_Titles</vt:lpstr>
      <vt:lpstr>'공장출고지서26.06.15(이마트)'!Print_Titles</vt:lpstr>
      <vt:lpstr>'공장출고지서26.06.17(이마트)'!Print_Titles</vt:lpstr>
      <vt:lpstr>'공장출고지서26.06.19(이마트)'!Print_Titles</vt:lpstr>
      <vt:lpstr>노벨6.18!Print_Titles</vt:lpstr>
      <vt:lpstr>맘스6.17!Print_Titles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2026-06-18T07:14:22Z</cp:lastPrinted>
  <dcterms:created xsi:type="dcterms:W3CDTF">2026-05-29T07:27:27Z</dcterms:created>
  <dcterms:modified xsi:type="dcterms:W3CDTF">2026-06-18T07:28:45Z</dcterms:modified>
</cp:coreProperties>
</file>