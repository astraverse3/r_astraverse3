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nbcue\OneDrive\문서\Project\MillingLog\milling-log\docs\resources\"/>
    </mc:Choice>
  </mc:AlternateContent>
  <xr:revisionPtr revIDLastSave="0" documentId="8_{EA837F7C-3422-4170-BDFC-2CE16F0F6DBD}" xr6:coauthVersionLast="47" xr6:coauthVersionMax="47" xr10:uidLastSave="{00000000-0000-0000-0000-000000000000}"/>
  <bookViews>
    <workbookView xWindow="6270" yWindow="435" windowWidth="21870" windowHeight="14775" tabRatio="891" firstSheet="36" activeTab="49"/>
  </bookViews>
  <sheets>
    <sheet name="학교별01.02" sheetId="552" r:id="rId1"/>
    <sheet name="공장동01.02" sheetId="553" r:id="rId2"/>
    <sheet name="학교별01.09" sheetId="554" r:id="rId3"/>
    <sheet name="공장동01.09" sheetId="555" r:id="rId4"/>
    <sheet name="학교별01.16" sheetId="556" r:id="rId5"/>
    <sheet name="공장동01.16" sheetId="557" r:id="rId6"/>
    <sheet name="학교별01.23" sheetId="558" r:id="rId7"/>
    <sheet name="공장동01.23" sheetId="559" r:id="rId8"/>
    <sheet name="학교별01.30" sheetId="560" r:id="rId9"/>
    <sheet name="공장동01.30" sheetId="561" r:id="rId10"/>
    <sheet name="학교별02.06" sheetId="562" r:id="rId11"/>
    <sheet name="공장동02.06" sheetId="563" r:id="rId12"/>
    <sheet name="학교별02.13" sheetId="564" r:id="rId13"/>
    <sheet name="공장동02.13" sheetId="565" r:id="rId14"/>
    <sheet name="학교별02.20" sheetId="566" r:id="rId15"/>
    <sheet name="공장동02.20" sheetId="567" r:id="rId16"/>
    <sheet name="학교별02.27" sheetId="568" r:id="rId17"/>
    <sheet name="공장동02.27" sheetId="569" r:id="rId18"/>
    <sheet name="학교별03.06" sheetId="570" r:id="rId19"/>
    <sheet name="공장동03.06" sheetId="571" r:id="rId20"/>
    <sheet name="학교별03.13" sheetId="572" r:id="rId21"/>
    <sheet name="공장동03.13" sheetId="573" r:id="rId22"/>
    <sheet name="학교별03.20" sheetId="574" r:id="rId23"/>
    <sheet name="공장동03.20" sheetId="575" r:id="rId24"/>
    <sheet name="학교별03.27" sheetId="576" r:id="rId25"/>
    <sheet name="공장동03.27" sheetId="577" r:id="rId26"/>
    <sheet name="학교별04.03" sheetId="578" r:id="rId27"/>
    <sheet name="공장동04.03" sheetId="579" r:id="rId28"/>
    <sheet name="학교별04.10" sheetId="580" r:id="rId29"/>
    <sheet name="공장동04.10" sheetId="581" r:id="rId30"/>
    <sheet name="학교별04.17" sheetId="582" r:id="rId31"/>
    <sheet name="공장동04.17" sheetId="583" r:id="rId32"/>
    <sheet name="학교별04.24" sheetId="584" r:id="rId33"/>
    <sheet name="공장동04.24" sheetId="585" r:id="rId34"/>
    <sheet name="학교별04.30" sheetId="586" r:id="rId35"/>
    <sheet name="공장동04.30" sheetId="587" r:id="rId36"/>
    <sheet name="학교별05.08" sheetId="588" r:id="rId37"/>
    <sheet name="공장동05.08" sheetId="589" r:id="rId38"/>
    <sheet name="학교별05.15" sheetId="592" r:id="rId39"/>
    <sheet name="공장동05.15" sheetId="593" r:id="rId40"/>
    <sheet name="학교별05.22" sheetId="594" r:id="rId41"/>
    <sheet name="공장동05.22" sheetId="595" r:id="rId42"/>
    <sheet name="학교별05.29" sheetId="596" r:id="rId43"/>
    <sheet name="공장동05.29" sheetId="597" r:id="rId44"/>
    <sheet name="학교별06.05" sheetId="598" r:id="rId45"/>
    <sheet name="공장동06.05" sheetId="599" r:id="rId46"/>
    <sheet name="학교별06.12" sheetId="600" r:id="rId47"/>
    <sheet name="공장동06.12" sheetId="601" r:id="rId48"/>
    <sheet name="학교별06.19" sheetId="603" r:id="rId49"/>
    <sheet name="공장동06.19" sheetId="602" r:id="rId5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602" l="1"/>
  <c r="I8" i="602"/>
  <c r="J8" i="602"/>
  <c r="K8" i="602"/>
  <c r="L8" i="602"/>
  <c r="M8" i="602"/>
  <c r="N8" i="602"/>
  <c r="O8" i="602"/>
  <c r="P8" i="602"/>
  <c r="Q8" i="602"/>
  <c r="R8" i="602"/>
  <c r="G8" i="602"/>
  <c r="F10" i="602"/>
  <c r="E10" i="602"/>
  <c r="D10" i="602"/>
  <c r="C10" i="602"/>
  <c r="F9" i="602"/>
  <c r="E9" i="602"/>
  <c r="D9" i="602"/>
  <c r="C9" i="602"/>
  <c r="F8" i="602"/>
  <c r="E8" i="602"/>
  <c r="D8" i="602"/>
  <c r="C8" i="602"/>
  <c r="F7" i="602"/>
  <c r="E7" i="602"/>
  <c r="D7" i="602"/>
  <c r="C7" i="602"/>
  <c r="G77" i="603"/>
  <c r="S74" i="603"/>
  <c r="R74" i="603"/>
  <c r="Q74" i="603"/>
  <c r="P74" i="603"/>
  <c r="O74" i="603"/>
  <c r="N74" i="603"/>
  <c r="M74" i="603"/>
  <c r="L74" i="603"/>
  <c r="K74" i="603"/>
  <c r="J74" i="603"/>
  <c r="I74" i="603"/>
  <c r="H74" i="603"/>
  <c r="F74" i="603"/>
  <c r="E74" i="603"/>
  <c r="D74" i="603"/>
  <c r="C74" i="603"/>
  <c r="U69" i="603"/>
  <c r="S62" i="603"/>
  <c r="R62" i="603"/>
  <c r="Q62" i="603"/>
  <c r="P62" i="603"/>
  <c r="O62" i="603"/>
  <c r="N62" i="603"/>
  <c r="M62" i="603"/>
  <c r="L62" i="603"/>
  <c r="K62" i="603"/>
  <c r="J62" i="603"/>
  <c r="I62" i="603"/>
  <c r="H62" i="603"/>
  <c r="F62" i="603"/>
  <c r="E62" i="603"/>
  <c r="D62" i="603"/>
  <c r="C62" i="603"/>
  <c r="S52" i="603"/>
  <c r="R52" i="603"/>
  <c r="Q52" i="603"/>
  <c r="P52" i="603"/>
  <c r="O52" i="603"/>
  <c r="N52" i="603"/>
  <c r="M52" i="603"/>
  <c r="L52" i="603"/>
  <c r="K52" i="603"/>
  <c r="J52" i="603"/>
  <c r="I52" i="603"/>
  <c r="H52" i="603"/>
  <c r="F52" i="603"/>
  <c r="E52" i="603"/>
  <c r="D52" i="603"/>
  <c r="C52" i="603"/>
  <c r="S43" i="603"/>
  <c r="R43" i="603"/>
  <c r="Q43" i="603"/>
  <c r="P43" i="603"/>
  <c r="O43" i="603"/>
  <c r="N43" i="603"/>
  <c r="M43" i="603"/>
  <c r="L43" i="603"/>
  <c r="K43" i="603"/>
  <c r="J43" i="603"/>
  <c r="I43" i="603"/>
  <c r="H43" i="603"/>
  <c r="F43" i="603"/>
  <c r="E43" i="603"/>
  <c r="D43" i="603"/>
  <c r="C43" i="603"/>
  <c r="S22" i="603"/>
  <c r="R22" i="603"/>
  <c r="Q22" i="603"/>
  <c r="P22" i="603"/>
  <c r="O22" i="603"/>
  <c r="N22" i="603"/>
  <c r="M22" i="603"/>
  <c r="L22" i="603"/>
  <c r="K22" i="603"/>
  <c r="J22" i="603"/>
  <c r="I22" i="603"/>
  <c r="H22" i="603"/>
  <c r="F22" i="603"/>
  <c r="E22" i="603"/>
  <c r="D22" i="603"/>
  <c r="C22" i="603"/>
  <c r="S3" i="603"/>
  <c r="R3" i="603"/>
  <c r="Q3" i="603"/>
  <c r="P3" i="603"/>
  <c r="O3" i="603"/>
  <c r="M3" i="603"/>
  <c r="I3" i="603"/>
  <c r="H3" i="603"/>
  <c r="F3" i="603"/>
  <c r="D3" i="603"/>
  <c r="C5" i="602"/>
  <c r="D5" i="602"/>
  <c r="E5" i="602"/>
  <c r="F5" i="602"/>
  <c r="G5" i="602"/>
  <c r="I5" i="602"/>
  <c r="J5" i="602"/>
  <c r="K5" i="602"/>
  <c r="L5" i="602"/>
  <c r="M5" i="602"/>
  <c r="N5" i="602"/>
  <c r="O5" i="602"/>
  <c r="P5" i="602"/>
  <c r="Q5" i="602"/>
  <c r="R5" i="602"/>
  <c r="H15" i="602"/>
  <c r="J15" i="602"/>
  <c r="K15" i="602"/>
  <c r="L15" i="602"/>
  <c r="M15" i="602"/>
  <c r="N15" i="602"/>
  <c r="O15" i="602"/>
  <c r="P15" i="602"/>
  <c r="Q15" i="602"/>
  <c r="R15" i="602"/>
  <c r="C3" i="601"/>
  <c r="D3" i="601"/>
  <c r="E3" i="601"/>
  <c r="F3" i="601"/>
  <c r="I3" i="601"/>
  <c r="J3" i="601"/>
  <c r="K3" i="601"/>
  <c r="L3" i="601"/>
  <c r="M3" i="601"/>
  <c r="N3" i="601"/>
  <c r="O3" i="601"/>
  <c r="P3" i="601"/>
  <c r="Q3" i="601"/>
  <c r="R3" i="601"/>
  <c r="S3" i="601"/>
  <c r="T3" i="601"/>
  <c r="C4" i="601"/>
  <c r="D4" i="601"/>
  <c r="E4" i="601"/>
  <c r="F4" i="601"/>
  <c r="I4" i="601"/>
  <c r="J4" i="601"/>
  <c r="K4" i="601"/>
  <c r="L4" i="601"/>
  <c r="M4" i="601"/>
  <c r="N4" i="601"/>
  <c r="O4" i="601"/>
  <c r="P4" i="601"/>
  <c r="Q4" i="601"/>
  <c r="R4" i="601"/>
  <c r="S4" i="601"/>
  <c r="T4" i="601"/>
  <c r="C8" i="601"/>
  <c r="D8" i="601"/>
  <c r="E8" i="601"/>
  <c r="F8" i="601"/>
  <c r="I8" i="601"/>
  <c r="J8" i="601"/>
  <c r="K8" i="601"/>
  <c r="L8" i="601"/>
  <c r="M8" i="601"/>
  <c r="N8" i="601"/>
  <c r="O8" i="601"/>
  <c r="P8" i="601"/>
  <c r="Q8" i="601"/>
  <c r="R8" i="601"/>
  <c r="S8" i="601"/>
  <c r="T8" i="601"/>
  <c r="C11" i="601"/>
  <c r="D11" i="601"/>
  <c r="E11" i="601"/>
  <c r="F11" i="601"/>
  <c r="I11" i="601"/>
  <c r="J11" i="601"/>
  <c r="K11" i="601"/>
  <c r="L11" i="601"/>
  <c r="M11" i="601"/>
  <c r="N11" i="601"/>
  <c r="O11" i="601"/>
  <c r="P11" i="601"/>
  <c r="Q11" i="601"/>
  <c r="R11" i="601"/>
  <c r="S11" i="601"/>
  <c r="T11" i="601"/>
  <c r="C14" i="601"/>
  <c r="D14" i="601"/>
  <c r="E14" i="601"/>
  <c r="F14" i="601"/>
  <c r="I14" i="601"/>
  <c r="J14" i="601"/>
  <c r="K14" i="601"/>
  <c r="L14" i="601"/>
  <c r="M14" i="601"/>
  <c r="N14" i="601"/>
  <c r="O14" i="601"/>
  <c r="P14" i="601"/>
  <c r="Q14" i="601"/>
  <c r="R14" i="601"/>
  <c r="S14" i="601"/>
  <c r="T14" i="601"/>
  <c r="C3" i="600"/>
  <c r="D3" i="600"/>
  <c r="E3" i="600"/>
  <c r="F3" i="600"/>
  <c r="H3" i="600"/>
  <c r="I3" i="600"/>
  <c r="J3" i="600"/>
  <c r="K3" i="600"/>
  <c r="L3" i="600"/>
  <c r="M3" i="600"/>
  <c r="N3" i="600"/>
  <c r="O3" i="600"/>
  <c r="P3" i="600"/>
  <c r="Q3" i="600"/>
  <c r="R3" i="600"/>
  <c r="S3" i="600"/>
  <c r="T3" i="600"/>
  <c r="U3" i="600"/>
  <c r="V3" i="600"/>
  <c r="W3" i="600"/>
  <c r="C22" i="600"/>
  <c r="D22" i="600"/>
  <c r="E22" i="600"/>
  <c r="F22" i="600"/>
  <c r="H22" i="600"/>
  <c r="I22" i="600"/>
  <c r="J22" i="600"/>
  <c r="K22" i="600"/>
  <c r="L22" i="600"/>
  <c r="M22" i="600"/>
  <c r="N22" i="600"/>
  <c r="O22" i="600"/>
  <c r="P22" i="600"/>
  <c r="Q22" i="600"/>
  <c r="R22" i="600"/>
  <c r="S22" i="600"/>
  <c r="C43" i="600"/>
  <c r="D43" i="600"/>
  <c r="E43" i="600"/>
  <c r="F43" i="600"/>
  <c r="H43" i="600"/>
  <c r="I43" i="600"/>
  <c r="J43" i="600"/>
  <c r="K43" i="600"/>
  <c r="L43" i="600"/>
  <c r="M43" i="600"/>
  <c r="N43" i="600"/>
  <c r="O43" i="600"/>
  <c r="P43" i="600"/>
  <c r="Q43" i="600"/>
  <c r="R43" i="600"/>
  <c r="S43" i="600"/>
  <c r="C52" i="600"/>
  <c r="D52" i="600"/>
  <c r="E52" i="600"/>
  <c r="F52" i="600"/>
  <c r="H52" i="600"/>
  <c r="I52" i="600"/>
  <c r="J52" i="600"/>
  <c r="K52" i="600"/>
  <c r="L52" i="600"/>
  <c r="M52" i="600"/>
  <c r="N52" i="600"/>
  <c r="O52" i="600"/>
  <c r="P52" i="600"/>
  <c r="Q52" i="600"/>
  <c r="R52" i="600"/>
  <c r="S52" i="600"/>
  <c r="C62" i="600"/>
  <c r="D62" i="600"/>
  <c r="E62" i="600"/>
  <c r="F62" i="600"/>
  <c r="H62" i="600"/>
  <c r="I62" i="600"/>
  <c r="J62" i="600"/>
  <c r="K62" i="600"/>
  <c r="L62" i="600"/>
  <c r="M62" i="600"/>
  <c r="N62" i="600"/>
  <c r="O62" i="600"/>
  <c r="P62" i="600"/>
  <c r="Q62" i="600"/>
  <c r="R62" i="600"/>
  <c r="S62" i="600"/>
  <c r="U64" i="600"/>
  <c r="Y64" i="600"/>
  <c r="C65" i="600"/>
  <c r="D65" i="600"/>
  <c r="E65" i="600"/>
  <c r="F65" i="600"/>
  <c r="H65" i="600"/>
  <c r="I65" i="600"/>
  <c r="J65" i="600"/>
  <c r="K65" i="600"/>
  <c r="L65" i="600"/>
  <c r="M65" i="600"/>
  <c r="N65" i="600"/>
  <c r="O65" i="600"/>
  <c r="P65" i="600"/>
  <c r="Q65" i="600"/>
  <c r="R65" i="600"/>
  <c r="S65" i="600"/>
  <c r="P67" i="600"/>
  <c r="U69" i="600"/>
  <c r="C74" i="600"/>
  <c r="D74" i="600"/>
  <c r="E74" i="600"/>
  <c r="F74" i="600"/>
  <c r="H74" i="600"/>
  <c r="I74" i="600"/>
  <c r="J74" i="600"/>
  <c r="K74" i="600"/>
  <c r="L74" i="600"/>
  <c r="M74" i="600"/>
  <c r="N74" i="600"/>
  <c r="O74" i="600"/>
  <c r="P74" i="600"/>
  <c r="Q74" i="600"/>
  <c r="R74" i="600"/>
  <c r="S74" i="600"/>
  <c r="C76" i="600"/>
  <c r="D76" i="600"/>
  <c r="E76" i="600"/>
  <c r="F76" i="600"/>
  <c r="H76" i="600"/>
  <c r="I76" i="600"/>
  <c r="J76" i="600"/>
  <c r="K76" i="600"/>
  <c r="L76" i="600"/>
  <c r="M76" i="600"/>
  <c r="N76" i="600"/>
  <c r="O76" i="600"/>
  <c r="P76" i="600"/>
  <c r="Q76" i="600"/>
  <c r="R76" i="600"/>
  <c r="C77" i="600"/>
  <c r="D77" i="600"/>
  <c r="E77" i="600"/>
  <c r="F77" i="600"/>
  <c r="G77" i="600"/>
  <c r="H77" i="600"/>
  <c r="I77" i="600"/>
  <c r="J77" i="600"/>
  <c r="K77" i="600"/>
  <c r="L77" i="600"/>
  <c r="M77" i="600"/>
  <c r="N77" i="600"/>
  <c r="O77" i="600"/>
  <c r="P77" i="600"/>
  <c r="Q77" i="600"/>
  <c r="R77" i="600"/>
  <c r="P79" i="600"/>
  <c r="C3" i="599"/>
  <c r="D3" i="599"/>
  <c r="E3" i="599"/>
  <c r="F3" i="599"/>
  <c r="I3" i="599"/>
  <c r="J3" i="599"/>
  <c r="K3" i="599"/>
  <c r="L3" i="599"/>
  <c r="M3" i="599"/>
  <c r="N3" i="599"/>
  <c r="O3" i="599"/>
  <c r="P3" i="599"/>
  <c r="Q3" i="599"/>
  <c r="R3" i="599"/>
  <c r="S3" i="599"/>
  <c r="T3" i="599"/>
  <c r="C4" i="599"/>
  <c r="D4" i="599"/>
  <c r="E4" i="599"/>
  <c r="F4" i="599"/>
  <c r="I4" i="599"/>
  <c r="J4" i="599"/>
  <c r="K4" i="599"/>
  <c r="L4" i="599"/>
  <c r="M4" i="599"/>
  <c r="N4" i="599"/>
  <c r="O4" i="599"/>
  <c r="P4" i="599"/>
  <c r="Q4" i="599"/>
  <c r="R4" i="599"/>
  <c r="S4" i="599"/>
  <c r="T4" i="599"/>
  <c r="C8" i="599"/>
  <c r="D8" i="599"/>
  <c r="E8" i="599"/>
  <c r="F8" i="599"/>
  <c r="I8" i="599"/>
  <c r="J8" i="599"/>
  <c r="K8" i="599"/>
  <c r="L8" i="599"/>
  <c r="M8" i="599"/>
  <c r="N8" i="599"/>
  <c r="O8" i="599"/>
  <c r="P8" i="599"/>
  <c r="Q8" i="599"/>
  <c r="R8" i="599"/>
  <c r="S8" i="599"/>
  <c r="T8" i="599"/>
  <c r="C11" i="599"/>
  <c r="D11" i="599"/>
  <c r="E11" i="599"/>
  <c r="F11" i="599"/>
  <c r="I11" i="599"/>
  <c r="J11" i="599"/>
  <c r="K11" i="599"/>
  <c r="L11" i="599"/>
  <c r="M11" i="599"/>
  <c r="N11" i="599"/>
  <c r="O11" i="599"/>
  <c r="P11" i="599"/>
  <c r="Q11" i="599"/>
  <c r="R11" i="599"/>
  <c r="S11" i="599"/>
  <c r="T11" i="599"/>
  <c r="C14" i="599"/>
  <c r="D14" i="599"/>
  <c r="E14" i="599"/>
  <c r="F14" i="599"/>
  <c r="I14" i="599"/>
  <c r="J14" i="599"/>
  <c r="K14" i="599"/>
  <c r="L14" i="599"/>
  <c r="M14" i="599"/>
  <c r="N14" i="599"/>
  <c r="O14" i="599"/>
  <c r="P14" i="599"/>
  <c r="Q14" i="599"/>
  <c r="R14" i="599"/>
  <c r="S14" i="599"/>
  <c r="T14" i="599"/>
  <c r="C3" i="598"/>
  <c r="D3" i="598"/>
  <c r="E3" i="598"/>
  <c r="F3" i="598"/>
  <c r="H3" i="598"/>
  <c r="I3" i="598"/>
  <c r="J3" i="598"/>
  <c r="K3" i="598"/>
  <c r="L3" i="598"/>
  <c r="M3" i="598"/>
  <c r="N3" i="598"/>
  <c r="O3" i="598"/>
  <c r="P3" i="598"/>
  <c r="Q3" i="598"/>
  <c r="R3" i="598"/>
  <c r="S3" i="598"/>
  <c r="T3" i="598"/>
  <c r="U3" i="598"/>
  <c r="V3" i="598"/>
  <c r="W3" i="598"/>
  <c r="C22" i="598"/>
  <c r="D22" i="598"/>
  <c r="E22" i="598"/>
  <c r="F22" i="598"/>
  <c r="H22" i="598"/>
  <c r="I22" i="598"/>
  <c r="J22" i="598"/>
  <c r="K22" i="598"/>
  <c r="L22" i="598"/>
  <c r="M22" i="598"/>
  <c r="N22" i="598"/>
  <c r="O22" i="598"/>
  <c r="P22" i="598"/>
  <c r="Q22" i="598"/>
  <c r="R22" i="598"/>
  <c r="S22" i="598"/>
  <c r="C43" i="598"/>
  <c r="D43" i="598"/>
  <c r="E43" i="598"/>
  <c r="F43" i="598"/>
  <c r="H43" i="598"/>
  <c r="I43" i="598"/>
  <c r="J43" i="598"/>
  <c r="K43" i="598"/>
  <c r="L43" i="598"/>
  <c r="M43" i="598"/>
  <c r="N43" i="598"/>
  <c r="O43" i="598"/>
  <c r="P43" i="598"/>
  <c r="Q43" i="598"/>
  <c r="R43" i="598"/>
  <c r="S43" i="598"/>
  <c r="C52" i="598"/>
  <c r="D52" i="598"/>
  <c r="E52" i="598"/>
  <c r="F52" i="598"/>
  <c r="H52" i="598"/>
  <c r="I52" i="598"/>
  <c r="J52" i="598"/>
  <c r="K52" i="598"/>
  <c r="L52" i="598"/>
  <c r="M52" i="598"/>
  <c r="N52" i="598"/>
  <c r="O52" i="598"/>
  <c r="P52" i="598"/>
  <c r="Q52" i="598"/>
  <c r="R52" i="598"/>
  <c r="S52" i="598"/>
  <c r="C62" i="598"/>
  <c r="D62" i="598"/>
  <c r="E62" i="598"/>
  <c r="F62" i="598"/>
  <c r="H62" i="598"/>
  <c r="I62" i="598"/>
  <c r="J62" i="598"/>
  <c r="K62" i="598"/>
  <c r="L62" i="598"/>
  <c r="M62" i="598"/>
  <c r="N62" i="598"/>
  <c r="O62" i="598"/>
  <c r="P62" i="598"/>
  <c r="Q62" i="598"/>
  <c r="R62" i="598"/>
  <c r="S62" i="598"/>
  <c r="U64" i="598"/>
  <c r="Y64" i="598"/>
  <c r="C65" i="598"/>
  <c r="D65" i="598"/>
  <c r="E65" i="598"/>
  <c r="F65" i="598"/>
  <c r="H65" i="598"/>
  <c r="I65" i="598"/>
  <c r="J65" i="598"/>
  <c r="K65" i="598"/>
  <c r="L65" i="598"/>
  <c r="M65" i="598"/>
  <c r="N65" i="598"/>
  <c r="O65" i="598"/>
  <c r="P65" i="598"/>
  <c r="Q65" i="598"/>
  <c r="R65" i="598"/>
  <c r="S65" i="598"/>
  <c r="P67" i="598"/>
  <c r="U69" i="598"/>
  <c r="C74" i="598"/>
  <c r="D74" i="598"/>
  <c r="E74" i="598"/>
  <c r="F74" i="598"/>
  <c r="H74" i="598"/>
  <c r="I74" i="598"/>
  <c r="J74" i="598"/>
  <c r="K74" i="598"/>
  <c r="L74" i="598"/>
  <c r="M74" i="598"/>
  <c r="N74" i="598"/>
  <c r="O74" i="598"/>
  <c r="P74" i="598"/>
  <c r="Q74" i="598"/>
  <c r="R74" i="598"/>
  <c r="S74" i="598"/>
  <c r="C76" i="598"/>
  <c r="D76" i="598"/>
  <c r="E76" i="598"/>
  <c r="F76" i="598"/>
  <c r="H76" i="598"/>
  <c r="I76" i="598"/>
  <c r="J76" i="598"/>
  <c r="K76" i="598"/>
  <c r="L76" i="598"/>
  <c r="M76" i="598"/>
  <c r="N76" i="598"/>
  <c r="O76" i="598"/>
  <c r="P76" i="598"/>
  <c r="Q76" i="598"/>
  <c r="R76" i="598"/>
  <c r="C77" i="598"/>
  <c r="D77" i="598"/>
  <c r="E77" i="598"/>
  <c r="F77" i="598"/>
  <c r="G77" i="598"/>
  <c r="H77" i="598"/>
  <c r="I77" i="598"/>
  <c r="J77" i="598"/>
  <c r="K77" i="598"/>
  <c r="L77" i="598"/>
  <c r="M77" i="598"/>
  <c r="N77" i="598"/>
  <c r="O77" i="598"/>
  <c r="P77" i="598"/>
  <c r="Q77" i="598"/>
  <c r="R77" i="598"/>
  <c r="P79" i="598"/>
  <c r="C3" i="597"/>
  <c r="D3" i="597"/>
  <c r="E3" i="597"/>
  <c r="F3" i="597"/>
  <c r="I3" i="597"/>
  <c r="J3" i="597"/>
  <c r="K3" i="597"/>
  <c r="L3" i="597"/>
  <c r="M3" i="597"/>
  <c r="N3" i="597"/>
  <c r="O3" i="597"/>
  <c r="P3" i="597"/>
  <c r="Q3" i="597"/>
  <c r="R3" i="597"/>
  <c r="S3" i="597"/>
  <c r="T3" i="597"/>
  <c r="C4" i="597"/>
  <c r="D4" i="597"/>
  <c r="E4" i="597"/>
  <c r="F4" i="597"/>
  <c r="I4" i="597"/>
  <c r="J4" i="597"/>
  <c r="K4" i="597"/>
  <c r="L4" i="597"/>
  <c r="M4" i="597"/>
  <c r="N4" i="597"/>
  <c r="O4" i="597"/>
  <c r="P4" i="597"/>
  <c r="Q4" i="597"/>
  <c r="R4" i="597"/>
  <c r="S4" i="597"/>
  <c r="T4" i="597"/>
  <c r="C8" i="597"/>
  <c r="D8" i="597"/>
  <c r="E8" i="597"/>
  <c r="F8" i="597"/>
  <c r="I8" i="597"/>
  <c r="J8" i="597"/>
  <c r="K8" i="597"/>
  <c r="L8" i="597"/>
  <c r="M8" i="597"/>
  <c r="N8" i="597"/>
  <c r="O8" i="597"/>
  <c r="P8" i="597"/>
  <c r="Q8" i="597"/>
  <c r="R8" i="597"/>
  <c r="S8" i="597"/>
  <c r="T8" i="597"/>
  <c r="C11" i="597"/>
  <c r="D11" i="597"/>
  <c r="E11" i="597"/>
  <c r="F11" i="597"/>
  <c r="I11" i="597"/>
  <c r="J11" i="597"/>
  <c r="K11" i="597"/>
  <c r="L11" i="597"/>
  <c r="M11" i="597"/>
  <c r="N11" i="597"/>
  <c r="O11" i="597"/>
  <c r="P11" i="597"/>
  <c r="Q11" i="597"/>
  <c r="R11" i="597"/>
  <c r="S11" i="597"/>
  <c r="T11" i="597"/>
  <c r="C14" i="597"/>
  <c r="D14" i="597"/>
  <c r="E14" i="597"/>
  <c r="F14" i="597"/>
  <c r="I14" i="597"/>
  <c r="J14" i="597"/>
  <c r="K14" i="597"/>
  <c r="L14" i="597"/>
  <c r="M14" i="597"/>
  <c r="N14" i="597"/>
  <c r="O14" i="597"/>
  <c r="P14" i="597"/>
  <c r="Q14" i="597"/>
  <c r="R14" i="597"/>
  <c r="S14" i="597"/>
  <c r="T14" i="597"/>
  <c r="C3" i="596"/>
  <c r="D3" i="596"/>
  <c r="E3" i="596"/>
  <c r="F3" i="596"/>
  <c r="H3" i="596"/>
  <c r="I3" i="596"/>
  <c r="J3" i="596"/>
  <c r="K3" i="596"/>
  <c r="L3" i="596"/>
  <c r="M3" i="596"/>
  <c r="N3" i="596"/>
  <c r="O3" i="596"/>
  <c r="P3" i="596"/>
  <c r="Q3" i="596"/>
  <c r="R3" i="596"/>
  <c r="S3" i="596"/>
  <c r="T3" i="596"/>
  <c r="U3" i="596"/>
  <c r="V3" i="596"/>
  <c r="W3" i="596"/>
  <c r="C22" i="596"/>
  <c r="D22" i="596"/>
  <c r="E22" i="596"/>
  <c r="F22" i="596"/>
  <c r="H22" i="596"/>
  <c r="I22" i="596"/>
  <c r="J22" i="596"/>
  <c r="K22" i="596"/>
  <c r="L22" i="596"/>
  <c r="M22" i="596"/>
  <c r="N22" i="596"/>
  <c r="O22" i="596"/>
  <c r="P22" i="596"/>
  <c r="Q22" i="596"/>
  <c r="R22" i="596"/>
  <c r="S22" i="596"/>
  <c r="C43" i="596"/>
  <c r="D43" i="596"/>
  <c r="E43" i="596"/>
  <c r="F43" i="596"/>
  <c r="H43" i="596"/>
  <c r="I43" i="596"/>
  <c r="J43" i="596"/>
  <c r="K43" i="596"/>
  <c r="L43" i="596"/>
  <c r="M43" i="596"/>
  <c r="N43" i="596"/>
  <c r="O43" i="596"/>
  <c r="P43" i="596"/>
  <c r="Q43" i="596"/>
  <c r="R43" i="596"/>
  <c r="S43" i="596"/>
  <c r="C52" i="596"/>
  <c r="D52" i="596"/>
  <c r="E52" i="596"/>
  <c r="F52" i="596"/>
  <c r="H52" i="596"/>
  <c r="I52" i="596"/>
  <c r="J52" i="596"/>
  <c r="K52" i="596"/>
  <c r="L52" i="596"/>
  <c r="M52" i="596"/>
  <c r="N52" i="596"/>
  <c r="O52" i="596"/>
  <c r="P52" i="596"/>
  <c r="Q52" i="596"/>
  <c r="R52" i="596"/>
  <c r="S52" i="596"/>
  <c r="C62" i="596"/>
  <c r="D62" i="596"/>
  <c r="E62" i="596"/>
  <c r="F62" i="596"/>
  <c r="H62" i="596"/>
  <c r="I62" i="596"/>
  <c r="J62" i="596"/>
  <c r="K62" i="596"/>
  <c r="L62" i="596"/>
  <c r="M62" i="596"/>
  <c r="N62" i="596"/>
  <c r="O62" i="596"/>
  <c r="P62" i="596"/>
  <c r="Q62" i="596"/>
  <c r="R62" i="596"/>
  <c r="S62" i="596"/>
  <c r="U64" i="596"/>
  <c r="Y64" i="596"/>
  <c r="C65" i="596"/>
  <c r="D65" i="596"/>
  <c r="E65" i="596"/>
  <c r="F65" i="596"/>
  <c r="H65" i="596"/>
  <c r="I65" i="596"/>
  <c r="J65" i="596"/>
  <c r="K65" i="596"/>
  <c r="L65" i="596"/>
  <c r="M65" i="596"/>
  <c r="N65" i="596"/>
  <c r="O65" i="596"/>
  <c r="P65" i="596"/>
  <c r="Q65" i="596"/>
  <c r="R65" i="596"/>
  <c r="S65" i="596"/>
  <c r="P67" i="596"/>
  <c r="U69" i="596"/>
  <c r="C74" i="596"/>
  <c r="D74" i="596"/>
  <c r="E74" i="596"/>
  <c r="F74" i="596"/>
  <c r="H74" i="596"/>
  <c r="I74" i="596"/>
  <c r="J74" i="596"/>
  <c r="K74" i="596"/>
  <c r="L74" i="596"/>
  <c r="M74" i="596"/>
  <c r="N74" i="596"/>
  <c r="O74" i="596"/>
  <c r="P74" i="596"/>
  <c r="Q74" i="596"/>
  <c r="R74" i="596"/>
  <c r="S74" i="596"/>
  <c r="C76" i="596"/>
  <c r="D76" i="596"/>
  <c r="E76" i="596"/>
  <c r="F76" i="596"/>
  <c r="H76" i="596"/>
  <c r="I76" i="596"/>
  <c r="J76" i="596"/>
  <c r="K76" i="596"/>
  <c r="L76" i="596"/>
  <c r="M76" i="596"/>
  <c r="N76" i="596"/>
  <c r="O76" i="596"/>
  <c r="P76" i="596"/>
  <c r="Q76" i="596"/>
  <c r="R76" i="596"/>
  <c r="C77" i="596"/>
  <c r="D77" i="596"/>
  <c r="E77" i="596"/>
  <c r="F77" i="596"/>
  <c r="G77" i="596"/>
  <c r="H77" i="596"/>
  <c r="I77" i="596"/>
  <c r="J77" i="596"/>
  <c r="K77" i="596"/>
  <c r="L77" i="596"/>
  <c r="M77" i="596"/>
  <c r="N77" i="596"/>
  <c r="O77" i="596"/>
  <c r="P77" i="596"/>
  <c r="Q77" i="596"/>
  <c r="R77" i="596"/>
  <c r="P79" i="596"/>
  <c r="C3" i="595"/>
  <c r="D3" i="595"/>
  <c r="E3" i="595"/>
  <c r="F3" i="595"/>
  <c r="I3" i="595"/>
  <c r="J3" i="595"/>
  <c r="K3" i="595"/>
  <c r="L3" i="595"/>
  <c r="M3" i="595"/>
  <c r="N3" i="595"/>
  <c r="O3" i="595"/>
  <c r="P3" i="595"/>
  <c r="Q3" i="595"/>
  <c r="R3" i="595"/>
  <c r="S3" i="595"/>
  <c r="T3" i="595"/>
  <c r="C4" i="595"/>
  <c r="D4" i="595"/>
  <c r="E4" i="595"/>
  <c r="F4" i="595"/>
  <c r="I4" i="595"/>
  <c r="J4" i="595"/>
  <c r="K4" i="595"/>
  <c r="L4" i="595"/>
  <c r="M4" i="595"/>
  <c r="N4" i="595"/>
  <c r="O4" i="595"/>
  <c r="P4" i="595"/>
  <c r="Q4" i="595"/>
  <c r="R4" i="595"/>
  <c r="S4" i="595"/>
  <c r="T4" i="595"/>
  <c r="C8" i="595"/>
  <c r="D8" i="595"/>
  <c r="E8" i="595"/>
  <c r="F8" i="595"/>
  <c r="I8" i="595"/>
  <c r="J8" i="595"/>
  <c r="K8" i="595"/>
  <c r="L8" i="595"/>
  <c r="M8" i="595"/>
  <c r="N8" i="595"/>
  <c r="O8" i="595"/>
  <c r="P8" i="595"/>
  <c r="Q8" i="595"/>
  <c r="R8" i="595"/>
  <c r="S8" i="595"/>
  <c r="T8" i="595"/>
  <c r="C11" i="595"/>
  <c r="D11" i="595"/>
  <c r="E11" i="595"/>
  <c r="F11" i="595"/>
  <c r="I11" i="595"/>
  <c r="J11" i="595"/>
  <c r="K11" i="595"/>
  <c r="L11" i="595"/>
  <c r="M11" i="595"/>
  <c r="N11" i="595"/>
  <c r="O11" i="595"/>
  <c r="P11" i="595"/>
  <c r="Q11" i="595"/>
  <c r="R11" i="595"/>
  <c r="S11" i="595"/>
  <c r="T11" i="595"/>
  <c r="C14" i="595"/>
  <c r="D14" i="595"/>
  <c r="E14" i="595"/>
  <c r="F14" i="595"/>
  <c r="I14" i="595"/>
  <c r="J14" i="595"/>
  <c r="K14" i="595"/>
  <c r="L14" i="595"/>
  <c r="M14" i="595"/>
  <c r="N14" i="595"/>
  <c r="O14" i="595"/>
  <c r="P14" i="595"/>
  <c r="Q14" i="595"/>
  <c r="R14" i="595"/>
  <c r="S14" i="595"/>
  <c r="T14" i="595"/>
  <c r="C3" i="594"/>
  <c r="D3" i="594"/>
  <c r="E3" i="594"/>
  <c r="F3" i="594"/>
  <c r="H3" i="594"/>
  <c r="I3" i="594"/>
  <c r="J3" i="594"/>
  <c r="K3" i="594"/>
  <c r="L3" i="594"/>
  <c r="M3" i="594"/>
  <c r="N3" i="594"/>
  <c r="O3" i="594"/>
  <c r="P3" i="594"/>
  <c r="Q3" i="594"/>
  <c r="R3" i="594"/>
  <c r="S3" i="594"/>
  <c r="T3" i="594"/>
  <c r="U3" i="594"/>
  <c r="V3" i="594"/>
  <c r="W3" i="594"/>
  <c r="C22" i="594"/>
  <c r="D22" i="594"/>
  <c r="E22" i="594"/>
  <c r="F22" i="594"/>
  <c r="H22" i="594"/>
  <c r="I22" i="594"/>
  <c r="J22" i="594"/>
  <c r="K22" i="594"/>
  <c r="L22" i="594"/>
  <c r="M22" i="594"/>
  <c r="N22" i="594"/>
  <c r="O22" i="594"/>
  <c r="P22" i="594"/>
  <c r="Q22" i="594"/>
  <c r="R22" i="594"/>
  <c r="S22" i="594"/>
  <c r="C43" i="594"/>
  <c r="D43" i="594"/>
  <c r="E43" i="594"/>
  <c r="F43" i="594"/>
  <c r="H43" i="594"/>
  <c r="I43" i="594"/>
  <c r="J43" i="594"/>
  <c r="K43" i="594"/>
  <c r="L43" i="594"/>
  <c r="M43" i="594"/>
  <c r="N43" i="594"/>
  <c r="O43" i="594"/>
  <c r="P43" i="594"/>
  <c r="Q43" i="594"/>
  <c r="R43" i="594"/>
  <c r="S43" i="594"/>
  <c r="C52" i="594"/>
  <c r="D52" i="594"/>
  <c r="E52" i="594"/>
  <c r="F52" i="594"/>
  <c r="H52" i="594"/>
  <c r="I52" i="594"/>
  <c r="J52" i="594"/>
  <c r="K52" i="594"/>
  <c r="L52" i="594"/>
  <c r="M52" i="594"/>
  <c r="N52" i="594"/>
  <c r="O52" i="594"/>
  <c r="P52" i="594"/>
  <c r="Q52" i="594"/>
  <c r="R52" i="594"/>
  <c r="S52" i="594"/>
  <c r="C62" i="594"/>
  <c r="D62" i="594"/>
  <c r="E62" i="594"/>
  <c r="F62" i="594"/>
  <c r="H62" i="594"/>
  <c r="I62" i="594"/>
  <c r="J62" i="594"/>
  <c r="K62" i="594"/>
  <c r="L62" i="594"/>
  <c r="M62" i="594"/>
  <c r="N62" i="594"/>
  <c r="O62" i="594"/>
  <c r="P62" i="594"/>
  <c r="Q62" i="594"/>
  <c r="R62" i="594"/>
  <c r="S62" i="594"/>
  <c r="U64" i="594"/>
  <c r="Y64" i="594"/>
  <c r="C65" i="594"/>
  <c r="D65" i="594"/>
  <c r="E65" i="594"/>
  <c r="F65" i="594"/>
  <c r="H65" i="594"/>
  <c r="I65" i="594"/>
  <c r="J65" i="594"/>
  <c r="K65" i="594"/>
  <c r="L65" i="594"/>
  <c r="M65" i="594"/>
  <c r="N65" i="594"/>
  <c r="O65" i="594"/>
  <c r="P65" i="594"/>
  <c r="Q65" i="594"/>
  <c r="R65" i="594"/>
  <c r="S65" i="594"/>
  <c r="P67" i="594"/>
  <c r="U69" i="594"/>
  <c r="C74" i="594"/>
  <c r="D74" i="594"/>
  <c r="E74" i="594"/>
  <c r="F74" i="594"/>
  <c r="H74" i="594"/>
  <c r="I74" i="594"/>
  <c r="J74" i="594"/>
  <c r="K74" i="594"/>
  <c r="L74" i="594"/>
  <c r="M74" i="594"/>
  <c r="N74" i="594"/>
  <c r="O74" i="594"/>
  <c r="P74" i="594"/>
  <c r="Q74" i="594"/>
  <c r="R74" i="594"/>
  <c r="S74" i="594"/>
  <c r="C76" i="594"/>
  <c r="D76" i="594"/>
  <c r="E76" i="594"/>
  <c r="F76" i="594"/>
  <c r="H76" i="594"/>
  <c r="I76" i="594"/>
  <c r="J76" i="594"/>
  <c r="K76" i="594"/>
  <c r="L76" i="594"/>
  <c r="M76" i="594"/>
  <c r="N76" i="594"/>
  <c r="O76" i="594"/>
  <c r="P76" i="594"/>
  <c r="Q76" i="594"/>
  <c r="R76" i="594"/>
  <c r="C77" i="594"/>
  <c r="D77" i="594"/>
  <c r="E77" i="594"/>
  <c r="F77" i="594"/>
  <c r="G77" i="594"/>
  <c r="H77" i="594"/>
  <c r="I77" i="594"/>
  <c r="J77" i="594"/>
  <c r="K77" i="594"/>
  <c r="L77" i="594"/>
  <c r="M77" i="594"/>
  <c r="N77" i="594"/>
  <c r="O77" i="594"/>
  <c r="P77" i="594"/>
  <c r="Q77" i="594"/>
  <c r="R77" i="594"/>
  <c r="P79" i="594"/>
  <c r="C3" i="593"/>
  <c r="D3" i="593"/>
  <c r="E3" i="593"/>
  <c r="F3" i="593"/>
  <c r="I3" i="593"/>
  <c r="J3" i="593"/>
  <c r="K3" i="593"/>
  <c r="L3" i="593"/>
  <c r="M3" i="593"/>
  <c r="N3" i="593"/>
  <c r="O3" i="593"/>
  <c r="P3" i="593"/>
  <c r="Q3" i="593"/>
  <c r="R3" i="593"/>
  <c r="S3" i="593"/>
  <c r="T3" i="593"/>
  <c r="C4" i="593"/>
  <c r="D4" i="593"/>
  <c r="E4" i="593"/>
  <c r="F4" i="593"/>
  <c r="I4" i="593"/>
  <c r="J4" i="593"/>
  <c r="K4" i="593"/>
  <c r="L4" i="593"/>
  <c r="M4" i="593"/>
  <c r="N4" i="593"/>
  <c r="O4" i="593"/>
  <c r="P4" i="593"/>
  <c r="Q4" i="593"/>
  <c r="R4" i="593"/>
  <c r="S4" i="593"/>
  <c r="T4" i="593"/>
  <c r="C8" i="593"/>
  <c r="D8" i="593"/>
  <c r="E8" i="593"/>
  <c r="F8" i="593"/>
  <c r="I8" i="593"/>
  <c r="J8" i="593"/>
  <c r="K8" i="593"/>
  <c r="L8" i="593"/>
  <c r="M8" i="593"/>
  <c r="N8" i="593"/>
  <c r="O8" i="593"/>
  <c r="P8" i="593"/>
  <c r="Q8" i="593"/>
  <c r="R8" i="593"/>
  <c r="S8" i="593"/>
  <c r="T8" i="593"/>
  <c r="C11" i="593"/>
  <c r="D11" i="593"/>
  <c r="E11" i="593"/>
  <c r="F11" i="593"/>
  <c r="I11" i="593"/>
  <c r="J11" i="593"/>
  <c r="K11" i="593"/>
  <c r="L11" i="593"/>
  <c r="M11" i="593"/>
  <c r="N11" i="593"/>
  <c r="O11" i="593"/>
  <c r="P11" i="593"/>
  <c r="Q11" i="593"/>
  <c r="R11" i="593"/>
  <c r="S11" i="593"/>
  <c r="T11" i="593"/>
  <c r="C14" i="593"/>
  <c r="D14" i="593"/>
  <c r="E14" i="593"/>
  <c r="F14" i="593"/>
  <c r="I14" i="593"/>
  <c r="J14" i="593"/>
  <c r="K14" i="593"/>
  <c r="L14" i="593"/>
  <c r="M14" i="593"/>
  <c r="N14" i="593"/>
  <c r="O14" i="593"/>
  <c r="P14" i="593"/>
  <c r="Q14" i="593"/>
  <c r="R14" i="593"/>
  <c r="S14" i="593"/>
  <c r="T14" i="593"/>
  <c r="C3" i="592"/>
  <c r="D3" i="592"/>
  <c r="E3" i="592"/>
  <c r="F3" i="592"/>
  <c r="H3" i="592"/>
  <c r="I3" i="592"/>
  <c r="J3" i="592"/>
  <c r="K3" i="592"/>
  <c r="L3" i="592"/>
  <c r="M3" i="592"/>
  <c r="N3" i="592"/>
  <c r="O3" i="592"/>
  <c r="P3" i="592"/>
  <c r="Q3" i="592"/>
  <c r="R3" i="592"/>
  <c r="S3" i="592"/>
  <c r="T3" i="592"/>
  <c r="U3" i="592"/>
  <c r="V3" i="592"/>
  <c r="W3" i="592"/>
  <c r="C22" i="592"/>
  <c r="D22" i="592"/>
  <c r="E22" i="592"/>
  <c r="F22" i="592"/>
  <c r="H22" i="592"/>
  <c r="I22" i="592"/>
  <c r="J22" i="592"/>
  <c r="K22" i="592"/>
  <c r="L22" i="592"/>
  <c r="M22" i="592"/>
  <c r="N22" i="592"/>
  <c r="O22" i="592"/>
  <c r="P22" i="592"/>
  <c r="Q22" i="592"/>
  <c r="R22" i="592"/>
  <c r="S22" i="592"/>
  <c r="C43" i="592"/>
  <c r="D43" i="592"/>
  <c r="E43" i="592"/>
  <c r="F43" i="592"/>
  <c r="H43" i="592"/>
  <c r="I43" i="592"/>
  <c r="J43" i="592"/>
  <c r="K43" i="592"/>
  <c r="L43" i="592"/>
  <c r="M43" i="592"/>
  <c r="N43" i="592"/>
  <c r="O43" i="592"/>
  <c r="P43" i="592"/>
  <c r="Q43" i="592"/>
  <c r="R43" i="592"/>
  <c r="S43" i="592"/>
  <c r="C52" i="592"/>
  <c r="D52" i="592"/>
  <c r="E52" i="592"/>
  <c r="F52" i="592"/>
  <c r="H52" i="592"/>
  <c r="I52" i="592"/>
  <c r="J52" i="592"/>
  <c r="K52" i="592"/>
  <c r="L52" i="592"/>
  <c r="M52" i="592"/>
  <c r="N52" i="592"/>
  <c r="O52" i="592"/>
  <c r="P52" i="592"/>
  <c r="Q52" i="592"/>
  <c r="R52" i="592"/>
  <c r="S52" i="592"/>
  <c r="C62" i="592"/>
  <c r="D62" i="592"/>
  <c r="E62" i="592"/>
  <c r="F62" i="592"/>
  <c r="H62" i="592"/>
  <c r="I62" i="592"/>
  <c r="J62" i="592"/>
  <c r="K62" i="592"/>
  <c r="L62" i="592"/>
  <c r="M62" i="592"/>
  <c r="N62" i="592"/>
  <c r="O62" i="592"/>
  <c r="P62" i="592"/>
  <c r="Q62" i="592"/>
  <c r="R62" i="592"/>
  <c r="S62" i="592"/>
  <c r="U64" i="592"/>
  <c r="Y64" i="592"/>
  <c r="C65" i="592"/>
  <c r="D65" i="592"/>
  <c r="E65" i="592"/>
  <c r="F65" i="592"/>
  <c r="H65" i="592"/>
  <c r="I65" i="592"/>
  <c r="J65" i="592"/>
  <c r="K65" i="592"/>
  <c r="L65" i="592"/>
  <c r="M65" i="592"/>
  <c r="N65" i="592"/>
  <c r="O65" i="592"/>
  <c r="P65" i="592"/>
  <c r="Q65" i="592"/>
  <c r="R65" i="592"/>
  <c r="S65" i="592"/>
  <c r="P67" i="592"/>
  <c r="U69" i="592"/>
  <c r="C74" i="592"/>
  <c r="D74" i="592"/>
  <c r="E74" i="592"/>
  <c r="F74" i="592"/>
  <c r="H74" i="592"/>
  <c r="I74" i="592"/>
  <c r="J74" i="592"/>
  <c r="K74" i="592"/>
  <c r="L74" i="592"/>
  <c r="M74" i="592"/>
  <c r="N74" i="592"/>
  <c r="O74" i="592"/>
  <c r="P74" i="592"/>
  <c r="Q74" i="592"/>
  <c r="R74" i="592"/>
  <c r="S74" i="592"/>
  <c r="C76" i="592"/>
  <c r="D76" i="592"/>
  <c r="E76" i="592"/>
  <c r="F76" i="592"/>
  <c r="H76" i="592"/>
  <c r="I76" i="592"/>
  <c r="J76" i="592"/>
  <c r="K76" i="592"/>
  <c r="L76" i="592"/>
  <c r="M76" i="592"/>
  <c r="N76" i="592"/>
  <c r="O76" i="592"/>
  <c r="P76" i="592"/>
  <c r="Q76" i="592"/>
  <c r="R76" i="592"/>
  <c r="C77" i="592"/>
  <c r="D77" i="592"/>
  <c r="E77" i="592"/>
  <c r="F77" i="592"/>
  <c r="G77" i="592"/>
  <c r="H77" i="592"/>
  <c r="I77" i="592"/>
  <c r="J77" i="592"/>
  <c r="K77" i="592"/>
  <c r="L77" i="592"/>
  <c r="M77" i="592"/>
  <c r="N77" i="592"/>
  <c r="O77" i="592"/>
  <c r="P77" i="592"/>
  <c r="Q77" i="592"/>
  <c r="R77" i="592"/>
  <c r="P79" i="592"/>
  <c r="C3" i="589"/>
  <c r="D3" i="589"/>
  <c r="E3" i="589"/>
  <c r="F3" i="589"/>
  <c r="I3" i="589"/>
  <c r="J3" i="589"/>
  <c r="K3" i="589"/>
  <c r="L3" i="589"/>
  <c r="M3" i="589"/>
  <c r="N3" i="589"/>
  <c r="O3" i="589"/>
  <c r="P3" i="589"/>
  <c r="Q3" i="589"/>
  <c r="R3" i="589"/>
  <c r="S3" i="589"/>
  <c r="T3" i="589"/>
  <c r="C4" i="589"/>
  <c r="D4" i="589"/>
  <c r="E4" i="589"/>
  <c r="F4" i="589"/>
  <c r="I4" i="589"/>
  <c r="J4" i="589"/>
  <c r="K4" i="589"/>
  <c r="L4" i="589"/>
  <c r="M4" i="589"/>
  <c r="N4" i="589"/>
  <c r="O4" i="589"/>
  <c r="P4" i="589"/>
  <c r="Q4" i="589"/>
  <c r="R4" i="589"/>
  <c r="S4" i="589"/>
  <c r="T4" i="589"/>
  <c r="C8" i="589"/>
  <c r="D8" i="589"/>
  <c r="E8" i="589"/>
  <c r="F8" i="589"/>
  <c r="I8" i="589"/>
  <c r="J8" i="589"/>
  <c r="K8" i="589"/>
  <c r="L8" i="589"/>
  <c r="M8" i="589"/>
  <c r="N8" i="589"/>
  <c r="O8" i="589"/>
  <c r="P8" i="589"/>
  <c r="Q8" i="589"/>
  <c r="R8" i="589"/>
  <c r="S8" i="589"/>
  <c r="T8" i="589"/>
  <c r="C11" i="589"/>
  <c r="D11" i="589"/>
  <c r="E11" i="589"/>
  <c r="F11" i="589"/>
  <c r="I11" i="589"/>
  <c r="J11" i="589"/>
  <c r="K11" i="589"/>
  <c r="L11" i="589"/>
  <c r="M11" i="589"/>
  <c r="N11" i="589"/>
  <c r="O11" i="589"/>
  <c r="P11" i="589"/>
  <c r="Q11" i="589"/>
  <c r="R11" i="589"/>
  <c r="S11" i="589"/>
  <c r="T11" i="589"/>
  <c r="C14" i="589"/>
  <c r="D14" i="589"/>
  <c r="E14" i="589"/>
  <c r="F14" i="589"/>
  <c r="I14" i="589"/>
  <c r="J14" i="589"/>
  <c r="K14" i="589"/>
  <c r="L14" i="589"/>
  <c r="M14" i="589"/>
  <c r="N14" i="589"/>
  <c r="O14" i="589"/>
  <c r="P14" i="589"/>
  <c r="Q14" i="589"/>
  <c r="R14" i="589"/>
  <c r="S14" i="589"/>
  <c r="T14" i="589"/>
  <c r="C3" i="588"/>
  <c r="D3" i="588"/>
  <c r="E3" i="588"/>
  <c r="F3" i="588"/>
  <c r="H3" i="588"/>
  <c r="I3" i="588"/>
  <c r="J3" i="588"/>
  <c r="K3" i="588"/>
  <c r="L3" i="588"/>
  <c r="M3" i="588"/>
  <c r="N3" i="588"/>
  <c r="O3" i="588"/>
  <c r="P3" i="588"/>
  <c r="Q3" i="588"/>
  <c r="R3" i="588"/>
  <c r="S3" i="588"/>
  <c r="T3" i="588"/>
  <c r="U3" i="588"/>
  <c r="V3" i="588"/>
  <c r="W3" i="588"/>
  <c r="C22" i="588"/>
  <c r="D22" i="588"/>
  <c r="E22" i="588"/>
  <c r="F22" i="588"/>
  <c r="H22" i="588"/>
  <c r="I22" i="588"/>
  <c r="J22" i="588"/>
  <c r="K22" i="588"/>
  <c r="L22" i="588"/>
  <c r="M22" i="588"/>
  <c r="N22" i="588"/>
  <c r="O22" i="588"/>
  <c r="P22" i="588"/>
  <c r="Q22" i="588"/>
  <c r="R22" i="588"/>
  <c r="S22" i="588"/>
  <c r="C43" i="588"/>
  <c r="D43" i="588"/>
  <c r="E43" i="588"/>
  <c r="F43" i="588"/>
  <c r="H43" i="588"/>
  <c r="I43" i="588"/>
  <c r="J43" i="588"/>
  <c r="K43" i="588"/>
  <c r="L43" i="588"/>
  <c r="M43" i="588"/>
  <c r="N43" i="588"/>
  <c r="O43" i="588"/>
  <c r="P43" i="588"/>
  <c r="Q43" i="588"/>
  <c r="R43" i="588"/>
  <c r="S43" i="588"/>
  <c r="C52" i="588"/>
  <c r="D52" i="588"/>
  <c r="E52" i="588"/>
  <c r="F52" i="588"/>
  <c r="H52" i="588"/>
  <c r="I52" i="588"/>
  <c r="J52" i="588"/>
  <c r="K52" i="588"/>
  <c r="L52" i="588"/>
  <c r="M52" i="588"/>
  <c r="N52" i="588"/>
  <c r="O52" i="588"/>
  <c r="P52" i="588"/>
  <c r="Q52" i="588"/>
  <c r="R52" i="588"/>
  <c r="S52" i="588"/>
  <c r="C62" i="588"/>
  <c r="D62" i="588"/>
  <c r="E62" i="588"/>
  <c r="F62" i="588"/>
  <c r="H62" i="588"/>
  <c r="I62" i="588"/>
  <c r="J62" i="588"/>
  <c r="K62" i="588"/>
  <c r="L62" i="588"/>
  <c r="M62" i="588"/>
  <c r="N62" i="588"/>
  <c r="O62" i="588"/>
  <c r="P62" i="588"/>
  <c r="Q62" i="588"/>
  <c r="R62" i="588"/>
  <c r="S62" i="588"/>
  <c r="U64" i="588"/>
  <c r="Y64" i="588"/>
  <c r="C65" i="588"/>
  <c r="D65" i="588"/>
  <c r="E65" i="588"/>
  <c r="F65" i="588"/>
  <c r="H65" i="588"/>
  <c r="I65" i="588"/>
  <c r="J65" i="588"/>
  <c r="K65" i="588"/>
  <c r="L65" i="588"/>
  <c r="M65" i="588"/>
  <c r="N65" i="588"/>
  <c r="O65" i="588"/>
  <c r="P65" i="588"/>
  <c r="Q65" i="588"/>
  <c r="R65" i="588"/>
  <c r="S65" i="588"/>
  <c r="P67" i="588"/>
  <c r="U69" i="588"/>
  <c r="C74" i="588"/>
  <c r="D74" i="588"/>
  <c r="E74" i="588"/>
  <c r="F74" i="588"/>
  <c r="H74" i="588"/>
  <c r="I74" i="588"/>
  <c r="J74" i="588"/>
  <c r="K74" i="588"/>
  <c r="L74" i="588"/>
  <c r="M74" i="588"/>
  <c r="N74" i="588"/>
  <c r="O74" i="588"/>
  <c r="P74" i="588"/>
  <c r="Q74" i="588"/>
  <c r="R74" i="588"/>
  <c r="S74" i="588"/>
  <c r="C76" i="588"/>
  <c r="D76" i="588"/>
  <c r="E76" i="588"/>
  <c r="F76" i="588"/>
  <c r="H76" i="588"/>
  <c r="I76" i="588"/>
  <c r="J76" i="588"/>
  <c r="K76" i="588"/>
  <c r="L76" i="588"/>
  <c r="M76" i="588"/>
  <c r="N76" i="588"/>
  <c r="O76" i="588"/>
  <c r="P76" i="588"/>
  <c r="Q76" i="588"/>
  <c r="R76" i="588"/>
  <c r="C77" i="588"/>
  <c r="D77" i="588"/>
  <c r="E77" i="588"/>
  <c r="F77" i="588"/>
  <c r="G77" i="588"/>
  <c r="H77" i="588"/>
  <c r="I77" i="588"/>
  <c r="J77" i="588"/>
  <c r="K77" i="588"/>
  <c r="L77" i="588"/>
  <c r="M77" i="588"/>
  <c r="N77" i="588"/>
  <c r="O77" i="588"/>
  <c r="P77" i="588"/>
  <c r="Q77" i="588"/>
  <c r="R77" i="588"/>
  <c r="P79" i="588"/>
  <c r="C3" i="587"/>
  <c r="D3" i="587"/>
  <c r="E3" i="587"/>
  <c r="F3" i="587"/>
  <c r="I3" i="587"/>
  <c r="J3" i="587"/>
  <c r="K3" i="587"/>
  <c r="L3" i="587"/>
  <c r="M3" i="587"/>
  <c r="N3" i="587"/>
  <c r="O3" i="587"/>
  <c r="P3" i="587"/>
  <c r="Q3" i="587"/>
  <c r="R3" i="587"/>
  <c r="S3" i="587"/>
  <c r="T3" i="587"/>
  <c r="C4" i="587"/>
  <c r="D4" i="587"/>
  <c r="E4" i="587"/>
  <c r="F4" i="587"/>
  <c r="I4" i="587"/>
  <c r="J4" i="587"/>
  <c r="K4" i="587"/>
  <c r="L4" i="587"/>
  <c r="M4" i="587"/>
  <c r="N4" i="587"/>
  <c r="O4" i="587"/>
  <c r="P4" i="587"/>
  <c r="Q4" i="587"/>
  <c r="R4" i="587"/>
  <c r="S4" i="587"/>
  <c r="T4" i="587"/>
  <c r="C8" i="587"/>
  <c r="D8" i="587"/>
  <c r="E8" i="587"/>
  <c r="F8" i="587"/>
  <c r="I8" i="587"/>
  <c r="J8" i="587"/>
  <c r="K8" i="587"/>
  <c r="L8" i="587"/>
  <c r="M8" i="587"/>
  <c r="N8" i="587"/>
  <c r="O8" i="587"/>
  <c r="P8" i="587"/>
  <c r="Q8" i="587"/>
  <c r="R8" i="587"/>
  <c r="S8" i="587"/>
  <c r="T8" i="587"/>
  <c r="C11" i="587"/>
  <c r="D11" i="587"/>
  <c r="E11" i="587"/>
  <c r="F11" i="587"/>
  <c r="I11" i="587"/>
  <c r="J11" i="587"/>
  <c r="K11" i="587"/>
  <c r="L11" i="587"/>
  <c r="M11" i="587"/>
  <c r="N11" i="587"/>
  <c r="O11" i="587"/>
  <c r="P11" i="587"/>
  <c r="Q11" i="587"/>
  <c r="R11" i="587"/>
  <c r="S11" i="587"/>
  <c r="T11" i="587"/>
  <c r="C14" i="587"/>
  <c r="D14" i="587"/>
  <c r="E14" i="587"/>
  <c r="F14" i="587"/>
  <c r="I14" i="587"/>
  <c r="J14" i="587"/>
  <c r="K14" i="587"/>
  <c r="L14" i="587"/>
  <c r="M14" i="587"/>
  <c r="N14" i="587"/>
  <c r="O14" i="587"/>
  <c r="P14" i="587"/>
  <c r="Q14" i="587"/>
  <c r="R14" i="587"/>
  <c r="S14" i="587"/>
  <c r="T14" i="587"/>
  <c r="C3" i="586"/>
  <c r="D3" i="586"/>
  <c r="E3" i="586"/>
  <c r="F3" i="586"/>
  <c r="H3" i="586"/>
  <c r="I3" i="586"/>
  <c r="J3" i="586"/>
  <c r="K3" i="586"/>
  <c r="L3" i="586"/>
  <c r="M3" i="586"/>
  <c r="N3" i="586"/>
  <c r="O3" i="586"/>
  <c r="P3" i="586"/>
  <c r="Q3" i="586"/>
  <c r="R3" i="586"/>
  <c r="S3" i="586"/>
  <c r="T3" i="586"/>
  <c r="U3" i="586"/>
  <c r="V3" i="586"/>
  <c r="W3" i="586"/>
  <c r="C22" i="586"/>
  <c r="D22" i="586"/>
  <c r="E22" i="586"/>
  <c r="F22" i="586"/>
  <c r="H22" i="586"/>
  <c r="I22" i="586"/>
  <c r="J22" i="586"/>
  <c r="K22" i="586"/>
  <c r="L22" i="586"/>
  <c r="M22" i="586"/>
  <c r="N22" i="586"/>
  <c r="O22" i="586"/>
  <c r="P22" i="586"/>
  <c r="Q22" i="586"/>
  <c r="R22" i="586"/>
  <c r="S22" i="586"/>
  <c r="C43" i="586"/>
  <c r="D43" i="586"/>
  <c r="E43" i="586"/>
  <c r="F43" i="586"/>
  <c r="H43" i="586"/>
  <c r="I43" i="586"/>
  <c r="J43" i="586"/>
  <c r="K43" i="586"/>
  <c r="L43" i="586"/>
  <c r="M43" i="586"/>
  <c r="N43" i="586"/>
  <c r="O43" i="586"/>
  <c r="P43" i="586"/>
  <c r="Q43" i="586"/>
  <c r="R43" i="586"/>
  <c r="S43" i="586"/>
  <c r="C52" i="586"/>
  <c r="D52" i="586"/>
  <c r="E52" i="586"/>
  <c r="F52" i="586"/>
  <c r="H52" i="586"/>
  <c r="I52" i="586"/>
  <c r="J52" i="586"/>
  <c r="K52" i="586"/>
  <c r="L52" i="586"/>
  <c r="M52" i="586"/>
  <c r="N52" i="586"/>
  <c r="O52" i="586"/>
  <c r="P52" i="586"/>
  <c r="Q52" i="586"/>
  <c r="R52" i="586"/>
  <c r="S52" i="586"/>
  <c r="C62" i="586"/>
  <c r="D62" i="586"/>
  <c r="E62" i="586"/>
  <c r="F62" i="586"/>
  <c r="H62" i="586"/>
  <c r="I62" i="586"/>
  <c r="J62" i="586"/>
  <c r="K62" i="586"/>
  <c r="L62" i="586"/>
  <c r="M62" i="586"/>
  <c r="N62" i="586"/>
  <c r="O62" i="586"/>
  <c r="P62" i="586"/>
  <c r="Q62" i="586"/>
  <c r="R62" i="586"/>
  <c r="S62" i="586"/>
  <c r="U64" i="586"/>
  <c r="Y64" i="586"/>
  <c r="C65" i="586"/>
  <c r="D65" i="586"/>
  <c r="E65" i="586"/>
  <c r="F65" i="586"/>
  <c r="H65" i="586"/>
  <c r="I65" i="586"/>
  <c r="J65" i="586"/>
  <c r="K65" i="586"/>
  <c r="L65" i="586"/>
  <c r="M65" i="586"/>
  <c r="N65" i="586"/>
  <c r="O65" i="586"/>
  <c r="P65" i="586"/>
  <c r="Q65" i="586"/>
  <c r="R65" i="586"/>
  <c r="S65" i="586"/>
  <c r="P67" i="586"/>
  <c r="U69" i="586"/>
  <c r="C74" i="586"/>
  <c r="D74" i="586"/>
  <c r="E74" i="586"/>
  <c r="F74" i="586"/>
  <c r="H74" i="586"/>
  <c r="I74" i="586"/>
  <c r="J74" i="586"/>
  <c r="K74" i="586"/>
  <c r="L74" i="586"/>
  <c r="M74" i="586"/>
  <c r="N74" i="586"/>
  <c r="O74" i="586"/>
  <c r="P74" i="586"/>
  <c r="Q74" i="586"/>
  <c r="R74" i="586"/>
  <c r="S74" i="586"/>
  <c r="C76" i="586"/>
  <c r="D76" i="586"/>
  <c r="E76" i="586"/>
  <c r="F76" i="586"/>
  <c r="H76" i="586"/>
  <c r="I76" i="586"/>
  <c r="J76" i="586"/>
  <c r="K76" i="586"/>
  <c r="L76" i="586"/>
  <c r="M76" i="586"/>
  <c r="N76" i="586"/>
  <c r="O76" i="586"/>
  <c r="P76" i="586"/>
  <c r="Q76" i="586"/>
  <c r="R76" i="586"/>
  <c r="C77" i="586"/>
  <c r="D77" i="586"/>
  <c r="E77" i="586"/>
  <c r="F77" i="586"/>
  <c r="G77" i="586"/>
  <c r="H77" i="586"/>
  <c r="I77" i="586"/>
  <c r="J77" i="586"/>
  <c r="K77" i="586"/>
  <c r="L77" i="586"/>
  <c r="M77" i="586"/>
  <c r="N77" i="586"/>
  <c r="O77" i="586"/>
  <c r="P77" i="586"/>
  <c r="Q77" i="586"/>
  <c r="R77" i="586"/>
  <c r="P79" i="586"/>
  <c r="C3" i="585"/>
  <c r="D3" i="585"/>
  <c r="E3" i="585"/>
  <c r="F3" i="585"/>
  <c r="I3" i="585"/>
  <c r="J3" i="585"/>
  <c r="K3" i="585"/>
  <c r="L3" i="585"/>
  <c r="M3" i="585"/>
  <c r="N3" i="585"/>
  <c r="O3" i="585"/>
  <c r="P3" i="585"/>
  <c r="Q3" i="585"/>
  <c r="R3" i="585"/>
  <c r="S3" i="585"/>
  <c r="T3" i="585"/>
  <c r="C4" i="585"/>
  <c r="D4" i="585"/>
  <c r="E4" i="585"/>
  <c r="F4" i="585"/>
  <c r="I4" i="585"/>
  <c r="J4" i="585"/>
  <c r="K4" i="585"/>
  <c r="L4" i="585"/>
  <c r="M4" i="585"/>
  <c r="N4" i="585"/>
  <c r="O4" i="585"/>
  <c r="P4" i="585"/>
  <c r="Q4" i="585"/>
  <c r="R4" i="585"/>
  <c r="S4" i="585"/>
  <c r="T4" i="585"/>
  <c r="C8" i="585"/>
  <c r="D8" i="585"/>
  <c r="E8" i="585"/>
  <c r="F8" i="585"/>
  <c r="I8" i="585"/>
  <c r="J8" i="585"/>
  <c r="K8" i="585"/>
  <c r="L8" i="585"/>
  <c r="M8" i="585"/>
  <c r="N8" i="585"/>
  <c r="O8" i="585"/>
  <c r="P8" i="585"/>
  <c r="Q8" i="585"/>
  <c r="R8" i="585"/>
  <c r="S8" i="585"/>
  <c r="T8" i="585"/>
  <c r="C11" i="585"/>
  <c r="D11" i="585"/>
  <c r="E11" i="585"/>
  <c r="F11" i="585"/>
  <c r="I11" i="585"/>
  <c r="J11" i="585"/>
  <c r="K11" i="585"/>
  <c r="L11" i="585"/>
  <c r="M11" i="585"/>
  <c r="N11" i="585"/>
  <c r="O11" i="585"/>
  <c r="P11" i="585"/>
  <c r="Q11" i="585"/>
  <c r="R11" i="585"/>
  <c r="S11" i="585"/>
  <c r="T11" i="585"/>
  <c r="C14" i="585"/>
  <c r="D14" i="585"/>
  <c r="E14" i="585"/>
  <c r="F14" i="585"/>
  <c r="I14" i="585"/>
  <c r="J14" i="585"/>
  <c r="K14" i="585"/>
  <c r="L14" i="585"/>
  <c r="M14" i="585"/>
  <c r="N14" i="585"/>
  <c r="O14" i="585"/>
  <c r="P14" i="585"/>
  <c r="Q14" i="585"/>
  <c r="R14" i="585"/>
  <c r="S14" i="585"/>
  <c r="T14" i="585"/>
  <c r="C3" i="584"/>
  <c r="D3" i="584"/>
  <c r="E3" i="584"/>
  <c r="F3" i="584"/>
  <c r="H3" i="584"/>
  <c r="I3" i="584"/>
  <c r="J3" i="584"/>
  <c r="K3" i="584"/>
  <c r="L3" i="584"/>
  <c r="M3" i="584"/>
  <c r="N3" i="584"/>
  <c r="O3" i="584"/>
  <c r="P3" i="584"/>
  <c r="Q3" i="584"/>
  <c r="R3" i="584"/>
  <c r="S3" i="584"/>
  <c r="T3" i="584"/>
  <c r="U3" i="584"/>
  <c r="V3" i="584"/>
  <c r="W3" i="584"/>
  <c r="C22" i="584"/>
  <c r="D22" i="584"/>
  <c r="E22" i="584"/>
  <c r="F22" i="584"/>
  <c r="H22" i="584"/>
  <c r="I22" i="584"/>
  <c r="J22" i="584"/>
  <c r="K22" i="584"/>
  <c r="L22" i="584"/>
  <c r="M22" i="584"/>
  <c r="N22" i="584"/>
  <c r="O22" i="584"/>
  <c r="P22" i="584"/>
  <c r="Q22" i="584"/>
  <c r="R22" i="584"/>
  <c r="S22" i="584"/>
  <c r="C43" i="584"/>
  <c r="D43" i="584"/>
  <c r="E43" i="584"/>
  <c r="F43" i="584"/>
  <c r="H43" i="584"/>
  <c r="I43" i="584"/>
  <c r="J43" i="584"/>
  <c r="K43" i="584"/>
  <c r="L43" i="584"/>
  <c r="M43" i="584"/>
  <c r="N43" i="584"/>
  <c r="O43" i="584"/>
  <c r="P43" i="584"/>
  <c r="Q43" i="584"/>
  <c r="R43" i="584"/>
  <c r="S43" i="584"/>
  <c r="C52" i="584"/>
  <c r="D52" i="584"/>
  <c r="E52" i="584"/>
  <c r="F52" i="584"/>
  <c r="H52" i="584"/>
  <c r="I52" i="584"/>
  <c r="J52" i="584"/>
  <c r="K52" i="584"/>
  <c r="L52" i="584"/>
  <c r="M52" i="584"/>
  <c r="N52" i="584"/>
  <c r="O52" i="584"/>
  <c r="P52" i="584"/>
  <c r="Q52" i="584"/>
  <c r="R52" i="584"/>
  <c r="S52" i="584"/>
  <c r="C62" i="584"/>
  <c r="D62" i="584"/>
  <c r="E62" i="584"/>
  <c r="F62" i="584"/>
  <c r="H62" i="584"/>
  <c r="I62" i="584"/>
  <c r="J62" i="584"/>
  <c r="K62" i="584"/>
  <c r="L62" i="584"/>
  <c r="M62" i="584"/>
  <c r="N62" i="584"/>
  <c r="O62" i="584"/>
  <c r="P62" i="584"/>
  <c r="Q62" i="584"/>
  <c r="R62" i="584"/>
  <c r="S62" i="584"/>
  <c r="U64" i="584"/>
  <c r="Y64" i="584"/>
  <c r="C65" i="584"/>
  <c r="D65" i="584"/>
  <c r="E65" i="584"/>
  <c r="F65" i="584"/>
  <c r="H65" i="584"/>
  <c r="I65" i="584"/>
  <c r="J65" i="584"/>
  <c r="K65" i="584"/>
  <c r="L65" i="584"/>
  <c r="M65" i="584"/>
  <c r="N65" i="584"/>
  <c r="O65" i="584"/>
  <c r="P65" i="584"/>
  <c r="Q65" i="584"/>
  <c r="R65" i="584"/>
  <c r="S65" i="584"/>
  <c r="P67" i="584"/>
  <c r="U69" i="584"/>
  <c r="C74" i="584"/>
  <c r="D74" i="584"/>
  <c r="E74" i="584"/>
  <c r="F74" i="584"/>
  <c r="H74" i="584"/>
  <c r="I74" i="584"/>
  <c r="J74" i="584"/>
  <c r="K74" i="584"/>
  <c r="L74" i="584"/>
  <c r="M74" i="584"/>
  <c r="N74" i="584"/>
  <c r="O74" i="584"/>
  <c r="P74" i="584"/>
  <c r="Q74" i="584"/>
  <c r="R74" i="584"/>
  <c r="S74" i="584"/>
  <c r="C76" i="584"/>
  <c r="D76" i="584"/>
  <c r="E76" i="584"/>
  <c r="F76" i="584"/>
  <c r="H76" i="584"/>
  <c r="I76" i="584"/>
  <c r="J76" i="584"/>
  <c r="K76" i="584"/>
  <c r="L76" i="584"/>
  <c r="M76" i="584"/>
  <c r="N76" i="584"/>
  <c r="O76" i="584"/>
  <c r="P76" i="584"/>
  <c r="Q76" i="584"/>
  <c r="R76" i="584"/>
  <c r="C77" i="584"/>
  <c r="D77" i="584"/>
  <c r="E77" i="584"/>
  <c r="F77" i="584"/>
  <c r="G77" i="584"/>
  <c r="H77" i="584"/>
  <c r="I77" i="584"/>
  <c r="J77" i="584"/>
  <c r="K77" i="584"/>
  <c r="L77" i="584"/>
  <c r="M77" i="584"/>
  <c r="N77" i="584"/>
  <c r="O77" i="584"/>
  <c r="P77" i="584"/>
  <c r="Q77" i="584"/>
  <c r="R77" i="584"/>
  <c r="P79" i="584"/>
  <c r="C3" i="583"/>
  <c r="D3" i="583"/>
  <c r="E3" i="583"/>
  <c r="F3" i="583"/>
  <c r="I3" i="583"/>
  <c r="J3" i="583"/>
  <c r="K3" i="583"/>
  <c r="L3" i="583"/>
  <c r="M3" i="583"/>
  <c r="N3" i="583"/>
  <c r="O3" i="583"/>
  <c r="P3" i="583"/>
  <c r="Q3" i="583"/>
  <c r="R3" i="583"/>
  <c r="S3" i="583"/>
  <c r="T3" i="583"/>
  <c r="C4" i="583"/>
  <c r="D4" i="583"/>
  <c r="E4" i="583"/>
  <c r="F4" i="583"/>
  <c r="I4" i="583"/>
  <c r="J4" i="583"/>
  <c r="K4" i="583"/>
  <c r="L4" i="583"/>
  <c r="M4" i="583"/>
  <c r="N4" i="583"/>
  <c r="O4" i="583"/>
  <c r="P4" i="583"/>
  <c r="Q4" i="583"/>
  <c r="R4" i="583"/>
  <c r="S4" i="583"/>
  <c r="T4" i="583"/>
  <c r="C7" i="583"/>
  <c r="D7" i="583"/>
  <c r="E7" i="583"/>
  <c r="F7" i="583"/>
  <c r="I7" i="583"/>
  <c r="J7" i="583"/>
  <c r="K7" i="583"/>
  <c r="L7" i="583"/>
  <c r="M7" i="583"/>
  <c r="N7" i="583"/>
  <c r="O7" i="583"/>
  <c r="P7" i="583"/>
  <c r="Q7" i="583"/>
  <c r="R7" i="583"/>
  <c r="S7" i="583"/>
  <c r="T7" i="583"/>
  <c r="C10" i="583"/>
  <c r="D10" i="583"/>
  <c r="E10" i="583"/>
  <c r="F10" i="583"/>
  <c r="I10" i="583"/>
  <c r="J10" i="583"/>
  <c r="K10" i="583"/>
  <c r="L10" i="583"/>
  <c r="M10" i="583"/>
  <c r="N10" i="583"/>
  <c r="O10" i="583"/>
  <c r="P10" i="583"/>
  <c r="Q10" i="583"/>
  <c r="R10" i="583"/>
  <c r="S10" i="583"/>
  <c r="T10" i="583"/>
  <c r="C13" i="583"/>
  <c r="D13" i="583"/>
  <c r="E13" i="583"/>
  <c r="F13" i="583"/>
  <c r="I13" i="583"/>
  <c r="J13" i="583"/>
  <c r="K13" i="583"/>
  <c r="L13" i="583"/>
  <c r="M13" i="583"/>
  <c r="N13" i="583"/>
  <c r="O13" i="583"/>
  <c r="P13" i="583"/>
  <c r="Q13" i="583"/>
  <c r="R13" i="583"/>
  <c r="S13" i="583"/>
  <c r="T13" i="583"/>
  <c r="C3" i="582"/>
  <c r="D3" i="582"/>
  <c r="E3" i="582"/>
  <c r="F3" i="582"/>
  <c r="H3" i="582"/>
  <c r="I3" i="582"/>
  <c r="J3" i="582"/>
  <c r="K3" i="582"/>
  <c r="L3" i="582"/>
  <c r="M3" i="582"/>
  <c r="N3" i="582"/>
  <c r="O3" i="582"/>
  <c r="P3" i="582"/>
  <c r="Q3" i="582"/>
  <c r="R3" i="582"/>
  <c r="S3" i="582"/>
  <c r="T3" i="582"/>
  <c r="U3" i="582"/>
  <c r="V3" i="582"/>
  <c r="W3" i="582"/>
  <c r="C22" i="582"/>
  <c r="D22" i="582"/>
  <c r="E22" i="582"/>
  <c r="F22" i="582"/>
  <c r="H22" i="582"/>
  <c r="I22" i="582"/>
  <c r="J22" i="582"/>
  <c r="K22" i="582"/>
  <c r="L22" i="582"/>
  <c r="M22" i="582"/>
  <c r="N22" i="582"/>
  <c r="O22" i="582"/>
  <c r="P22" i="582"/>
  <c r="Q22" i="582"/>
  <c r="R22" i="582"/>
  <c r="S22" i="582"/>
  <c r="C43" i="582"/>
  <c r="D43" i="582"/>
  <c r="E43" i="582"/>
  <c r="F43" i="582"/>
  <c r="H43" i="582"/>
  <c r="I43" i="582"/>
  <c r="J43" i="582"/>
  <c r="K43" i="582"/>
  <c r="L43" i="582"/>
  <c r="M43" i="582"/>
  <c r="N43" i="582"/>
  <c r="O43" i="582"/>
  <c r="P43" i="582"/>
  <c r="Q43" i="582"/>
  <c r="R43" i="582"/>
  <c r="S43" i="582"/>
  <c r="C52" i="582"/>
  <c r="D52" i="582"/>
  <c r="E52" i="582"/>
  <c r="F52" i="582"/>
  <c r="H52" i="582"/>
  <c r="I52" i="582"/>
  <c r="J52" i="582"/>
  <c r="K52" i="582"/>
  <c r="L52" i="582"/>
  <c r="M52" i="582"/>
  <c r="N52" i="582"/>
  <c r="O52" i="582"/>
  <c r="P52" i="582"/>
  <c r="Q52" i="582"/>
  <c r="R52" i="582"/>
  <c r="S52" i="582"/>
  <c r="C62" i="582"/>
  <c r="D62" i="582"/>
  <c r="E62" i="582"/>
  <c r="F62" i="582"/>
  <c r="H62" i="582"/>
  <c r="I62" i="582"/>
  <c r="J62" i="582"/>
  <c r="K62" i="582"/>
  <c r="L62" i="582"/>
  <c r="M62" i="582"/>
  <c r="N62" i="582"/>
  <c r="O62" i="582"/>
  <c r="P62" i="582"/>
  <c r="Q62" i="582"/>
  <c r="R62" i="582"/>
  <c r="S62" i="582"/>
  <c r="U64" i="582"/>
  <c r="Y64" i="582"/>
  <c r="C65" i="582"/>
  <c r="D65" i="582"/>
  <c r="E65" i="582"/>
  <c r="F65" i="582"/>
  <c r="H65" i="582"/>
  <c r="I65" i="582"/>
  <c r="J65" i="582"/>
  <c r="K65" i="582"/>
  <c r="L65" i="582"/>
  <c r="M65" i="582"/>
  <c r="N65" i="582"/>
  <c r="O65" i="582"/>
  <c r="P65" i="582"/>
  <c r="Q65" i="582"/>
  <c r="R65" i="582"/>
  <c r="S65" i="582"/>
  <c r="P67" i="582"/>
  <c r="U69" i="582"/>
  <c r="C74" i="582"/>
  <c r="D74" i="582"/>
  <c r="E74" i="582"/>
  <c r="F74" i="582"/>
  <c r="H74" i="582"/>
  <c r="I74" i="582"/>
  <c r="J74" i="582"/>
  <c r="K74" i="582"/>
  <c r="L74" i="582"/>
  <c r="M74" i="582"/>
  <c r="N74" i="582"/>
  <c r="O74" i="582"/>
  <c r="P74" i="582"/>
  <c r="Q74" i="582"/>
  <c r="R74" i="582"/>
  <c r="S74" i="582"/>
  <c r="C76" i="582"/>
  <c r="D76" i="582"/>
  <c r="E76" i="582"/>
  <c r="F76" i="582"/>
  <c r="H76" i="582"/>
  <c r="I76" i="582"/>
  <c r="J76" i="582"/>
  <c r="K76" i="582"/>
  <c r="L76" i="582"/>
  <c r="M76" i="582"/>
  <c r="N76" i="582"/>
  <c r="O76" i="582"/>
  <c r="P76" i="582"/>
  <c r="Q76" i="582"/>
  <c r="R76" i="582"/>
  <c r="C77" i="582"/>
  <c r="D77" i="582"/>
  <c r="E77" i="582"/>
  <c r="F77" i="582"/>
  <c r="G77" i="582"/>
  <c r="H77" i="582"/>
  <c r="I77" i="582"/>
  <c r="J77" i="582"/>
  <c r="K77" i="582"/>
  <c r="L77" i="582"/>
  <c r="M77" i="582"/>
  <c r="N77" i="582"/>
  <c r="O77" i="582"/>
  <c r="P77" i="582"/>
  <c r="Q77" i="582"/>
  <c r="R77" i="582"/>
  <c r="P79" i="582"/>
  <c r="C3" i="581"/>
  <c r="D3" i="581"/>
  <c r="E3" i="581"/>
  <c r="F3" i="581"/>
  <c r="I3" i="581"/>
  <c r="J3" i="581"/>
  <c r="K3" i="581"/>
  <c r="L3" i="581"/>
  <c r="M3" i="581"/>
  <c r="N3" i="581"/>
  <c r="O3" i="581"/>
  <c r="P3" i="581"/>
  <c r="Q3" i="581"/>
  <c r="R3" i="581"/>
  <c r="S3" i="581"/>
  <c r="T3" i="581"/>
  <c r="C4" i="581"/>
  <c r="D4" i="581"/>
  <c r="E4" i="581"/>
  <c r="F4" i="581"/>
  <c r="I4" i="581"/>
  <c r="J4" i="581"/>
  <c r="K4" i="581"/>
  <c r="L4" i="581"/>
  <c r="M4" i="581"/>
  <c r="N4" i="581"/>
  <c r="O4" i="581"/>
  <c r="P4" i="581"/>
  <c r="Q4" i="581"/>
  <c r="R4" i="581"/>
  <c r="S4" i="581"/>
  <c r="T4" i="581"/>
  <c r="C7" i="581"/>
  <c r="D7" i="581"/>
  <c r="E7" i="581"/>
  <c r="F7" i="581"/>
  <c r="I7" i="581"/>
  <c r="J7" i="581"/>
  <c r="K7" i="581"/>
  <c r="L7" i="581"/>
  <c r="M7" i="581"/>
  <c r="N7" i="581"/>
  <c r="O7" i="581"/>
  <c r="P7" i="581"/>
  <c r="Q7" i="581"/>
  <c r="R7" i="581"/>
  <c r="S7" i="581"/>
  <c r="T7" i="581"/>
  <c r="C10" i="581"/>
  <c r="D10" i="581"/>
  <c r="E10" i="581"/>
  <c r="F10" i="581"/>
  <c r="I10" i="581"/>
  <c r="J10" i="581"/>
  <c r="K10" i="581"/>
  <c r="L10" i="581"/>
  <c r="M10" i="581"/>
  <c r="N10" i="581"/>
  <c r="O10" i="581"/>
  <c r="P10" i="581"/>
  <c r="Q10" i="581"/>
  <c r="R10" i="581"/>
  <c r="S10" i="581"/>
  <c r="T10" i="581"/>
  <c r="C13" i="581"/>
  <c r="D13" i="581"/>
  <c r="E13" i="581"/>
  <c r="F13" i="581"/>
  <c r="I13" i="581"/>
  <c r="J13" i="581"/>
  <c r="K13" i="581"/>
  <c r="L13" i="581"/>
  <c r="M13" i="581"/>
  <c r="N13" i="581"/>
  <c r="O13" i="581"/>
  <c r="P13" i="581"/>
  <c r="Q13" i="581"/>
  <c r="R13" i="581"/>
  <c r="S13" i="581"/>
  <c r="T13" i="581"/>
  <c r="C3" i="580"/>
  <c r="D3" i="580"/>
  <c r="E3" i="580"/>
  <c r="F3" i="580"/>
  <c r="H3" i="580"/>
  <c r="I3" i="580"/>
  <c r="J3" i="580"/>
  <c r="K3" i="580"/>
  <c r="L3" i="580"/>
  <c r="M3" i="580"/>
  <c r="N3" i="580"/>
  <c r="O3" i="580"/>
  <c r="P3" i="580"/>
  <c r="Q3" i="580"/>
  <c r="R3" i="580"/>
  <c r="S3" i="580"/>
  <c r="T3" i="580"/>
  <c r="U3" i="580"/>
  <c r="V3" i="580"/>
  <c r="W3" i="580"/>
  <c r="C22" i="580"/>
  <c r="D22" i="580"/>
  <c r="E22" i="580"/>
  <c r="F22" i="580"/>
  <c r="H22" i="580"/>
  <c r="I22" i="580"/>
  <c r="J22" i="580"/>
  <c r="K22" i="580"/>
  <c r="L22" i="580"/>
  <c r="M22" i="580"/>
  <c r="N22" i="580"/>
  <c r="O22" i="580"/>
  <c r="P22" i="580"/>
  <c r="Q22" i="580"/>
  <c r="R22" i="580"/>
  <c r="S22" i="580"/>
  <c r="C43" i="580"/>
  <c r="D43" i="580"/>
  <c r="E43" i="580"/>
  <c r="F43" i="580"/>
  <c r="H43" i="580"/>
  <c r="I43" i="580"/>
  <c r="J43" i="580"/>
  <c r="K43" i="580"/>
  <c r="L43" i="580"/>
  <c r="M43" i="580"/>
  <c r="N43" i="580"/>
  <c r="O43" i="580"/>
  <c r="P43" i="580"/>
  <c r="Q43" i="580"/>
  <c r="R43" i="580"/>
  <c r="S43" i="580"/>
  <c r="C52" i="580"/>
  <c r="D52" i="580"/>
  <c r="E52" i="580"/>
  <c r="F52" i="580"/>
  <c r="H52" i="580"/>
  <c r="I52" i="580"/>
  <c r="J52" i="580"/>
  <c r="K52" i="580"/>
  <c r="L52" i="580"/>
  <c r="M52" i="580"/>
  <c r="N52" i="580"/>
  <c r="O52" i="580"/>
  <c r="P52" i="580"/>
  <c r="Q52" i="580"/>
  <c r="R52" i="580"/>
  <c r="S52" i="580"/>
  <c r="C62" i="580"/>
  <c r="D62" i="580"/>
  <c r="E62" i="580"/>
  <c r="F62" i="580"/>
  <c r="H62" i="580"/>
  <c r="I62" i="580"/>
  <c r="J62" i="580"/>
  <c r="K62" i="580"/>
  <c r="L62" i="580"/>
  <c r="M62" i="580"/>
  <c r="N62" i="580"/>
  <c r="O62" i="580"/>
  <c r="P62" i="580"/>
  <c r="Q62" i="580"/>
  <c r="R62" i="580"/>
  <c r="S62" i="580"/>
  <c r="U64" i="580"/>
  <c r="Y64" i="580"/>
  <c r="C65" i="580"/>
  <c r="D65" i="580"/>
  <c r="E65" i="580"/>
  <c r="F65" i="580"/>
  <c r="H65" i="580"/>
  <c r="I65" i="580"/>
  <c r="J65" i="580"/>
  <c r="K65" i="580"/>
  <c r="L65" i="580"/>
  <c r="M65" i="580"/>
  <c r="N65" i="580"/>
  <c r="O65" i="580"/>
  <c r="P65" i="580"/>
  <c r="Q65" i="580"/>
  <c r="R65" i="580"/>
  <c r="S65" i="580"/>
  <c r="P67" i="580"/>
  <c r="U69" i="580"/>
  <c r="C74" i="580"/>
  <c r="D74" i="580"/>
  <c r="E74" i="580"/>
  <c r="F74" i="580"/>
  <c r="H74" i="580"/>
  <c r="I74" i="580"/>
  <c r="J74" i="580"/>
  <c r="K74" i="580"/>
  <c r="L74" i="580"/>
  <c r="M74" i="580"/>
  <c r="N74" i="580"/>
  <c r="O74" i="580"/>
  <c r="P74" i="580"/>
  <c r="Q74" i="580"/>
  <c r="R74" i="580"/>
  <c r="S74" i="580"/>
  <c r="C76" i="580"/>
  <c r="D76" i="580"/>
  <c r="E76" i="580"/>
  <c r="F76" i="580"/>
  <c r="H76" i="580"/>
  <c r="I76" i="580"/>
  <c r="J76" i="580"/>
  <c r="K76" i="580"/>
  <c r="L76" i="580"/>
  <c r="M76" i="580"/>
  <c r="N76" i="580"/>
  <c r="O76" i="580"/>
  <c r="P76" i="580"/>
  <c r="Q76" i="580"/>
  <c r="R76" i="580"/>
  <c r="C77" i="580"/>
  <c r="D77" i="580"/>
  <c r="E77" i="580"/>
  <c r="F77" i="580"/>
  <c r="G77" i="580"/>
  <c r="H77" i="580"/>
  <c r="I77" i="580"/>
  <c r="J77" i="580"/>
  <c r="K77" i="580"/>
  <c r="L77" i="580"/>
  <c r="M77" i="580"/>
  <c r="N77" i="580"/>
  <c r="O77" i="580"/>
  <c r="P77" i="580"/>
  <c r="Q77" i="580"/>
  <c r="R77" i="580"/>
  <c r="P79" i="580"/>
  <c r="C3" i="579"/>
  <c r="D3" i="579"/>
  <c r="E3" i="579"/>
  <c r="F3" i="579"/>
  <c r="I3" i="579"/>
  <c r="J3" i="579"/>
  <c r="K3" i="579"/>
  <c r="L3" i="579"/>
  <c r="M3" i="579"/>
  <c r="N3" i="579"/>
  <c r="O3" i="579"/>
  <c r="P3" i="579"/>
  <c r="Q3" i="579"/>
  <c r="R3" i="579"/>
  <c r="S3" i="579"/>
  <c r="T3" i="579"/>
  <c r="C4" i="579"/>
  <c r="D4" i="579"/>
  <c r="E4" i="579"/>
  <c r="F4" i="579"/>
  <c r="I4" i="579"/>
  <c r="J4" i="579"/>
  <c r="K4" i="579"/>
  <c r="L4" i="579"/>
  <c r="M4" i="579"/>
  <c r="N4" i="579"/>
  <c r="O4" i="579"/>
  <c r="P4" i="579"/>
  <c r="Q4" i="579"/>
  <c r="R4" i="579"/>
  <c r="S4" i="579"/>
  <c r="T4" i="579"/>
  <c r="C7" i="579"/>
  <c r="D7" i="579"/>
  <c r="E7" i="579"/>
  <c r="F7" i="579"/>
  <c r="I7" i="579"/>
  <c r="J7" i="579"/>
  <c r="K7" i="579"/>
  <c r="L7" i="579"/>
  <c r="M7" i="579"/>
  <c r="N7" i="579"/>
  <c r="O7" i="579"/>
  <c r="P7" i="579"/>
  <c r="Q7" i="579"/>
  <c r="R7" i="579"/>
  <c r="S7" i="579"/>
  <c r="T7" i="579"/>
  <c r="C10" i="579"/>
  <c r="D10" i="579"/>
  <c r="E10" i="579"/>
  <c r="F10" i="579"/>
  <c r="I10" i="579"/>
  <c r="J10" i="579"/>
  <c r="K10" i="579"/>
  <c r="L10" i="579"/>
  <c r="M10" i="579"/>
  <c r="N10" i="579"/>
  <c r="O10" i="579"/>
  <c r="P10" i="579"/>
  <c r="Q10" i="579"/>
  <c r="R10" i="579"/>
  <c r="S10" i="579"/>
  <c r="T10" i="579"/>
  <c r="C13" i="579"/>
  <c r="D13" i="579"/>
  <c r="E13" i="579"/>
  <c r="F13" i="579"/>
  <c r="I13" i="579"/>
  <c r="J13" i="579"/>
  <c r="K13" i="579"/>
  <c r="L13" i="579"/>
  <c r="M13" i="579"/>
  <c r="N13" i="579"/>
  <c r="O13" i="579"/>
  <c r="P13" i="579"/>
  <c r="Q13" i="579"/>
  <c r="R13" i="579"/>
  <c r="S13" i="579"/>
  <c r="T13" i="579"/>
  <c r="C3" i="578"/>
  <c r="D3" i="578"/>
  <c r="E3" i="578"/>
  <c r="F3" i="578"/>
  <c r="H3" i="578"/>
  <c r="I3" i="578"/>
  <c r="J3" i="578"/>
  <c r="K3" i="578"/>
  <c r="L3" i="578"/>
  <c r="M3" i="578"/>
  <c r="N3" i="578"/>
  <c r="O3" i="578"/>
  <c r="P3" i="578"/>
  <c r="Q3" i="578"/>
  <c r="R3" i="578"/>
  <c r="S3" i="578"/>
  <c r="T3" i="578"/>
  <c r="U3" i="578"/>
  <c r="V3" i="578"/>
  <c r="W3" i="578"/>
  <c r="C22" i="578"/>
  <c r="D22" i="578"/>
  <c r="E22" i="578"/>
  <c r="F22" i="578"/>
  <c r="H22" i="578"/>
  <c r="I22" i="578"/>
  <c r="J22" i="578"/>
  <c r="K22" i="578"/>
  <c r="L22" i="578"/>
  <c r="M22" i="578"/>
  <c r="N22" i="578"/>
  <c r="O22" i="578"/>
  <c r="P22" i="578"/>
  <c r="Q22" i="578"/>
  <c r="R22" i="578"/>
  <c r="S22" i="578"/>
  <c r="C43" i="578"/>
  <c r="D43" i="578"/>
  <c r="E43" i="578"/>
  <c r="F43" i="578"/>
  <c r="H43" i="578"/>
  <c r="I43" i="578"/>
  <c r="J43" i="578"/>
  <c r="K43" i="578"/>
  <c r="L43" i="578"/>
  <c r="M43" i="578"/>
  <c r="N43" i="578"/>
  <c r="O43" i="578"/>
  <c r="P43" i="578"/>
  <c r="Q43" i="578"/>
  <c r="R43" i="578"/>
  <c r="S43" i="578"/>
  <c r="C52" i="578"/>
  <c r="D52" i="578"/>
  <c r="E52" i="578"/>
  <c r="F52" i="578"/>
  <c r="H52" i="578"/>
  <c r="I52" i="578"/>
  <c r="J52" i="578"/>
  <c r="K52" i="578"/>
  <c r="L52" i="578"/>
  <c r="M52" i="578"/>
  <c r="N52" i="578"/>
  <c r="O52" i="578"/>
  <c r="P52" i="578"/>
  <c r="Q52" i="578"/>
  <c r="R52" i="578"/>
  <c r="S52" i="578"/>
  <c r="C62" i="578"/>
  <c r="D62" i="578"/>
  <c r="E62" i="578"/>
  <c r="F62" i="578"/>
  <c r="H62" i="578"/>
  <c r="I62" i="578"/>
  <c r="J62" i="578"/>
  <c r="K62" i="578"/>
  <c r="L62" i="578"/>
  <c r="M62" i="578"/>
  <c r="N62" i="578"/>
  <c r="O62" i="578"/>
  <c r="P62" i="578"/>
  <c r="Q62" i="578"/>
  <c r="R62" i="578"/>
  <c r="S62" i="578"/>
  <c r="U64" i="578"/>
  <c r="Y64" i="578"/>
  <c r="C65" i="578"/>
  <c r="D65" i="578"/>
  <c r="E65" i="578"/>
  <c r="F65" i="578"/>
  <c r="H65" i="578"/>
  <c r="I65" i="578"/>
  <c r="J65" i="578"/>
  <c r="K65" i="578"/>
  <c r="L65" i="578"/>
  <c r="M65" i="578"/>
  <c r="N65" i="578"/>
  <c r="O65" i="578"/>
  <c r="P65" i="578"/>
  <c r="Q65" i="578"/>
  <c r="R65" i="578"/>
  <c r="S65" i="578"/>
  <c r="P67" i="578"/>
  <c r="U69" i="578"/>
  <c r="C74" i="578"/>
  <c r="D74" i="578"/>
  <c r="E74" i="578"/>
  <c r="F74" i="578"/>
  <c r="H74" i="578"/>
  <c r="I74" i="578"/>
  <c r="J74" i="578"/>
  <c r="K74" i="578"/>
  <c r="L74" i="578"/>
  <c r="M74" i="578"/>
  <c r="N74" i="578"/>
  <c r="O74" i="578"/>
  <c r="P74" i="578"/>
  <c r="Q74" i="578"/>
  <c r="R74" i="578"/>
  <c r="S74" i="578"/>
  <c r="C76" i="578"/>
  <c r="D76" i="578"/>
  <c r="E76" i="578"/>
  <c r="F76" i="578"/>
  <c r="H76" i="578"/>
  <c r="I76" i="578"/>
  <c r="J76" i="578"/>
  <c r="K76" i="578"/>
  <c r="L76" i="578"/>
  <c r="M76" i="578"/>
  <c r="N76" i="578"/>
  <c r="O76" i="578"/>
  <c r="P76" i="578"/>
  <c r="Q76" i="578"/>
  <c r="R76" i="578"/>
  <c r="C77" i="578"/>
  <c r="D77" i="578"/>
  <c r="E77" i="578"/>
  <c r="F77" i="578"/>
  <c r="G77" i="578"/>
  <c r="H77" i="578"/>
  <c r="I77" i="578"/>
  <c r="J77" i="578"/>
  <c r="K77" i="578"/>
  <c r="L77" i="578"/>
  <c r="M77" i="578"/>
  <c r="N77" i="578"/>
  <c r="O77" i="578"/>
  <c r="P77" i="578"/>
  <c r="Q77" i="578"/>
  <c r="R77" i="578"/>
  <c r="P79" i="578"/>
  <c r="C3" i="577"/>
  <c r="D3" i="577"/>
  <c r="E3" i="577"/>
  <c r="F3" i="577"/>
  <c r="I3" i="577"/>
  <c r="J3" i="577"/>
  <c r="K3" i="577"/>
  <c r="L3" i="577"/>
  <c r="M3" i="577"/>
  <c r="N3" i="577"/>
  <c r="O3" i="577"/>
  <c r="P3" i="577"/>
  <c r="Q3" i="577"/>
  <c r="R3" i="577"/>
  <c r="S3" i="577"/>
  <c r="T3" i="577"/>
  <c r="C4" i="577"/>
  <c r="D4" i="577"/>
  <c r="E4" i="577"/>
  <c r="F4" i="577"/>
  <c r="I4" i="577"/>
  <c r="J4" i="577"/>
  <c r="K4" i="577"/>
  <c r="L4" i="577"/>
  <c r="M4" i="577"/>
  <c r="N4" i="577"/>
  <c r="O4" i="577"/>
  <c r="P4" i="577"/>
  <c r="Q4" i="577"/>
  <c r="R4" i="577"/>
  <c r="S4" i="577"/>
  <c r="T4" i="577"/>
  <c r="C7" i="577"/>
  <c r="D7" i="577"/>
  <c r="E7" i="577"/>
  <c r="F7" i="577"/>
  <c r="I7" i="577"/>
  <c r="J7" i="577"/>
  <c r="K7" i="577"/>
  <c r="L7" i="577"/>
  <c r="M7" i="577"/>
  <c r="N7" i="577"/>
  <c r="O7" i="577"/>
  <c r="P7" i="577"/>
  <c r="Q7" i="577"/>
  <c r="R7" i="577"/>
  <c r="S7" i="577"/>
  <c r="T7" i="577"/>
  <c r="C10" i="577"/>
  <c r="D10" i="577"/>
  <c r="E10" i="577"/>
  <c r="F10" i="577"/>
  <c r="I10" i="577"/>
  <c r="J10" i="577"/>
  <c r="K10" i="577"/>
  <c r="L10" i="577"/>
  <c r="M10" i="577"/>
  <c r="N10" i="577"/>
  <c r="O10" i="577"/>
  <c r="P10" i="577"/>
  <c r="Q10" i="577"/>
  <c r="R10" i="577"/>
  <c r="S10" i="577"/>
  <c r="T10" i="577"/>
  <c r="C13" i="577"/>
  <c r="D13" i="577"/>
  <c r="E13" i="577"/>
  <c r="F13" i="577"/>
  <c r="I13" i="577"/>
  <c r="J13" i="577"/>
  <c r="K13" i="577"/>
  <c r="L13" i="577"/>
  <c r="M13" i="577"/>
  <c r="N13" i="577"/>
  <c r="O13" i="577"/>
  <c r="P13" i="577"/>
  <c r="Q13" i="577"/>
  <c r="R13" i="577"/>
  <c r="S13" i="577"/>
  <c r="T13" i="577"/>
  <c r="C3" i="576"/>
  <c r="D3" i="576"/>
  <c r="E3" i="576"/>
  <c r="F3" i="576"/>
  <c r="H3" i="576"/>
  <c r="I3" i="576"/>
  <c r="J3" i="576"/>
  <c r="K3" i="576"/>
  <c r="L3" i="576"/>
  <c r="M3" i="576"/>
  <c r="N3" i="576"/>
  <c r="O3" i="576"/>
  <c r="P3" i="576"/>
  <c r="Q3" i="576"/>
  <c r="R3" i="576"/>
  <c r="S3" i="576"/>
  <c r="T3" i="576"/>
  <c r="U3" i="576"/>
  <c r="V3" i="576"/>
  <c r="W3" i="576"/>
  <c r="C22" i="576"/>
  <c r="D22" i="576"/>
  <c r="E22" i="576"/>
  <c r="F22" i="576"/>
  <c r="H22" i="576"/>
  <c r="I22" i="576"/>
  <c r="J22" i="576"/>
  <c r="K22" i="576"/>
  <c r="L22" i="576"/>
  <c r="M22" i="576"/>
  <c r="N22" i="576"/>
  <c r="O22" i="576"/>
  <c r="P22" i="576"/>
  <c r="Q22" i="576"/>
  <c r="R22" i="576"/>
  <c r="S22" i="576"/>
  <c r="C43" i="576"/>
  <c r="D43" i="576"/>
  <c r="E43" i="576"/>
  <c r="F43" i="576"/>
  <c r="H43" i="576"/>
  <c r="I43" i="576"/>
  <c r="J43" i="576"/>
  <c r="K43" i="576"/>
  <c r="L43" i="576"/>
  <c r="M43" i="576"/>
  <c r="N43" i="576"/>
  <c r="O43" i="576"/>
  <c r="P43" i="576"/>
  <c r="Q43" i="576"/>
  <c r="R43" i="576"/>
  <c r="S43" i="576"/>
  <c r="C52" i="576"/>
  <c r="D52" i="576"/>
  <c r="E52" i="576"/>
  <c r="F52" i="576"/>
  <c r="H52" i="576"/>
  <c r="I52" i="576"/>
  <c r="J52" i="576"/>
  <c r="K52" i="576"/>
  <c r="L52" i="576"/>
  <c r="M52" i="576"/>
  <c r="N52" i="576"/>
  <c r="O52" i="576"/>
  <c r="P52" i="576"/>
  <c r="Q52" i="576"/>
  <c r="R52" i="576"/>
  <c r="S52" i="576"/>
  <c r="C62" i="576"/>
  <c r="D62" i="576"/>
  <c r="E62" i="576"/>
  <c r="F62" i="576"/>
  <c r="H62" i="576"/>
  <c r="I62" i="576"/>
  <c r="J62" i="576"/>
  <c r="K62" i="576"/>
  <c r="L62" i="576"/>
  <c r="M62" i="576"/>
  <c r="N62" i="576"/>
  <c r="O62" i="576"/>
  <c r="P62" i="576"/>
  <c r="Q62" i="576"/>
  <c r="R62" i="576"/>
  <c r="S62" i="576"/>
  <c r="U64" i="576"/>
  <c r="Y64" i="576"/>
  <c r="C65" i="576"/>
  <c r="D65" i="576"/>
  <c r="E65" i="576"/>
  <c r="F65" i="576"/>
  <c r="H65" i="576"/>
  <c r="I65" i="576"/>
  <c r="J65" i="576"/>
  <c r="K65" i="576"/>
  <c r="L65" i="576"/>
  <c r="M65" i="576"/>
  <c r="N65" i="576"/>
  <c r="O65" i="576"/>
  <c r="P65" i="576"/>
  <c r="Q65" i="576"/>
  <c r="R65" i="576"/>
  <c r="S65" i="576"/>
  <c r="P67" i="576"/>
  <c r="U69" i="576"/>
  <c r="C74" i="576"/>
  <c r="D74" i="576"/>
  <c r="E74" i="576"/>
  <c r="F74" i="576"/>
  <c r="H74" i="576"/>
  <c r="I74" i="576"/>
  <c r="J74" i="576"/>
  <c r="K74" i="576"/>
  <c r="L74" i="576"/>
  <c r="M74" i="576"/>
  <c r="N74" i="576"/>
  <c r="O74" i="576"/>
  <c r="P74" i="576"/>
  <c r="Q74" i="576"/>
  <c r="R74" i="576"/>
  <c r="S74" i="576"/>
  <c r="C76" i="576"/>
  <c r="D76" i="576"/>
  <c r="E76" i="576"/>
  <c r="F76" i="576"/>
  <c r="H76" i="576"/>
  <c r="I76" i="576"/>
  <c r="J76" i="576"/>
  <c r="K76" i="576"/>
  <c r="L76" i="576"/>
  <c r="M76" i="576"/>
  <c r="N76" i="576"/>
  <c r="O76" i="576"/>
  <c r="P76" i="576"/>
  <c r="Q76" i="576"/>
  <c r="R76" i="576"/>
  <c r="C77" i="576"/>
  <c r="D77" i="576"/>
  <c r="E77" i="576"/>
  <c r="F77" i="576"/>
  <c r="G77" i="576"/>
  <c r="H77" i="576"/>
  <c r="I77" i="576"/>
  <c r="J77" i="576"/>
  <c r="K77" i="576"/>
  <c r="L77" i="576"/>
  <c r="M77" i="576"/>
  <c r="N77" i="576"/>
  <c r="O77" i="576"/>
  <c r="P77" i="576"/>
  <c r="Q77" i="576"/>
  <c r="R77" i="576"/>
  <c r="P79" i="576"/>
  <c r="C3" i="575"/>
  <c r="D3" i="575"/>
  <c r="E3" i="575"/>
  <c r="F3" i="575"/>
  <c r="I3" i="575"/>
  <c r="J3" i="575"/>
  <c r="K3" i="575"/>
  <c r="L3" i="575"/>
  <c r="M3" i="575"/>
  <c r="N3" i="575"/>
  <c r="O3" i="575"/>
  <c r="P3" i="575"/>
  <c r="Q3" i="575"/>
  <c r="R3" i="575"/>
  <c r="S3" i="575"/>
  <c r="T3" i="575"/>
  <c r="C4" i="575"/>
  <c r="D4" i="575"/>
  <c r="E4" i="575"/>
  <c r="F4" i="575"/>
  <c r="I4" i="575"/>
  <c r="J4" i="575"/>
  <c r="K4" i="575"/>
  <c r="L4" i="575"/>
  <c r="M4" i="575"/>
  <c r="N4" i="575"/>
  <c r="O4" i="575"/>
  <c r="P4" i="575"/>
  <c r="Q4" i="575"/>
  <c r="R4" i="575"/>
  <c r="S4" i="575"/>
  <c r="T4" i="575"/>
  <c r="C7" i="575"/>
  <c r="D7" i="575"/>
  <c r="E7" i="575"/>
  <c r="F7" i="575"/>
  <c r="I7" i="575"/>
  <c r="J7" i="575"/>
  <c r="K7" i="575"/>
  <c r="L7" i="575"/>
  <c r="M7" i="575"/>
  <c r="N7" i="575"/>
  <c r="O7" i="575"/>
  <c r="P7" i="575"/>
  <c r="Q7" i="575"/>
  <c r="R7" i="575"/>
  <c r="S7" i="575"/>
  <c r="T7" i="575"/>
  <c r="C10" i="575"/>
  <c r="D10" i="575"/>
  <c r="E10" i="575"/>
  <c r="F10" i="575"/>
  <c r="I10" i="575"/>
  <c r="J10" i="575"/>
  <c r="K10" i="575"/>
  <c r="L10" i="575"/>
  <c r="M10" i="575"/>
  <c r="N10" i="575"/>
  <c r="O10" i="575"/>
  <c r="P10" i="575"/>
  <c r="Q10" i="575"/>
  <c r="R10" i="575"/>
  <c r="S10" i="575"/>
  <c r="T10" i="575"/>
  <c r="C14" i="575"/>
  <c r="D14" i="575"/>
  <c r="E14" i="575"/>
  <c r="F14" i="575"/>
  <c r="I14" i="575"/>
  <c r="J14" i="575"/>
  <c r="K14" i="575"/>
  <c r="L14" i="575"/>
  <c r="M14" i="575"/>
  <c r="N14" i="575"/>
  <c r="O14" i="575"/>
  <c r="P14" i="575"/>
  <c r="Q14" i="575"/>
  <c r="R14" i="575"/>
  <c r="S14" i="575"/>
  <c r="T14" i="575"/>
  <c r="C3" i="574"/>
  <c r="D3" i="574"/>
  <c r="E3" i="574"/>
  <c r="F3" i="574"/>
  <c r="H3" i="574"/>
  <c r="I3" i="574"/>
  <c r="J3" i="574"/>
  <c r="K3" i="574"/>
  <c r="L3" i="574"/>
  <c r="M3" i="574"/>
  <c r="N3" i="574"/>
  <c r="O3" i="574"/>
  <c r="P3" i="574"/>
  <c r="Q3" i="574"/>
  <c r="R3" i="574"/>
  <c r="S3" i="574"/>
  <c r="T3" i="574"/>
  <c r="U3" i="574"/>
  <c r="V3" i="574"/>
  <c r="W3" i="574"/>
  <c r="C22" i="574"/>
  <c r="D22" i="574"/>
  <c r="E22" i="574"/>
  <c r="F22" i="574"/>
  <c r="H22" i="574"/>
  <c r="I22" i="574"/>
  <c r="J22" i="574"/>
  <c r="K22" i="574"/>
  <c r="L22" i="574"/>
  <c r="M22" i="574"/>
  <c r="N22" i="574"/>
  <c r="O22" i="574"/>
  <c r="P22" i="574"/>
  <c r="Q22" i="574"/>
  <c r="R22" i="574"/>
  <c r="S22" i="574"/>
  <c r="C43" i="574"/>
  <c r="D43" i="574"/>
  <c r="E43" i="574"/>
  <c r="F43" i="574"/>
  <c r="H43" i="574"/>
  <c r="I43" i="574"/>
  <c r="J43" i="574"/>
  <c r="K43" i="574"/>
  <c r="L43" i="574"/>
  <c r="M43" i="574"/>
  <c r="N43" i="574"/>
  <c r="O43" i="574"/>
  <c r="P43" i="574"/>
  <c r="Q43" i="574"/>
  <c r="R43" i="574"/>
  <c r="S43" i="574"/>
  <c r="C52" i="574"/>
  <c r="D52" i="574"/>
  <c r="E52" i="574"/>
  <c r="F52" i="574"/>
  <c r="H52" i="574"/>
  <c r="I52" i="574"/>
  <c r="J52" i="574"/>
  <c r="K52" i="574"/>
  <c r="L52" i="574"/>
  <c r="M52" i="574"/>
  <c r="N52" i="574"/>
  <c r="O52" i="574"/>
  <c r="P52" i="574"/>
  <c r="Q52" i="574"/>
  <c r="R52" i="574"/>
  <c r="S52" i="574"/>
  <c r="C62" i="574"/>
  <c r="D62" i="574"/>
  <c r="E62" i="574"/>
  <c r="F62" i="574"/>
  <c r="H62" i="574"/>
  <c r="I62" i="574"/>
  <c r="J62" i="574"/>
  <c r="K62" i="574"/>
  <c r="L62" i="574"/>
  <c r="M62" i="574"/>
  <c r="N62" i="574"/>
  <c r="O62" i="574"/>
  <c r="P62" i="574"/>
  <c r="Q62" i="574"/>
  <c r="R62" i="574"/>
  <c r="S62" i="574"/>
  <c r="U64" i="574"/>
  <c r="Y64" i="574"/>
  <c r="C65" i="574"/>
  <c r="D65" i="574"/>
  <c r="E65" i="574"/>
  <c r="F65" i="574"/>
  <c r="H65" i="574"/>
  <c r="I65" i="574"/>
  <c r="J65" i="574"/>
  <c r="K65" i="574"/>
  <c r="L65" i="574"/>
  <c r="M65" i="574"/>
  <c r="N65" i="574"/>
  <c r="O65" i="574"/>
  <c r="P65" i="574"/>
  <c r="Q65" i="574"/>
  <c r="R65" i="574"/>
  <c r="S65" i="574"/>
  <c r="P67" i="574"/>
  <c r="U69" i="574"/>
  <c r="C74" i="574"/>
  <c r="D74" i="574"/>
  <c r="E74" i="574"/>
  <c r="F74" i="574"/>
  <c r="H74" i="574"/>
  <c r="I74" i="574"/>
  <c r="J74" i="574"/>
  <c r="K74" i="574"/>
  <c r="L74" i="574"/>
  <c r="M74" i="574"/>
  <c r="N74" i="574"/>
  <c r="O74" i="574"/>
  <c r="P74" i="574"/>
  <c r="Q74" i="574"/>
  <c r="R74" i="574"/>
  <c r="S74" i="574"/>
  <c r="C76" i="574"/>
  <c r="D76" i="574"/>
  <c r="E76" i="574"/>
  <c r="F76" i="574"/>
  <c r="H76" i="574"/>
  <c r="I76" i="574"/>
  <c r="J76" i="574"/>
  <c r="K76" i="574"/>
  <c r="L76" i="574"/>
  <c r="M76" i="574"/>
  <c r="N76" i="574"/>
  <c r="O76" i="574"/>
  <c r="P76" i="574"/>
  <c r="Q76" i="574"/>
  <c r="R76" i="574"/>
  <c r="C77" i="574"/>
  <c r="D77" i="574"/>
  <c r="E77" i="574"/>
  <c r="F77" i="574"/>
  <c r="G77" i="574"/>
  <c r="H77" i="574"/>
  <c r="I77" i="574"/>
  <c r="J77" i="574"/>
  <c r="K77" i="574"/>
  <c r="L77" i="574"/>
  <c r="M77" i="574"/>
  <c r="N77" i="574"/>
  <c r="O77" i="574"/>
  <c r="P77" i="574"/>
  <c r="Q77" i="574"/>
  <c r="R77" i="574"/>
  <c r="P79" i="574"/>
  <c r="C3" i="573"/>
  <c r="D3" i="573"/>
  <c r="E3" i="573"/>
  <c r="F3" i="573"/>
  <c r="I3" i="573"/>
  <c r="J3" i="573"/>
  <c r="K3" i="573"/>
  <c r="L3" i="573"/>
  <c r="M3" i="573"/>
  <c r="N3" i="573"/>
  <c r="O3" i="573"/>
  <c r="P3" i="573"/>
  <c r="Q3" i="573"/>
  <c r="R3" i="573"/>
  <c r="S3" i="573"/>
  <c r="T3" i="573"/>
  <c r="U3" i="573"/>
  <c r="V3" i="573"/>
  <c r="C4" i="573"/>
  <c r="D4" i="573"/>
  <c r="E4" i="573"/>
  <c r="F4" i="573"/>
  <c r="I4" i="573"/>
  <c r="J4" i="573"/>
  <c r="K4" i="573"/>
  <c r="L4" i="573"/>
  <c r="M4" i="573"/>
  <c r="N4" i="573"/>
  <c r="O4" i="573"/>
  <c r="P4" i="573"/>
  <c r="Q4" i="573"/>
  <c r="R4" i="573"/>
  <c r="S4" i="573"/>
  <c r="T4" i="573"/>
  <c r="U4" i="573"/>
  <c r="V4" i="573"/>
  <c r="C7" i="573"/>
  <c r="D7" i="573"/>
  <c r="E7" i="573"/>
  <c r="F7" i="573"/>
  <c r="I7" i="573"/>
  <c r="J7" i="573"/>
  <c r="K7" i="573"/>
  <c r="L7" i="573"/>
  <c r="M7" i="573"/>
  <c r="N7" i="573"/>
  <c r="O7" i="573"/>
  <c r="P7" i="573"/>
  <c r="Q7" i="573"/>
  <c r="R7" i="573"/>
  <c r="S7" i="573"/>
  <c r="T7" i="573"/>
  <c r="U7" i="573"/>
  <c r="V7" i="573"/>
  <c r="C10" i="573"/>
  <c r="D10" i="573"/>
  <c r="E10" i="573"/>
  <c r="F10" i="573"/>
  <c r="I10" i="573"/>
  <c r="J10" i="573"/>
  <c r="K10" i="573"/>
  <c r="L10" i="573"/>
  <c r="M10" i="573"/>
  <c r="N10" i="573"/>
  <c r="O10" i="573"/>
  <c r="P10" i="573"/>
  <c r="Q10" i="573"/>
  <c r="R10" i="573"/>
  <c r="S10" i="573"/>
  <c r="T10" i="573"/>
  <c r="U10" i="573"/>
  <c r="V10" i="573"/>
  <c r="C14" i="573"/>
  <c r="D14" i="573"/>
  <c r="E14" i="573"/>
  <c r="F14" i="573"/>
  <c r="I14" i="573"/>
  <c r="J14" i="573"/>
  <c r="K14" i="573"/>
  <c r="L14" i="573"/>
  <c r="M14" i="573"/>
  <c r="N14" i="573"/>
  <c r="O14" i="573"/>
  <c r="P14" i="573"/>
  <c r="Q14" i="573"/>
  <c r="R14" i="573"/>
  <c r="S14" i="573"/>
  <c r="T14" i="573"/>
  <c r="U14" i="573"/>
  <c r="V14" i="573"/>
  <c r="C3" i="572"/>
  <c r="D3" i="572"/>
  <c r="E3" i="572"/>
  <c r="F3" i="572"/>
  <c r="H3" i="572"/>
  <c r="I3" i="572"/>
  <c r="J3" i="572"/>
  <c r="K3" i="572"/>
  <c r="L3" i="572"/>
  <c r="M3" i="572"/>
  <c r="N3" i="572"/>
  <c r="O3" i="572"/>
  <c r="P3" i="572"/>
  <c r="Q3" i="572"/>
  <c r="R3" i="572"/>
  <c r="S3" i="572"/>
  <c r="T3" i="572"/>
  <c r="U3" i="572"/>
  <c r="V3" i="572"/>
  <c r="W3" i="572"/>
  <c r="X3" i="572"/>
  <c r="Y3" i="572"/>
  <c r="C22" i="572"/>
  <c r="D22" i="572"/>
  <c r="E22" i="572"/>
  <c r="F22" i="572"/>
  <c r="H22" i="572"/>
  <c r="I22" i="572"/>
  <c r="J22" i="572"/>
  <c r="K22" i="572"/>
  <c r="L22" i="572"/>
  <c r="M22" i="572"/>
  <c r="N22" i="572"/>
  <c r="O22" i="572"/>
  <c r="P22" i="572"/>
  <c r="Q22" i="572"/>
  <c r="R22" i="572"/>
  <c r="S22" i="572"/>
  <c r="T22" i="572"/>
  <c r="U22" i="572"/>
  <c r="C43" i="572"/>
  <c r="D43" i="572"/>
  <c r="E43" i="572"/>
  <c r="F43" i="572"/>
  <c r="H43" i="572"/>
  <c r="I43" i="572"/>
  <c r="J43" i="572"/>
  <c r="K43" i="572"/>
  <c r="L43" i="572"/>
  <c r="M43" i="572"/>
  <c r="N43" i="572"/>
  <c r="O43" i="572"/>
  <c r="P43" i="572"/>
  <c r="Q43" i="572"/>
  <c r="R43" i="572"/>
  <c r="S43" i="572"/>
  <c r="T43" i="572"/>
  <c r="U43" i="572"/>
  <c r="C52" i="572"/>
  <c r="D52" i="572"/>
  <c r="E52" i="572"/>
  <c r="F52" i="572"/>
  <c r="H52" i="572"/>
  <c r="I52" i="572"/>
  <c r="J52" i="572"/>
  <c r="K52" i="572"/>
  <c r="L52" i="572"/>
  <c r="M52" i="572"/>
  <c r="N52" i="572"/>
  <c r="O52" i="572"/>
  <c r="P52" i="572"/>
  <c r="Q52" i="572"/>
  <c r="R52" i="572"/>
  <c r="S52" i="572"/>
  <c r="T52" i="572"/>
  <c r="U52" i="572"/>
  <c r="C62" i="572"/>
  <c r="D62" i="572"/>
  <c r="E62" i="572"/>
  <c r="F62" i="572"/>
  <c r="H62" i="572"/>
  <c r="I62" i="572"/>
  <c r="J62" i="572"/>
  <c r="K62" i="572"/>
  <c r="L62" i="572"/>
  <c r="M62" i="572"/>
  <c r="N62" i="572"/>
  <c r="O62" i="572"/>
  <c r="P62" i="572"/>
  <c r="Q62" i="572"/>
  <c r="R62" i="572"/>
  <c r="S62" i="572"/>
  <c r="T62" i="572"/>
  <c r="U62" i="572"/>
  <c r="W64" i="572"/>
  <c r="AA64" i="572"/>
  <c r="C65" i="572"/>
  <c r="D65" i="572"/>
  <c r="E65" i="572"/>
  <c r="F65" i="572"/>
  <c r="H65" i="572"/>
  <c r="I65" i="572"/>
  <c r="J65" i="572"/>
  <c r="K65" i="572"/>
  <c r="L65" i="572"/>
  <c r="M65" i="572"/>
  <c r="N65" i="572"/>
  <c r="O65" i="572"/>
  <c r="P65" i="572"/>
  <c r="Q65" i="572"/>
  <c r="R65" i="572"/>
  <c r="S65" i="572"/>
  <c r="T65" i="572"/>
  <c r="U65" i="572"/>
  <c r="P67" i="572"/>
  <c r="W69" i="572"/>
  <c r="C74" i="572"/>
  <c r="D74" i="572"/>
  <c r="E74" i="572"/>
  <c r="F74" i="572"/>
  <c r="H74" i="572"/>
  <c r="I74" i="572"/>
  <c r="J74" i="572"/>
  <c r="K74" i="572"/>
  <c r="L74" i="572"/>
  <c r="M74" i="572"/>
  <c r="N74" i="572"/>
  <c r="O74" i="572"/>
  <c r="P74" i="572"/>
  <c r="Q74" i="572"/>
  <c r="R74" i="572"/>
  <c r="S74" i="572"/>
  <c r="T74" i="572"/>
  <c r="U74" i="572"/>
  <c r="C76" i="572"/>
  <c r="D76" i="572"/>
  <c r="E76" i="572"/>
  <c r="F76" i="572"/>
  <c r="H76" i="572"/>
  <c r="I76" i="572"/>
  <c r="J76" i="572"/>
  <c r="K76" i="572"/>
  <c r="L76" i="572"/>
  <c r="M76" i="572"/>
  <c r="N76" i="572"/>
  <c r="O76" i="572"/>
  <c r="P76" i="572"/>
  <c r="Q76" i="572"/>
  <c r="R76" i="572"/>
  <c r="C77" i="572"/>
  <c r="D77" i="572"/>
  <c r="E77" i="572"/>
  <c r="F77" i="572"/>
  <c r="G77" i="572"/>
  <c r="H77" i="572"/>
  <c r="I77" i="572"/>
  <c r="J77" i="572"/>
  <c r="K77" i="572"/>
  <c r="L77" i="572"/>
  <c r="M77" i="572"/>
  <c r="N77" i="572"/>
  <c r="O77" i="572"/>
  <c r="P77" i="572"/>
  <c r="Q77" i="572"/>
  <c r="R77" i="572"/>
  <c r="P79" i="572"/>
  <c r="C3" i="571"/>
  <c r="D3" i="571"/>
  <c r="E3" i="571"/>
  <c r="F3" i="571"/>
  <c r="I3" i="571"/>
  <c r="J3" i="571"/>
  <c r="K3" i="571"/>
  <c r="L3" i="571"/>
  <c r="M3" i="571"/>
  <c r="N3" i="571"/>
  <c r="O3" i="571"/>
  <c r="P3" i="571"/>
  <c r="Q3" i="571"/>
  <c r="R3" i="571"/>
  <c r="S3" i="571"/>
  <c r="T3" i="571"/>
  <c r="U3" i="571"/>
  <c r="V3" i="571"/>
  <c r="C4" i="571"/>
  <c r="D4" i="571"/>
  <c r="E4" i="571"/>
  <c r="F4" i="571"/>
  <c r="I4" i="571"/>
  <c r="J4" i="571"/>
  <c r="K4" i="571"/>
  <c r="L4" i="571"/>
  <c r="M4" i="571"/>
  <c r="N4" i="571"/>
  <c r="O4" i="571"/>
  <c r="P4" i="571"/>
  <c r="Q4" i="571"/>
  <c r="R4" i="571"/>
  <c r="S4" i="571"/>
  <c r="T4" i="571"/>
  <c r="U4" i="571"/>
  <c r="V4" i="571"/>
  <c r="C7" i="571"/>
  <c r="D7" i="571"/>
  <c r="E7" i="571"/>
  <c r="F7" i="571"/>
  <c r="I7" i="571"/>
  <c r="J7" i="571"/>
  <c r="K7" i="571"/>
  <c r="L7" i="571"/>
  <c r="M7" i="571"/>
  <c r="N7" i="571"/>
  <c r="O7" i="571"/>
  <c r="P7" i="571"/>
  <c r="Q7" i="571"/>
  <c r="R7" i="571"/>
  <c r="S7" i="571"/>
  <c r="T7" i="571"/>
  <c r="U7" i="571"/>
  <c r="V7" i="571"/>
  <c r="C10" i="571"/>
  <c r="D10" i="571"/>
  <c r="E10" i="571"/>
  <c r="F10" i="571"/>
  <c r="I10" i="571"/>
  <c r="J10" i="571"/>
  <c r="K10" i="571"/>
  <c r="L10" i="571"/>
  <c r="M10" i="571"/>
  <c r="N10" i="571"/>
  <c r="O10" i="571"/>
  <c r="P10" i="571"/>
  <c r="Q10" i="571"/>
  <c r="R10" i="571"/>
  <c r="S10" i="571"/>
  <c r="T10" i="571"/>
  <c r="U10" i="571"/>
  <c r="V10" i="571"/>
  <c r="C13" i="571"/>
  <c r="D13" i="571"/>
  <c r="E13" i="571"/>
  <c r="F13" i="571"/>
  <c r="I13" i="571"/>
  <c r="J13" i="571"/>
  <c r="K13" i="571"/>
  <c r="L13" i="571"/>
  <c r="M13" i="571"/>
  <c r="N13" i="571"/>
  <c r="O13" i="571"/>
  <c r="P13" i="571"/>
  <c r="Q13" i="571"/>
  <c r="R13" i="571"/>
  <c r="S13" i="571"/>
  <c r="T13" i="571"/>
  <c r="U13" i="571"/>
  <c r="V13" i="571"/>
  <c r="C3" i="570"/>
  <c r="D3" i="570"/>
  <c r="E3" i="570"/>
  <c r="F3" i="570"/>
  <c r="H3" i="570"/>
  <c r="I3" i="570"/>
  <c r="J3" i="570"/>
  <c r="K3" i="570"/>
  <c r="L3" i="570"/>
  <c r="M3" i="570"/>
  <c r="N3" i="570"/>
  <c r="O3" i="570"/>
  <c r="P3" i="570"/>
  <c r="Q3" i="570"/>
  <c r="R3" i="570"/>
  <c r="S3" i="570"/>
  <c r="T3" i="570"/>
  <c r="U3" i="570"/>
  <c r="V3" i="570"/>
  <c r="W3" i="570"/>
  <c r="X3" i="570"/>
  <c r="Y3" i="570"/>
  <c r="C22" i="570"/>
  <c r="D22" i="570"/>
  <c r="E22" i="570"/>
  <c r="F22" i="570"/>
  <c r="H22" i="570"/>
  <c r="I22" i="570"/>
  <c r="J22" i="570"/>
  <c r="K22" i="570"/>
  <c r="L22" i="570"/>
  <c r="M22" i="570"/>
  <c r="N22" i="570"/>
  <c r="O22" i="570"/>
  <c r="P22" i="570"/>
  <c r="Q22" i="570"/>
  <c r="R22" i="570"/>
  <c r="S22" i="570"/>
  <c r="T22" i="570"/>
  <c r="U22" i="570"/>
  <c r="C43" i="570"/>
  <c r="D43" i="570"/>
  <c r="E43" i="570"/>
  <c r="F43" i="570"/>
  <c r="H43" i="570"/>
  <c r="I43" i="570"/>
  <c r="J43" i="570"/>
  <c r="K43" i="570"/>
  <c r="L43" i="570"/>
  <c r="M43" i="570"/>
  <c r="N43" i="570"/>
  <c r="O43" i="570"/>
  <c r="P43" i="570"/>
  <c r="Q43" i="570"/>
  <c r="R43" i="570"/>
  <c r="S43" i="570"/>
  <c r="T43" i="570"/>
  <c r="U43" i="570"/>
  <c r="C52" i="570"/>
  <c r="D52" i="570"/>
  <c r="E52" i="570"/>
  <c r="F52" i="570"/>
  <c r="H52" i="570"/>
  <c r="I52" i="570"/>
  <c r="J52" i="570"/>
  <c r="K52" i="570"/>
  <c r="L52" i="570"/>
  <c r="M52" i="570"/>
  <c r="N52" i="570"/>
  <c r="O52" i="570"/>
  <c r="P52" i="570"/>
  <c r="Q52" i="570"/>
  <c r="R52" i="570"/>
  <c r="S52" i="570"/>
  <c r="T52" i="570"/>
  <c r="U52" i="570"/>
  <c r="C62" i="570"/>
  <c r="D62" i="570"/>
  <c r="E62" i="570"/>
  <c r="F62" i="570"/>
  <c r="H62" i="570"/>
  <c r="I62" i="570"/>
  <c r="J62" i="570"/>
  <c r="K62" i="570"/>
  <c r="L62" i="570"/>
  <c r="M62" i="570"/>
  <c r="N62" i="570"/>
  <c r="O62" i="570"/>
  <c r="P62" i="570"/>
  <c r="Q62" i="570"/>
  <c r="R62" i="570"/>
  <c r="S62" i="570"/>
  <c r="T62" i="570"/>
  <c r="U62" i="570"/>
  <c r="W64" i="570"/>
  <c r="AA64" i="570"/>
  <c r="C65" i="570"/>
  <c r="D65" i="570"/>
  <c r="E65" i="570"/>
  <c r="F65" i="570"/>
  <c r="H65" i="570"/>
  <c r="I65" i="570"/>
  <c r="J65" i="570"/>
  <c r="K65" i="570"/>
  <c r="L65" i="570"/>
  <c r="M65" i="570"/>
  <c r="N65" i="570"/>
  <c r="O65" i="570"/>
  <c r="P65" i="570"/>
  <c r="Q65" i="570"/>
  <c r="R65" i="570"/>
  <c r="S65" i="570"/>
  <c r="T65" i="570"/>
  <c r="U65" i="570"/>
  <c r="P67" i="570"/>
  <c r="W69" i="570"/>
  <c r="C74" i="570"/>
  <c r="D74" i="570"/>
  <c r="E74" i="570"/>
  <c r="F74" i="570"/>
  <c r="H74" i="570"/>
  <c r="I74" i="570"/>
  <c r="J74" i="570"/>
  <c r="K74" i="570"/>
  <c r="L74" i="570"/>
  <c r="M74" i="570"/>
  <c r="N74" i="570"/>
  <c r="O74" i="570"/>
  <c r="P74" i="570"/>
  <c r="Q74" i="570"/>
  <c r="R74" i="570"/>
  <c r="S74" i="570"/>
  <c r="T74" i="570"/>
  <c r="U74" i="570"/>
  <c r="C76" i="570"/>
  <c r="D76" i="570"/>
  <c r="E76" i="570"/>
  <c r="F76" i="570"/>
  <c r="H76" i="570"/>
  <c r="I76" i="570"/>
  <c r="J76" i="570"/>
  <c r="K76" i="570"/>
  <c r="L76" i="570"/>
  <c r="M76" i="570"/>
  <c r="N76" i="570"/>
  <c r="O76" i="570"/>
  <c r="P76" i="570"/>
  <c r="Q76" i="570"/>
  <c r="R76" i="570"/>
  <c r="C77" i="570"/>
  <c r="D77" i="570"/>
  <c r="E77" i="570"/>
  <c r="F77" i="570"/>
  <c r="G77" i="570"/>
  <c r="H77" i="570"/>
  <c r="I77" i="570"/>
  <c r="J77" i="570"/>
  <c r="K77" i="570"/>
  <c r="L77" i="570"/>
  <c r="M77" i="570"/>
  <c r="N77" i="570"/>
  <c r="O77" i="570"/>
  <c r="P77" i="570"/>
  <c r="Q77" i="570"/>
  <c r="R77" i="570"/>
  <c r="P79" i="570"/>
  <c r="C3" i="569"/>
  <c r="D3" i="569"/>
  <c r="E3" i="569"/>
  <c r="F3" i="569"/>
  <c r="I3" i="569"/>
  <c r="J3" i="569"/>
  <c r="K3" i="569"/>
  <c r="L3" i="569"/>
  <c r="M3" i="569"/>
  <c r="N3" i="569"/>
  <c r="O3" i="569"/>
  <c r="P3" i="569"/>
  <c r="Q3" i="569"/>
  <c r="R3" i="569"/>
  <c r="S3" i="569"/>
  <c r="T3" i="569"/>
  <c r="U3" i="569"/>
  <c r="V3" i="569"/>
  <c r="C4" i="569"/>
  <c r="D4" i="569"/>
  <c r="E4" i="569"/>
  <c r="F4" i="569"/>
  <c r="I4" i="569"/>
  <c r="J4" i="569"/>
  <c r="K4" i="569"/>
  <c r="L4" i="569"/>
  <c r="M4" i="569"/>
  <c r="N4" i="569"/>
  <c r="O4" i="569"/>
  <c r="P4" i="569"/>
  <c r="Q4" i="569"/>
  <c r="R4" i="569"/>
  <c r="S4" i="569"/>
  <c r="T4" i="569"/>
  <c r="U4" i="569"/>
  <c r="V4" i="569"/>
  <c r="C7" i="569"/>
  <c r="D7" i="569"/>
  <c r="E7" i="569"/>
  <c r="F7" i="569"/>
  <c r="I7" i="569"/>
  <c r="J7" i="569"/>
  <c r="K7" i="569"/>
  <c r="L7" i="569"/>
  <c r="M7" i="569"/>
  <c r="N7" i="569"/>
  <c r="O7" i="569"/>
  <c r="P7" i="569"/>
  <c r="Q7" i="569"/>
  <c r="R7" i="569"/>
  <c r="S7" i="569"/>
  <c r="T7" i="569"/>
  <c r="U7" i="569"/>
  <c r="V7" i="569"/>
  <c r="C10" i="569"/>
  <c r="D10" i="569"/>
  <c r="E10" i="569"/>
  <c r="F10" i="569"/>
  <c r="I10" i="569"/>
  <c r="J10" i="569"/>
  <c r="K10" i="569"/>
  <c r="L10" i="569"/>
  <c r="M10" i="569"/>
  <c r="N10" i="569"/>
  <c r="O10" i="569"/>
  <c r="P10" i="569"/>
  <c r="Q10" i="569"/>
  <c r="R10" i="569"/>
  <c r="S10" i="569"/>
  <c r="T10" i="569"/>
  <c r="U10" i="569"/>
  <c r="V10" i="569"/>
  <c r="C13" i="569"/>
  <c r="D13" i="569"/>
  <c r="E13" i="569"/>
  <c r="F13" i="569"/>
  <c r="I13" i="569"/>
  <c r="J13" i="569"/>
  <c r="K13" i="569"/>
  <c r="L13" i="569"/>
  <c r="M13" i="569"/>
  <c r="N13" i="569"/>
  <c r="O13" i="569"/>
  <c r="P13" i="569"/>
  <c r="Q13" i="569"/>
  <c r="R13" i="569"/>
  <c r="S13" i="569"/>
  <c r="T13" i="569"/>
  <c r="U13" i="569"/>
  <c r="V13" i="569"/>
  <c r="C3" i="568"/>
  <c r="D3" i="568"/>
  <c r="E3" i="568"/>
  <c r="F3" i="568"/>
  <c r="H3" i="568"/>
  <c r="I3" i="568"/>
  <c r="J3" i="568"/>
  <c r="K3" i="568"/>
  <c r="L3" i="568"/>
  <c r="M3" i="568"/>
  <c r="N3" i="568"/>
  <c r="O3" i="568"/>
  <c r="P3" i="568"/>
  <c r="Q3" i="568"/>
  <c r="R3" i="568"/>
  <c r="S3" i="568"/>
  <c r="T3" i="568"/>
  <c r="U3" i="568"/>
  <c r="V3" i="568"/>
  <c r="W3" i="568"/>
  <c r="X3" i="568"/>
  <c r="Y3" i="568"/>
  <c r="C22" i="568"/>
  <c r="D22" i="568"/>
  <c r="E22" i="568"/>
  <c r="F22" i="568"/>
  <c r="H22" i="568"/>
  <c r="I22" i="568"/>
  <c r="J22" i="568"/>
  <c r="K22" i="568"/>
  <c r="L22" i="568"/>
  <c r="M22" i="568"/>
  <c r="N22" i="568"/>
  <c r="O22" i="568"/>
  <c r="P22" i="568"/>
  <c r="Q22" i="568"/>
  <c r="R22" i="568"/>
  <c r="S22" i="568"/>
  <c r="T22" i="568"/>
  <c r="U22" i="568"/>
  <c r="C43" i="568"/>
  <c r="D43" i="568"/>
  <c r="E43" i="568"/>
  <c r="F43" i="568"/>
  <c r="H43" i="568"/>
  <c r="I43" i="568"/>
  <c r="J43" i="568"/>
  <c r="K43" i="568"/>
  <c r="L43" i="568"/>
  <c r="M43" i="568"/>
  <c r="N43" i="568"/>
  <c r="O43" i="568"/>
  <c r="P43" i="568"/>
  <c r="Q43" i="568"/>
  <c r="R43" i="568"/>
  <c r="S43" i="568"/>
  <c r="T43" i="568"/>
  <c r="U43" i="568"/>
  <c r="C52" i="568"/>
  <c r="D52" i="568"/>
  <c r="E52" i="568"/>
  <c r="F52" i="568"/>
  <c r="H52" i="568"/>
  <c r="I52" i="568"/>
  <c r="J52" i="568"/>
  <c r="K52" i="568"/>
  <c r="L52" i="568"/>
  <c r="M52" i="568"/>
  <c r="N52" i="568"/>
  <c r="O52" i="568"/>
  <c r="P52" i="568"/>
  <c r="Q52" i="568"/>
  <c r="R52" i="568"/>
  <c r="S52" i="568"/>
  <c r="T52" i="568"/>
  <c r="U52" i="568"/>
  <c r="C62" i="568"/>
  <c r="D62" i="568"/>
  <c r="E62" i="568"/>
  <c r="F62" i="568"/>
  <c r="H62" i="568"/>
  <c r="I62" i="568"/>
  <c r="J62" i="568"/>
  <c r="K62" i="568"/>
  <c r="L62" i="568"/>
  <c r="M62" i="568"/>
  <c r="N62" i="568"/>
  <c r="O62" i="568"/>
  <c r="P62" i="568"/>
  <c r="Q62" i="568"/>
  <c r="R62" i="568"/>
  <c r="S62" i="568"/>
  <c r="T62" i="568"/>
  <c r="U62" i="568"/>
  <c r="W64" i="568"/>
  <c r="AA64" i="568"/>
  <c r="C65" i="568"/>
  <c r="D65" i="568"/>
  <c r="E65" i="568"/>
  <c r="F65" i="568"/>
  <c r="H65" i="568"/>
  <c r="I65" i="568"/>
  <c r="J65" i="568"/>
  <c r="K65" i="568"/>
  <c r="L65" i="568"/>
  <c r="M65" i="568"/>
  <c r="N65" i="568"/>
  <c r="O65" i="568"/>
  <c r="P65" i="568"/>
  <c r="Q65" i="568"/>
  <c r="R65" i="568"/>
  <c r="S65" i="568"/>
  <c r="T65" i="568"/>
  <c r="U65" i="568"/>
  <c r="P67" i="568"/>
  <c r="W69" i="568"/>
  <c r="C74" i="568"/>
  <c r="D74" i="568"/>
  <c r="E74" i="568"/>
  <c r="F74" i="568"/>
  <c r="H74" i="568"/>
  <c r="I74" i="568"/>
  <c r="J74" i="568"/>
  <c r="K74" i="568"/>
  <c r="L74" i="568"/>
  <c r="M74" i="568"/>
  <c r="N74" i="568"/>
  <c r="O74" i="568"/>
  <c r="P74" i="568"/>
  <c r="Q74" i="568"/>
  <c r="R74" i="568"/>
  <c r="S74" i="568"/>
  <c r="T74" i="568"/>
  <c r="U74" i="568"/>
  <c r="C76" i="568"/>
  <c r="D76" i="568"/>
  <c r="E76" i="568"/>
  <c r="F76" i="568"/>
  <c r="H76" i="568"/>
  <c r="I76" i="568"/>
  <c r="J76" i="568"/>
  <c r="K76" i="568"/>
  <c r="L76" i="568"/>
  <c r="M76" i="568"/>
  <c r="N76" i="568"/>
  <c r="O76" i="568"/>
  <c r="P76" i="568"/>
  <c r="Q76" i="568"/>
  <c r="R76" i="568"/>
  <c r="C77" i="568"/>
  <c r="D77" i="568"/>
  <c r="E77" i="568"/>
  <c r="F77" i="568"/>
  <c r="G77" i="568"/>
  <c r="H77" i="568"/>
  <c r="I77" i="568"/>
  <c r="J77" i="568"/>
  <c r="K77" i="568"/>
  <c r="L77" i="568"/>
  <c r="M77" i="568"/>
  <c r="N77" i="568"/>
  <c r="O77" i="568"/>
  <c r="P77" i="568"/>
  <c r="Q77" i="568"/>
  <c r="R77" i="568"/>
  <c r="P79" i="568"/>
  <c r="C3" i="567"/>
  <c r="D3" i="567"/>
  <c r="E3" i="567"/>
  <c r="F3" i="567"/>
  <c r="I3" i="567"/>
  <c r="J3" i="567"/>
  <c r="K3" i="567"/>
  <c r="L3" i="567"/>
  <c r="M3" i="567"/>
  <c r="N3" i="567"/>
  <c r="O3" i="567"/>
  <c r="P3" i="567"/>
  <c r="Q3" i="567"/>
  <c r="R3" i="567"/>
  <c r="S3" i="567"/>
  <c r="T3" i="567"/>
  <c r="U3" i="567"/>
  <c r="V3" i="567"/>
  <c r="C4" i="567"/>
  <c r="D4" i="567"/>
  <c r="E4" i="567"/>
  <c r="F4" i="567"/>
  <c r="I4" i="567"/>
  <c r="J4" i="567"/>
  <c r="K4" i="567"/>
  <c r="L4" i="567"/>
  <c r="M4" i="567"/>
  <c r="N4" i="567"/>
  <c r="O4" i="567"/>
  <c r="P4" i="567"/>
  <c r="Q4" i="567"/>
  <c r="R4" i="567"/>
  <c r="S4" i="567"/>
  <c r="T4" i="567"/>
  <c r="U4" i="567"/>
  <c r="V4" i="567"/>
  <c r="C7" i="567"/>
  <c r="D7" i="567"/>
  <c r="E7" i="567"/>
  <c r="F7" i="567"/>
  <c r="I7" i="567"/>
  <c r="J7" i="567"/>
  <c r="K7" i="567"/>
  <c r="L7" i="567"/>
  <c r="M7" i="567"/>
  <c r="N7" i="567"/>
  <c r="O7" i="567"/>
  <c r="P7" i="567"/>
  <c r="Q7" i="567"/>
  <c r="R7" i="567"/>
  <c r="S7" i="567"/>
  <c r="T7" i="567"/>
  <c r="U7" i="567"/>
  <c r="V7" i="567"/>
  <c r="C10" i="567"/>
  <c r="D10" i="567"/>
  <c r="E10" i="567"/>
  <c r="F10" i="567"/>
  <c r="I10" i="567"/>
  <c r="J10" i="567"/>
  <c r="K10" i="567"/>
  <c r="L10" i="567"/>
  <c r="M10" i="567"/>
  <c r="N10" i="567"/>
  <c r="O10" i="567"/>
  <c r="P10" i="567"/>
  <c r="Q10" i="567"/>
  <c r="R10" i="567"/>
  <c r="S10" i="567"/>
  <c r="T10" i="567"/>
  <c r="U10" i="567"/>
  <c r="V10" i="567"/>
  <c r="C3" i="566"/>
  <c r="D3" i="566"/>
  <c r="E3" i="566"/>
  <c r="F3" i="566"/>
  <c r="H3" i="566"/>
  <c r="I3" i="566"/>
  <c r="J3" i="566"/>
  <c r="K3" i="566"/>
  <c r="L3" i="566"/>
  <c r="M3" i="566"/>
  <c r="N3" i="566"/>
  <c r="O3" i="566"/>
  <c r="P3" i="566"/>
  <c r="Q3" i="566"/>
  <c r="R3" i="566"/>
  <c r="S3" i="566"/>
  <c r="T3" i="566"/>
  <c r="U3" i="566"/>
  <c r="V3" i="566"/>
  <c r="W3" i="566"/>
  <c r="X3" i="566"/>
  <c r="Y3" i="566"/>
  <c r="C31" i="566"/>
  <c r="D31" i="566"/>
  <c r="E31" i="566"/>
  <c r="F31" i="566"/>
  <c r="H31" i="566"/>
  <c r="I31" i="566"/>
  <c r="J31" i="566"/>
  <c r="K31" i="566"/>
  <c r="L31" i="566"/>
  <c r="M31" i="566"/>
  <c r="N31" i="566"/>
  <c r="O31" i="566"/>
  <c r="P31" i="566"/>
  <c r="Q31" i="566"/>
  <c r="R31" i="566"/>
  <c r="S31" i="566"/>
  <c r="T31" i="566"/>
  <c r="U31" i="566"/>
  <c r="C58" i="566"/>
  <c r="D58" i="566"/>
  <c r="E58" i="566"/>
  <c r="F58" i="566"/>
  <c r="H58" i="566"/>
  <c r="I58" i="566"/>
  <c r="J58" i="566"/>
  <c r="K58" i="566"/>
  <c r="L58" i="566"/>
  <c r="M58" i="566"/>
  <c r="N58" i="566"/>
  <c r="O58" i="566"/>
  <c r="P58" i="566"/>
  <c r="Q58" i="566"/>
  <c r="R58" i="566"/>
  <c r="S58" i="566"/>
  <c r="T58" i="566"/>
  <c r="U58" i="566"/>
  <c r="C67" i="566"/>
  <c r="D67" i="566"/>
  <c r="E67" i="566"/>
  <c r="F67" i="566"/>
  <c r="H67" i="566"/>
  <c r="I67" i="566"/>
  <c r="J67" i="566"/>
  <c r="K67" i="566"/>
  <c r="L67" i="566"/>
  <c r="M67" i="566"/>
  <c r="N67" i="566"/>
  <c r="O67" i="566"/>
  <c r="P67" i="566"/>
  <c r="Q67" i="566"/>
  <c r="R67" i="566"/>
  <c r="S67" i="566"/>
  <c r="T67" i="566"/>
  <c r="U67" i="566"/>
  <c r="W69" i="566"/>
  <c r="AA69" i="566"/>
  <c r="C70" i="566"/>
  <c r="D70" i="566"/>
  <c r="E70" i="566"/>
  <c r="F70" i="566"/>
  <c r="H70" i="566"/>
  <c r="I70" i="566"/>
  <c r="J70" i="566"/>
  <c r="K70" i="566"/>
  <c r="L70" i="566"/>
  <c r="M70" i="566"/>
  <c r="N70" i="566"/>
  <c r="O70" i="566"/>
  <c r="P70" i="566"/>
  <c r="Q70" i="566"/>
  <c r="R70" i="566"/>
  <c r="S70" i="566"/>
  <c r="T70" i="566"/>
  <c r="U70" i="566"/>
  <c r="P72" i="566"/>
  <c r="W74" i="566"/>
  <c r="C79" i="566"/>
  <c r="D79" i="566"/>
  <c r="E79" i="566"/>
  <c r="F79" i="566"/>
  <c r="H79" i="566"/>
  <c r="I79" i="566"/>
  <c r="J79" i="566"/>
  <c r="K79" i="566"/>
  <c r="L79" i="566"/>
  <c r="M79" i="566"/>
  <c r="N79" i="566"/>
  <c r="O79" i="566"/>
  <c r="P79" i="566"/>
  <c r="Q79" i="566"/>
  <c r="R79" i="566"/>
  <c r="S79" i="566"/>
  <c r="T79" i="566"/>
  <c r="U79" i="566"/>
  <c r="C81" i="566"/>
  <c r="D81" i="566"/>
  <c r="E81" i="566"/>
  <c r="F81" i="566"/>
  <c r="H81" i="566"/>
  <c r="I81" i="566"/>
  <c r="J81" i="566"/>
  <c r="K81" i="566"/>
  <c r="L81" i="566"/>
  <c r="M81" i="566"/>
  <c r="N81" i="566"/>
  <c r="O81" i="566"/>
  <c r="P81" i="566"/>
  <c r="Q81" i="566"/>
  <c r="R81" i="566"/>
  <c r="C82" i="566"/>
  <c r="D82" i="566"/>
  <c r="E82" i="566"/>
  <c r="F82" i="566"/>
  <c r="G82" i="566"/>
  <c r="H82" i="566"/>
  <c r="I82" i="566"/>
  <c r="J82" i="566"/>
  <c r="K82" i="566"/>
  <c r="L82" i="566"/>
  <c r="M82" i="566"/>
  <c r="N82" i="566"/>
  <c r="O82" i="566"/>
  <c r="P82" i="566"/>
  <c r="Q82" i="566"/>
  <c r="R82" i="566"/>
  <c r="P84" i="566"/>
  <c r="C3" i="565"/>
  <c r="D3" i="565"/>
  <c r="E3" i="565"/>
  <c r="F3" i="565"/>
  <c r="I3" i="565"/>
  <c r="J3" i="565"/>
  <c r="K3" i="565"/>
  <c r="L3" i="565"/>
  <c r="M3" i="565"/>
  <c r="N3" i="565"/>
  <c r="O3" i="565"/>
  <c r="P3" i="565"/>
  <c r="Q3" i="565"/>
  <c r="R3" i="565"/>
  <c r="S3" i="565"/>
  <c r="T3" i="565"/>
  <c r="U3" i="565"/>
  <c r="V3" i="565"/>
  <c r="C4" i="565"/>
  <c r="D4" i="565"/>
  <c r="E4" i="565"/>
  <c r="F4" i="565"/>
  <c r="I4" i="565"/>
  <c r="J4" i="565"/>
  <c r="K4" i="565"/>
  <c r="L4" i="565"/>
  <c r="M4" i="565"/>
  <c r="N4" i="565"/>
  <c r="O4" i="565"/>
  <c r="P4" i="565"/>
  <c r="Q4" i="565"/>
  <c r="R4" i="565"/>
  <c r="S4" i="565"/>
  <c r="T4" i="565"/>
  <c r="U4" i="565"/>
  <c r="V4" i="565"/>
  <c r="C7" i="565"/>
  <c r="D7" i="565"/>
  <c r="E7" i="565"/>
  <c r="F7" i="565"/>
  <c r="I7" i="565"/>
  <c r="J7" i="565"/>
  <c r="K7" i="565"/>
  <c r="L7" i="565"/>
  <c r="M7" i="565"/>
  <c r="N7" i="565"/>
  <c r="O7" i="565"/>
  <c r="P7" i="565"/>
  <c r="Q7" i="565"/>
  <c r="R7" i="565"/>
  <c r="S7" i="565"/>
  <c r="T7" i="565"/>
  <c r="U7" i="565"/>
  <c r="V7" i="565"/>
  <c r="C10" i="565"/>
  <c r="D10" i="565"/>
  <c r="E10" i="565"/>
  <c r="F10" i="565"/>
  <c r="I10" i="565"/>
  <c r="J10" i="565"/>
  <c r="K10" i="565"/>
  <c r="L10" i="565"/>
  <c r="M10" i="565"/>
  <c r="N10" i="565"/>
  <c r="O10" i="565"/>
  <c r="P10" i="565"/>
  <c r="Q10" i="565"/>
  <c r="R10" i="565"/>
  <c r="S10" i="565"/>
  <c r="T10" i="565"/>
  <c r="U10" i="565"/>
  <c r="V10" i="565"/>
  <c r="C3" i="564"/>
  <c r="D3" i="564"/>
  <c r="E3" i="564"/>
  <c r="F3" i="564"/>
  <c r="H3" i="564"/>
  <c r="I3" i="564"/>
  <c r="J3" i="564"/>
  <c r="K3" i="564"/>
  <c r="L3" i="564"/>
  <c r="M3" i="564"/>
  <c r="N3" i="564"/>
  <c r="O3" i="564"/>
  <c r="P3" i="564"/>
  <c r="Q3" i="564"/>
  <c r="R3" i="564"/>
  <c r="S3" i="564"/>
  <c r="T3" i="564"/>
  <c r="U3" i="564"/>
  <c r="V3" i="564"/>
  <c r="W3" i="564"/>
  <c r="X3" i="564"/>
  <c r="Y3" i="564"/>
  <c r="C31" i="564"/>
  <c r="D31" i="564"/>
  <c r="E31" i="564"/>
  <c r="F31" i="564"/>
  <c r="H31" i="564"/>
  <c r="I31" i="564"/>
  <c r="J31" i="564"/>
  <c r="K31" i="564"/>
  <c r="L31" i="564"/>
  <c r="M31" i="564"/>
  <c r="N31" i="564"/>
  <c r="O31" i="564"/>
  <c r="P31" i="564"/>
  <c r="Q31" i="564"/>
  <c r="R31" i="564"/>
  <c r="S31" i="564"/>
  <c r="T31" i="564"/>
  <c r="U31" i="564"/>
  <c r="C58" i="564"/>
  <c r="D58" i="564"/>
  <c r="E58" i="564"/>
  <c r="F58" i="564"/>
  <c r="H58" i="564"/>
  <c r="I58" i="564"/>
  <c r="J58" i="564"/>
  <c r="K58" i="564"/>
  <c r="L58" i="564"/>
  <c r="M58" i="564"/>
  <c r="N58" i="564"/>
  <c r="O58" i="564"/>
  <c r="P58" i="564"/>
  <c r="Q58" i="564"/>
  <c r="R58" i="564"/>
  <c r="S58" i="564"/>
  <c r="T58" i="564"/>
  <c r="U58" i="564"/>
  <c r="C67" i="564"/>
  <c r="D67" i="564"/>
  <c r="E67" i="564"/>
  <c r="F67" i="564"/>
  <c r="H67" i="564"/>
  <c r="I67" i="564"/>
  <c r="J67" i="564"/>
  <c r="K67" i="564"/>
  <c r="L67" i="564"/>
  <c r="M67" i="564"/>
  <c r="N67" i="564"/>
  <c r="O67" i="564"/>
  <c r="P67" i="564"/>
  <c r="Q67" i="564"/>
  <c r="R67" i="564"/>
  <c r="S67" i="564"/>
  <c r="T67" i="564"/>
  <c r="U67" i="564"/>
  <c r="W69" i="564"/>
  <c r="AA69" i="564"/>
  <c r="C70" i="564"/>
  <c r="D70" i="564"/>
  <c r="E70" i="564"/>
  <c r="F70" i="564"/>
  <c r="H70" i="564"/>
  <c r="I70" i="564"/>
  <c r="J70" i="564"/>
  <c r="K70" i="564"/>
  <c r="L70" i="564"/>
  <c r="M70" i="564"/>
  <c r="N70" i="564"/>
  <c r="O70" i="564"/>
  <c r="P70" i="564"/>
  <c r="Q70" i="564"/>
  <c r="R70" i="564"/>
  <c r="S70" i="564"/>
  <c r="T70" i="564"/>
  <c r="U70" i="564"/>
  <c r="P72" i="564"/>
  <c r="W74" i="564"/>
  <c r="C79" i="564"/>
  <c r="D79" i="564"/>
  <c r="E79" i="564"/>
  <c r="F79" i="564"/>
  <c r="H79" i="564"/>
  <c r="I79" i="564"/>
  <c r="J79" i="564"/>
  <c r="K79" i="564"/>
  <c r="L79" i="564"/>
  <c r="M79" i="564"/>
  <c r="N79" i="564"/>
  <c r="O79" i="564"/>
  <c r="P79" i="564"/>
  <c r="Q79" i="564"/>
  <c r="R79" i="564"/>
  <c r="S79" i="564"/>
  <c r="T79" i="564"/>
  <c r="U79" i="564"/>
  <c r="C81" i="564"/>
  <c r="D81" i="564"/>
  <c r="E81" i="564"/>
  <c r="F81" i="564"/>
  <c r="H81" i="564"/>
  <c r="I81" i="564"/>
  <c r="J81" i="564"/>
  <c r="K81" i="564"/>
  <c r="L81" i="564"/>
  <c r="M81" i="564"/>
  <c r="N81" i="564"/>
  <c r="O81" i="564"/>
  <c r="P81" i="564"/>
  <c r="Q81" i="564"/>
  <c r="R81" i="564"/>
  <c r="C82" i="564"/>
  <c r="D82" i="564"/>
  <c r="E82" i="564"/>
  <c r="F82" i="564"/>
  <c r="G82" i="564"/>
  <c r="H82" i="564"/>
  <c r="I82" i="564"/>
  <c r="J82" i="564"/>
  <c r="K82" i="564"/>
  <c r="L82" i="564"/>
  <c r="M82" i="564"/>
  <c r="N82" i="564"/>
  <c r="O82" i="564"/>
  <c r="P82" i="564"/>
  <c r="Q82" i="564"/>
  <c r="R82" i="564"/>
  <c r="P84" i="564"/>
  <c r="C3" i="563"/>
  <c r="D3" i="563"/>
  <c r="E3" i="563"/>
  <c r="F3" i="563"/>
  <c r="I3" i="563"/>
  <c r="J3" i="563"/>
  <c r="K3" i="563"/>
  <c r="L3" i="563"/>
  <c r="M3" i="563"/>
  <c r="N3" i="563"/>
  <c r="O3" i="563"/>
  <c r="P3" i="563"/>
  <c r="Q3" i="563"/>
  <c r="R3" i="563"/>
  <c r="S3" i="563"/>
  <c r="T3" i="563"/>
  <c r="U3" i="563"/>
  <c r="V3" i="563"/>
  <c r="C4" i="563"/>
  <c r="D4" i="563"/>
  <c r="E4" i="563"/>
  <c r="F4" i="563"/>
  <c r="I4" i="563"/>
  <c r="J4" i="563"/>
  <c r="K4" i="563"/>
  <c r="L4" i="563"/>
  <c r="M4" i="563"/>
  <c r="N4" i="563"/>
  <c r="O4" i="563"/>
  <c r="P4" i="563"/>
  <c r="Q4" i="563"/>
  <c r="R4" i="563"/>
  <c r="S4" i="563"/>
  <c r="T4" i="563"/>
  <c r="U4" i="563"/>
  <c r="V4" i="563"/>
  <c r="C7" i="563"/>
  <c r="D7" i="563"/>
  <c r="E7" i="563"/>
  <c r="F7" i="563"/>
  <c r="I7" i="563"/>
  <c r="J7" i="563"/>
  <c r="K7" i="563"/>
  <c r="L7" i="563"/>
  <c r="M7" i="563"/>
  <c r="N7" i="563"/>
  <c r="O7" i="563"/>
  <c r="P7" i="563"/>
  <c r="Q7" i="563"/>
  <c r="R7" i="563"/>
  <c r="S7" i="563"/>
  <c r="T7" i="563"/>
  <c r="U7" i="563"/>
  <c r="V7" i="563"/>
  <c r="C10" i="563"/>
  <c r="D10" i="563"/>
  <c r="E10" i="563"/>
  <c r="F10" i="563"/>
  <c r="I10" i="563"/>
  <c r="J10" i="563"/>
  <c r="K10" i="563"/>
  <c r="L10" i="563"/>
  <c r="M10" i="563"/>
  <c r="N10" i="563"/>
  <c r="O10" i="563"/>
  <c r="P10" i="563"/>
  <c r="Q10" i="563"/>
  <c r="R10" i="563"/>
  <c r="S10" i="563"/>
  <c r="T10" i="563"/>
  <c r="U10" i="563"/>
  <c r="V10" i="563"/>
  <c r="C3" i="562"/>
  <c r="D3" i="562"/>
  <c r="E3" i="562"/>
  <c r="F3" i="562"/>
  <c r="H3" i="562"/>
  <c r="I3" i="562"/>
  <c r="J3" i="562"/>
  <c r="K3" i="562"/>
  <c r="L3" i="562"/>
  <c r="M3" i="562"/>
  <c r="N3" i="562"/>
  <c r="O3" i="562"/>
  <c r="P3" i="562"/>
  <c r="Q3" i="562"/>
  <c r="R3" i="562"/>
  <c r="S3" i="562"/>
  <c r="T3" i="562"/>
  <c r="U3" i="562"/>
  <c r="V3" i="562"/>
  <c r="W3" i="562"/>
  <c r="X3" i="562"/>
  <c r="Y3" i="562"/>
  <c r="C31" i="562"/>
  <c r="D31" i="562"/>
  <c r="E31" i="562"/>
  <c r="F31" i="562"/>
  <c r="H31" i="562"/>
  <c r="I31" i="562"/>
  <c r="J31" i="562"/>
  <c r="K31" i="562"/>
  <c r="L31" i="562"/>
  <c r="M31" i="562"/>
  <c r="N31" i="562"/>
  <c r="O31" i="562"/>
  <c r="P31" i="562"/>
  <c r="Q31" i="562"/>
  <c r="R31" i="562"/>
  <c r="S31" i="562"/>
  <c r="T31" i="562"/>
  <c r="U31" i="562"/>
  <c r="C58" i="562"/>
  <c r="D58" i="562"/>
  <c r="E58" i="562"/>
  <c r="F58" i="562"/>
  <c r="H58" i="562"/>
  <c r="I58" i="562"/>
  <c r="J58" i="562"/>
  <c r="K58" i="562"/>
  <c r="L58" i="562"/>
  <c r="M58" i="562"/>
  <c r="N58" i="562"/>
  <c r="O58" i="562"/>
  <c r="P58" i="562"/>
  <c r="Q58" i="562"/>
  <c r="R58" i="562"/>
  <c r="S58" i="562"/>
  <c r="T58" i="562"/>
  <c r="U58" i="562"/>
  <c r="C67" i="562"/>
  <c r="D67" i="562"/>
  <c r="E67" i="562"/>
  <c r="F67" i="562"/>
  <c r="H67" i="562"/>
  <c r="I67" i="562"/>
  <c r="J67" i="562"/>
  <c r="K67" i="562"/>
  <c r="L67" i="562"/>
  <c r="M67" i="562"/>
  <c r="N67" i="562"/>
  <c r="O67" i="562"/>
  <c r="P67" i="562"/>
  <c r="Q67" i="562"/>
  <c r="R67" i="562"/>
  <c r="S67" i="562"/>
  <c r="T67" i="562"/>
  <c r="U67" i="562"/>
  <c r="W69" i="562"/>
  <c r="AA69" i="562"/>
  <c r="C70" i="562"/>
  <c r="D70" i="562"/>
  <c r="E70" i="562"/>
  <c r="F70" i="562"/>
  <c r="H70" i="562"/>
  <c r="I70" i="562"/>
  <c r="J70" i="562"/>
  <c r="K70" i="562"/>
  <c r="L70" i="562"/>
  <c r="M70" i="562"/>
  <c r="N70" i="562"/>
  <c r="O70" i="562"/>
  <c r="P70" i="562"/>
  <c r="Q70" i="562"/>
  <c r="R70" i="562"/>
  <c r="S70" i="562"/>
  <c r="T70" i="562"/>
  <c r="U70" i="562"/>
  <c r="P72" i="562"/>
  <c r="W74" i="562"/>
  <c r="C79" i="562"/>
  <c r="D79" i="562"/>
  <c r="E79" i="562"/>
  <c r="F79" i="562"/>
  <c r="H79" i="562"/>
  <c r="I79" i="562"/>
  <c r="J79" i="562"/>
  <c r="K79" i="562"/>
  <c r="L79" i="562"/>
  <c r="M79" i="562"/>
  <c r="N79" i="562"/>
  <c r="O79" i="562"/>
  <c r="P79" i="562"/>
  <c r="Q79" i="562"/>
  <c r="R79" i="562"/>
  <c r="S79" i="562"/>
  <c r="T79" i="562"/>
  <c r="U79" i="562"/>
  <c r="C81" i="562"/>
  <c r="D81" i="562"/>
  <c r="E81" i="562"/>
  <c r="F81" i="562"/>
  <c r="H81" i="562"/>
  <c r="I81" i="562"/>
  <c r="J81" i="562"/>
  <c r="K81" i="562"/>
  <c r="L81" i="562"/>
  <c r="M81" i="562"/>
  <c r="N81" i="562"/>
  <c r="O81" i="562"/>
  <c r="P81" i="562"/>
  <c r="Q81" i="562"/>
  <c r="R81" i="562"/>
  <c r="C82" i="562"/>
  <c r="D82" i="562"/>
  <c r="E82" i="562"/>
  <c r="F82" i="562"/>
  <c r="G82" i="562"/>
  <c r="H82" i="562"/>
  <c r="I82" i="562"/>
  <c r="J82" i="562"/>
  <c r="K82" i="562"/>
  <c r="L82" i="562"/>
  <c r="M82" i="562"/>
  <c r="N82" i="562"/>
  <c r="O82" i="562"/>
  <c r="P82" i="562"/>
  <c r="Q82" i="562"/>
  <c r="R82" i="562"/>
  <c r="P84" i="562"/>
  <c r="C3" i="561"/>
  <c r="D3" i="561"/>
  <c r="E3" i="561"/>
  <c r="F3" i="561"/>
  <c r="I3" i="561"/>
  <c r="J3" i="561"/>
  <c r="K3" i="561"/>
  <c r="L3" i="561"/>
  <c r="M3" i="561"/>
  <c r="N3" i="561"/>
  <c r="O3" i="561"/>
  <c r="P3" i="561"/>
  <c r="Q3" i="561"/>
  <c r="R3" i="561"/>
  <c r="S3" i="561"/>
  <c r="T3" i="561"/>
  <c r="U3" i="561"/>
  <c r="V3" i="561"/>
  <c r="C4" i="561"/>
  <c r="D4" i="561"/>
  <c r="E4" i="561"/>
  <c r="F4" i="561"/>
  <c r="I4" i="561"/>
  <c r="J4" i="561"/>
  <c r="K4" i="561"/>
  <c r="L4" i="561"/>
  <c r="M4" i="561"/>
  <c r="N4" i="561"/>
  <c r="O4" i="561"/>
  <c r="P4" i="561"/>
  <c r="Q4" i="561"/>
  <c r="R4" i="561"/>
  <c r="S4" i="561"/>
  <c r="T4" i="561"/>
  <c r="U4" i="561"/>
  <c r="V4" i="561"/>
  <c r="C7" i="561"/>
  <c r="D7" i="561"/>
  <c r="E7" i="561"/>
  <c r="F7" i="561"/>
  <c r="I7" i="561"/>
  <c r="J7" i="561"/>
  <c r="K7" i="561"/>
  <c r="L7" i="561"/>
  <c r="M7" i="561"/>
  <c r="N7" i="561"/>
  <c r="O7" i="561"/>
  <c r="P7" i="561"/>
  <c r="Q7" i="561"/>
  <c r="R7" i="561"/>
  <c r="S7" i="561"/>
  <c r="T7" i="561"/>
  <c r="U7" i="561"/>
  <c r="V7" i="561"/>
  <c r="C10" i="561"/>
  <c r="D10" i="561"/>
  <c r="E10" i="561"/>
  <c r="F10" i="561"/>
  <c r="I10" i="561"/>
  <c r="J10" i="561"/>
  <c r="K10" i="561"/>
  <c r="L10" i="561"/>
  <c r="M10" i="561"/>
  <c r="N10" i="561"/>
  <c r="O10" i="561"/>
  <c r="P10" i="561"/>
  <c r="Q10" i="561"/>
  <c r="R10" i="561"/>
  <c r="S10" i="561"/>
  <c r="T10" i="561"/>
  <c r="U10" i="561"/>
  <c r="V10" i="561"/>
  <c r="C3" i="560"/>
  <c r="D3" i="560"/>
  <c r="E3" i="560"/>
  <c r="F3" i="560"/>
  <c r="H3" i="560"/>
  <c r="I3" i="560"/>
  <c r="J3" i="560"/>
  <c r="K3" i="560"/>
  <c r="L3" i="560"/>
  <c r="M3" i="560"/>
  <c r="N3" i="560"/>
  <c r="O3" i="560"/>
  <c r="P3" i="560"/>
  <c r="Q3" i="560"/>
  <c r="R3" i="560"/>
  <c r="S3" i="560"/>
  <c r="T3" i="560"/>
  <c r="U3" i="560"/>
  <c r="V3" i="560"/>
  <c r="W3" i="560"/>
  <c r="X3" i="560"/>
  <c r="Y3" i="560"/>
  <c r="C31" i="560"/>
  <c r="D31" i="560"/>
  <c r="E31" i="560"/>
  <c r="F31" i="560"/>
  <c r="H31" i="560"/>
  <c r="I31" i="560"/>
  <c r="J31" i="560"/>
  <c r="K31" i="560"/>
  <c r="L31" i="560"/>
  <c r="M31" i="560"/>
  <c r="N31" i="560"/>
  <c r="O31" i="560"/>
  <c r="P31" i="560"/>
  <c r="Q31" i="560"/>
  <c r="R31" i="560"/>
  <c r="S31" i="560"/>
  <c r="T31" i="560"/>
  <c r="U31" i="560"/>
  <c r="C58" i="560"/>
  <c r="D58" i="560"/>
  <c r="E58" i="560"/>
  <c r="F58" i="560"/>
  <c r="H58" i="560"/>
  <c r="I58" i="560"/>
  <c r="J58" i="560"/>
  <c r="K58" i="560"/>
  <c r="L58" i="560"/>
  <c r="M58" i="560"/>
  <c r="N58" i="560"/>
  <c r="O58" i="560"/>
  <c r="P58" i="560"/>
  <c r="Q58" i="560"/>
  <c r="R58" i="560"/>
  <c r="S58" i="560"/>
  <c r="T58" i="560"/>
  <c r="U58" i="560"/>
  <c r="C67" i="560"/>
  <c r="D67" i="560"/>
  <c r="E67" i="560"/>
  <c r="F67" i="560"/>
  <c r="H67" i="560"/>
  <c r="I67" i="560"/>
  <c r="J67" i="560"/>
  <c r="K67" i="560"/>
  <c r="L67" i="560"/>
  <c r="M67" i="560"/>
  <c r="N67" i="560"/>
  <c r="O67" i="560"/>
  <c r="P67" i="560"/>
  <c r="Q67" i="560"/>
  <c r="R67" i="560"/>
  <c r="S67" i="560"/>
  <c r="T67" i="560"/>
  <c r="U67" i="560"/>
  <c r="W69" i="560"/>
  <c r="AA69" i="560"/>
  <c r="C70" i="560"/>
  <c r="D70" i="560"/>
  <c r="E70" i="560"/>
  <c r="F70" i="560"/>
  <c r="H70" i="560"/>
  <c r="I70" i="560"/>
  <c r="J70" i="560"/>
  <c r="K70" i="560"/>
  <c r="L70" i="560"/>
  <c r="M70" i="560"/>
  <c r="N70" i="560"/>
  <c r="O70" i="560"/>
  <c r="P70" i="560"/>
  <c r="Q70" i="560"/>
  <c r="R70" i="560"/>
  <c r="S70" i="560"/>
  <c r="T70" i="560"/>
  <c r="U70" i="560"/>
  <c r="P72" i="560"/>
  <c r="W74" i="560"/>
  <c r="C79" i="560"/>
  <c r="D79" i="560"/>
  <c r="E79" i="560"/>
  <c r="F79" i="560"/>
  <c r="H79" i="560"/>
  <c r="I79" i="560"/>
  <c r="J79" i="560"/>
  <c r="K79" i="560"/>
  <c r="L79" i="560"/>
  <c r="M79" i="560"/>
  <c r="N79" i="560"/>
  <c r="O79" i="560"/>
  <c r="P79" i="560"/>
  <c r="Q79" i="560"/>
  <c r="R79" i="560"/>
  <c r="S79" i="560"/>
  <c r="T79" i="560"/>
  <c r="U79" i="560"/>
  <c r="C81" i="560"/>
  <c r="D81" i="560"/>
  <c r="E81" i="560"/>
  <c r="F81" i="560"/>
  <c r="H81" i="560"/>
  <c r="I81" i="560"/>
  <c r="J81" i="560"/>
  <c r="K81" i="560"/>
  <c r="L81" i="560"/>
  <c r="M81" i="560"/>
  <c r="N81" i="560"/>
  <c r="O81" i="560"/>
  <c r="P81" i="560"/>
  <c r="Q81" i="560"/>
  <c r="R81" i="560"/>
  <c r="C82" i="560"/>
  <c r="D82" i="560"/>
  <c r="E82" i="560"/>
  <c r="F82" i="560"/>
  <c r="G82" i="560"/>
  <c r="H82" i="560"/>
  <c r="I82" i="560"/>
  <c r="J82" i="560"/>
  <c r="K82" i="560"/>
  <c r="L82" i="560"/>
  <c r="M82" i="560"/>
  <c r="N82" i="560"/>
  <c r="O82" i="560"/>
  <c r="P82" i="560"/>
  <c r="Q82" i="560"/>
  <c r="R82" i="560"/>
  <c r="P84" i="560"/>
  <c r="C3" i="559"/>
  <c r="D3" i="559"/>
  <c r="E3" i="559"/>
  <c r="F3" i="559"/>
  <c r="I3" i="559"/>
  <c r="J3" i="559"/>
  <c r="K3" i="559"/>
  <c r="L3" i="559"/>
  <c r="M3" i="559"/>
  <c r="N3" i="559"/>
  <c r="O3" i="559"/>
  <c r="P3" i="559"/>
  <c r="Q3" i="559"/>
  <c r="R3" i="559"/>
  <c r="S3" i="559"/>
  <c r="T3" i="559"/>
  <c r="U3" i="559"/>
  <c r="V3" i="559"/>
  <c r="C4" i="559"/>
  <c r="D4" i="559"/>
  <c r="E4" i="559"/>
  <c r="F4" i="559"/>
  <c r="I4" i="559"/>
  <c r="J4" i="559"/>
  <c r="K4" i="559"/>
  <c r="L4" i="559"/>
  <c r="M4" i="559"/>
  <c r="N4" i="559"/>
  <c r="O4" i="559"/>
  <c r="P4" i="559"/>
  <c r="Q4" i="559"/>
  <c r="R4" i="559"/>
  <c r="S4" i="559"/>
  <c r="T4" i="559"/>
  <c r="U4" i="559"/>
  <c r="V4" i="559"/>
  <c r="C7" i="559"/>
  <c r="D7" i="559"/>
  <c r="E7" i="559"/>
  <c r="F7" i="559"/>
  <c r="I7" i="559"/>
  <c r="J7" i="559"/>
  <c r="K7" i="559"/>
  <c r="L7" i="559"/>
  <c r="M7" i="559"/>
  <c r="N7" i="559"/>
  <c r="O7" i="559"/>
  <c r="P7" i="559"/>
  <c r="Q7" i="559"/>
  <c r="R7" i="559"/>
  <c r="S7" i="559"/>
  <c r="T7" i="559"/>
  <c r="U7" i="559"/>
  <c r="V7" i="559"/>
  <c r="C10" i="559"/>
  <c r="D10" i="559"/>
  <c r="E10" i="559"/>
  <c r="F10" i="559"/>
  <c r="I10" i="559"/>
  <c r="J10" i="559"/>
  <c r="K10" i="559"/>
  <c r="L10" i="559"/>
  <c r="M10" i="559"/>
  <c r="N10" i="559"/>
  <c r="O10" i="559"/>
  <c r="P10" i="559"/>
  <c r="Q10" i="559"/>
  <c r="R10" i="559"/>
  <c r="S10" i="559"/>
  <c r="T10" i="559"/>
  <c r="U10" i="559"/>
  <c r="V10" i="559"/>
  <c r="C3" i="558"/>
  <c r="D3" i="558"/>
  <c r="E3" i="558"/>
  <c r="F3" i="558"/>
  <c r="H3" i="558"/>
  <c r="I3" i="558"/>
  <c r="J3" i="558"/>
  <c r="K3" i="558"/>
  <c r="L3" i="558"/>
  <c r="M3" i="558"/>
  <c r="N3" i="558"/>
  <c r="O3" i="558"/>
  <c r="P3" i="558"/>
  <c r="Q3" i="558"/>
  <c r="R3" i="558"/>
  <c r="S3" i="558"/>
  <c r="T3" i="558"/>
  <c r="U3" i="558"/>
  <c r="V3" i="558"/>
  <c r="W3" i="558"/>
  <c r="X3" i="558"/>
  <c r="Y3" i="558"/>
  <c r="C31" i="558"/>
  <c r="D31" i="558"/>
  <c r="E31" i="558"/>
  <c r="F31" i="558"/>
  <c r="H31" i="558"/>
  <c r="I31" i="558"/>
  <c r="J31" i="558"/>
  <c r="K31" i="558"/>
  <c r="L31" i="558"/>
  <c r="M31" i="558"/>
  <c r="N31" i="558"/>
  <c r="O31" i="558"/>
  <c r="P31" i="558"/>
  <c r="Q31" i="558"/>
  <c r="R31" i="558"/>
  <c r="S31" i="558"/>
  <c r="T31" i="558"/>
  <c r="U31" i="558"/>
  <c r="C58" i="558"/>
  <c r="D58" i="558"/>
  <c r="E58" i="558"/>
  <c r="F58" i="558"/>
  <c r="H58" i="558"/>
  <c r="I58" i="558"/>
  <c r="J58" i="558"/>
  <c r="K58" i="558"/>
  <c r="L58" i="558"/>
  <c r="M58" i="558"/>
  <c r="N58" i="558"/>
  <c r="O58" i="558"/>
  <c r="P58" i="558"/>
  <c r="Q58" i="558"/>
  <c r="R58" i="558"/>
  <c r="S58" i="558"/>
  <c r="T58" i="558"/>
  <c r="U58" i="558"/>
  <c r="C67" i="558"/>
  <c r="D67" i="558"/>
  <c r="E67" i="558"/>
  <c r="F67" i="558"/>
  <c r="H67" i="558"/>
  <c r="I67" i="558"/>
  <c r="J67" i="558"/>
  <c r="K67" i="558"/>
  <c r="L67" i="558"/>
  <c r="M67" i="558"/>
  <c r="N67" i="558"/>
  <c r="O67" i="558"/>
  <c r="P67" i="558"/>
  <c r="Q67" i="558"/>
  <c r="R67" i="558"/>
  <c r="S67" i="558"/>
  <c r="T67" i="558"/>
  <c r="U67" i="558"/>
  <c r="W69" i="558"/>
  <c r="AA69" i="558"/>
  <c r="C70" i="558"/>
  <c r="D70" i="558"/>
  <c r="E70" i="558"/>
  <c r="F70" i="558"/>
  <c r="H70" i="558"/>
  <c r="I70" i="558"/>
  <c r="J70" i="558"/>
  <c r="K70" i="558"/>
  <c r="L70" i="558"/>
  <c r="M70" i="558"/>
  <c r="N70" i="558"/>
  <c r="O70" i="558"/>
  <c r="P70" i="558"/>
  <c r="Q70" i="558"/>
  <c r="R70" i="558"/>
  <c r="S70" i="558"/>
  <c r="T70" i="558"/>
  <c r="U70" i="558"/>
  <c r="P72" i="558"/>
  <c r="W74" i="558"/>
  <c r="C79" i="558"/>
  <c r="D79" i="558"/>
  <c r="E79" i="558"/>
  <c r="F79" i="558"/>
  <c r="H79" i="558"/>
  <c r="I79" i="558"/>
  <c r="J79" i="558"/>
  <c r="K79" i="558"/>
  <c r="L79" i="558"/>
  <c r="M79" i="558"/>
  <c r="N79" i="558"/>
  <c r="O79" i="558"/>
  <c r="P79" i="558"/>
  <c r="Q79" i="558"/>
  <c r="R79" i="558"/>
  <c r="S79" i="558"/>
  <c r="T79" i="558"/>
  <c r="U79" i="558"/>
  <c r="C81" i="558"/>
  <c r="D81" i="558"/>
  <c r="E81" i="558"/>
  <c r="F81" i="558"/>
  <c r="H81" i="558"/>
  <c r="I81" i="558"/>
  <c r="J81" i="558"/>
  <c r="K81" i="558"/>
  <c r="L81" i="558"/>
  <c r="M81" i="558"/>
  <c r="N81" i="558"/>
  <c r="O81" i="558"/>
  <c r="P81" i="558"/>
  <c r="Q81" i="558"/>
  <c r="R81" i="558"/>
  <c r="C82" i="558"/>
  <c r="D82" i="558"/>
  <c r="E82" i="558"/>
  <c r="F82" i="558"/>
  <c r="G82" i="558"/>
  <c r="H82" i="558"/>
  <c r="I82" i="558"/>
  <c r="J82" i="558"/>
  <c r="K82" i="558"/>
  <c r="L82" i="558"/>
  <c r="M82" i="558"/>
  <c r="N82" i="558"/>
  <c r="O82" i="558"/>
  <c r="P82" i="558"/>
  <c r="Q82" i="558"/>
  <c r="R82" i="558"/>
  <c r="P84" i="558"/>
  <c r="C3" i="557"/>
  <c r="D3" i="557"/>
  <c r="E3" i="557"/>
  <c r="F3" i="557"/>
  <c r="I3" i="557"/>
  <c r="J3" i="557"/>
  <c r="K3" i="557"/>
  <c r="L3" i="557"/>
  <c r="M3" i="557"/>
  <c r="N3" i="557"/>
  <c r="O3" i="557"/>
  <c r="P3" i="557"/>
  <c r="Q3" i="557"/>
  <c r="R3" i="557"/>
  <c r="S3" i="557"/>
  <c r="T3" i="557"/>
  <c r="U3" i="557"/>
  <c r="V3" i="557"/>
  <c r="C4" i="557"/>
  <c r="D4" i="557"/>
  <c r="E4" i="557"/>
  <c r="F4" i="557"/>
  <c r="I4" i="557"/>
  <c r="J4" i="557"/>
  <c r="K4" i="557"/>
  <c r="L4" i="557"/>
  <c r="M4" i="557"/>
  <c r="N4" i="557"/>
  <c r="O4" i="557"/>
  <c r="P4" i="557"/>
  <c r="Q4" i="557"/>
  <c r="R4" i="557"/>
  <c r="S4" i="557"/>
  <c r="T4" i="557"/>
  <c r="U4" i="557"/>
  <c r="V4" i="557"/>
  <c r="C7" i="557"/>
  <c r="D7" i="557"/>
  <c r="E7" i="557"/>
  <c r="F7" i="557"/>
  <c r="I7" i="557"/>
  <c r="J7" i="557"/>
  <c r="K7" i="557"/>
  <c r="L7" i="557"/>
  <c r="M7" i="557"/>
  <c r="N7" i="557"/>
  <c r="O7" i="557"/>
  <c r="P7" i="557"/>
  <c r="Q7" i="557"/>
  <c r="R7" i="557"/>
  <c r="S7" i="557"/>
  <c r="T7" i="557"/>
  <c r="U7" i="557"/>
  <c r="V7" i="557"/>
  <c r="C10" i="557"/>
  <c r="D10" i="557"/>
  <c r="E10" i="557"/>
  <c r="F10" i="557"/>
  <c r="I10" i="557"/>
  <c r="J10" i="557"/>
  <c r="K10" i="557"/>
  <c r="L10" i="557"/>
  <c r="M10" i="557"/>
  <c r="N10" i="557"/>
  <c r="O10" i="557"/>
  <c r="P10" i="557"/>
  <c r="Q10" i="557"/>
  <c r="R10" i="557"/>
  <c r="S10" i="557"/>
  <c r="T10" i="557"/>
  <c r="U10" i="557"/>
  <c r="V10" i="557"/>
  <c r="C3" i="556"/>
  <c r="D3" i="556"/>
  <c r="E3" i="556"/>
  <c r="F3" i="556"/>
  <c r="H3" i="556"/>
  <c r="I3" i="556"/>
  <c r="J3" i="556"/>
  <c r="K3" i="556"/>
  <c r="L3" i="556"/>
  <c r="M3" i="556"/>
  <c r="N3" i="556"/>
  <c r="O3" i="556"/>
  <c r="P3" i="556"/>
  <c r="Q3" i="556"/>
  <c r="R3" i="556"/>
  <c r="S3" i="556"/>
  <c r="T3" i="556"/>
  <c r="U3" i="556"/>
  <c r="V3" i="556"/>
  <c r="W3" i="556"/>
  <c r="X3" i="556"/>
  <c r="Y3" i="556"/>
  <c r="C31" i="556"/>
  <c r="D31" i="556"/>
  <c r="E31" i="556"/>
  <c r="F31" i="556"/>
  <c r="H31" i="556"/>
  <c r="I31" i="556"/>
  <c r="J31" i="556"/>
  <c r="K31" i="556"/>
  <c r="L31" i="556"/>
  <c r="M31" i="556"/>
  <c r="N31" i="556"/>
  <c r="O31" i="556"/>
  <c r="P31" i="556"/>
  <c r="Q31" i="556"/>
  <c r="R31" i="556"/>
  <c r="S31" i="556"/>
  <c r="T31" i="556"/>
  <c r="U31" i="556"/>
  <c r="C58" i="556"/>
  <c r="D58" i="556"/>
  <c r="E58" i="556"/>
  <c r="F58" i="556"/>
  <c r="H58" i="556"/>
  <c r="I58" i="556"/>
  <c r="J58" i="556"/>
  <c r="K58" i="556"/>
  <c r="L58" i="556"/>
  <c r="M58" i="556"/>
  <c r="N58" i="556"/>
  <c r="O58" i="556"/>
  <c r="P58" i="556"/>
  <c r="Q58" i="556"/>
  <c r="R58" i="556"/>
  <c r="S58" i="556"/>
  <c r="T58" i="556"/>
  <c r="U58" i="556"/>
  <c r="C67" i="556"/>
  <c r="D67" i="556"/>
  <c r="E67" i="556"/>
  <c r="F67" i="556"/>
  <c r="H67" i="556"/>
  <c r="I67" i="556"/>
  <c r="J67" i="556"/>
  <c r="K67" i="556"/>
  <c r="L67" i="556"/>
  <c r="M67" i="556"/>
  <c r="N67" i="556"/>
  <c r="O67" i="556"/>
  <c r="P67" i="556"/>
  <c r="Q67" i="556"/>
  <c r="R67" i="556"/>
  <c r="S67" i="556"/>
  <c r="T67" i="556"/>
  <c r="U67" i="556"/>
  <c r="W69" i="556"/>
  <c r="AA69" i="556"/>
  <c r="C70" i="556"/>
  <c r="D70" i="556"/>
  <c r="E70" i="556"/>
  <c r="F70" i="556"/>
  <c r="H70" i="556"/>
  <c r="I70" i="556"/>
  <c r="J70" i="556"/>
  <c r="K70" i="556"/>
  <c r="L70" i="556"/>
  <c r="M70" i="556"/>
  <c r="N70" i="556"/>
  <c r="O70" i="556"/>
  <c r="P70" i="556"/>
  <c r="Q70" i="556"/>
  <c r="R70" i="556"/>
  <c r="S70" i="556"/>
  <c r="T70" i="556"/>
  <c r="U70" i="556"/>
  <c r="P72" i="556"/>
  <c r="W74" i="556"/>
  <c r="C79" i="556"/>
  <c r="D79" i="556"/>
  <c r="E79" i="556"/>
  <c r="F79" i="556"/>
  <c r="H79" i="556"/>
  <c r="I79" i="556"/>
  <c r="J79" i="556"/>
  <c r="K79" i="556"/>
  <c r="L79" i="556"/>
  <c r="M79" i="556"/>
  <c r="N79" i="556"/>
  <c r="O79" i="556"/>
  <c r="P79" i="556"/>
  <c r="Q79" i="556"/>
  <c r="R79" i="556"/>
  <c r="S79" i="556"/>
  <c r="T79" i="556"/>
  <c r="U79" i="556"/>
  <c r="C81" i="556"/>
  <c r="D81" i="556"/>
  <c r="E81" i="556"/>
  <c r="F81" i="556"/>
  <c r="H81" i="556"/>
  <c r="I81" i="556"/>
  <c r="J81" i="556"/>
  <c r="K81" i="556"/>
  <c r="L81" i="556"/>
  <c r="M81" i="556"/>
  <c r="N81" i="556"/>
  <c r="O81" i="556"/>
  <c r="P81" i="556"/>
  <c r="Q81" i="556"/>
  <c r="R81" i="556"/>
  <c r="C82" i="556"/>
  <c r="D82" i="556"/>
  <c r="E82" i="556"/>
  <c r="F82" i="556"/>
  <c r="G82" i="556"/>
  <c r="H82" i="556"/>
  <c r="I82" i="556"/>
  <c r="J82" i="556"/>
  <c r="K82" i="556"/>
  <c r="L82" i="556"/>
  <c r="M82" i="556"/>
  <c r="N82" i="556"/>
  <c r="O82" i="556"/>
  <c r="P82" i="556"/>
  <c r="Q82" i="556"/>
  <c r="R82" i="556"/>
  <c r="P84" i="556"/>
  <c r="C3" i="555"/>
  <c r="D3" i="555"/>
  <c r="E3" i="555"/>
  <c r="F3" i="555"/>
  <c r="I3" i="555"/>
  <c r="J3" i="555"/>
  <c r="K3" i="555"/>
  <c r="L3" i="555"/>
  <c r="M3" i="555"/>
  <c r="N3" i="555"/>
  <c r="O3" i="555"/>
  <c r="P3" i="555"/>
  <c r="Q3" i="555"/>
  <c r="R3" i="555"/>
  <c r="S3" i="555"/>
  <c r="T3" i="555"/>
  <c r="U3" i="555"/>
  <c r="V3" i="555"/>
  <c r="C4" i="555"/>
  <c r="D4" i="555"/>
  <c r="E4" i="555"/>
  <c r="F4" i="555"/>
  <c r="I4" i="555"/>
  <c r="J4" i="555"/>
  <c r="K4" i="555"/>
  <c r="L4" i="555"/>
  <c r="M4" i="555"/>
  <c r="N4" i="555"/>
  <c r="O4" i="555"/>
  <c r="P4" i="555"/>
  <c r="Q4" i="555"/>
  <c r="R4" i="555"/>
  <c r="S4" i="555"/>
  <c r="T4" i="555"/>
  <c r="U4" i="555"/>
  <c r="V4" i="555"/>
  <c r="C7" i="555"/>
  <c r="D7" i="555"/>
  <c r="E7" i="555"/>
  <c r="F7" i="555"/>
  <c r="I7" i="555"/>
  <c r="J7" i="555"/>
  <c r="K7" i="555"/>
  <c r="L7" i="555"/>
  <c r="M7" i="555"/>
  <c r="N7" i="555"/>
  <c r="O7" i="555"/>
  <c r="P7" i="555"/>
  <c r="Q7" i="555"/>
  <c r="R7" i="555"/>
  <c r="S7" i="555"/>
  <c r="T7" i="555"/>
  <c r="U7" i="555"/>
  <c r="V7" i="555"/>
  <c r="C10" i="555"/>
  <c r="D10" i="555"/>
  <c r="E10" i="555"/>
  <c r="F10" i="555"/>
  <c r="I10" i="555"/>
  <c r="J10" i="555"/>
  <c r="K10" i="555"/>
  <c r="L10" i="555"/>
  <c r="M10" i="555"/>
  <c r="N10" i="555"/>
  <c r="O10" i="555"/>
  <c r="P10" i="555"/>
  <c r="Q10" i="555"/>
  <c r="R10" i="555"/>
  <c r="S10" i="555"/>
  <c r="T10" i="555"/>
  <c r="U10" i="555"/>
  <c r="V10" i="555"/>
  <c r="C3" i="554"/>
  <c r="D3" i="554"/>
  <c r="E3" i="554"/>
  <c r="F3" i="554"/>
  <c r="H3" i="554"/>
  <c r="I3" i="554"/>
  <c r="J3" i="554"/>
  <c r="K3" i="554"/>
  <c r="L3" i="554"/>
  <c r="M3" i="554"/>
  <c r="N3" i="554"/>
  <c r="O3" i="554"/>
  <c r="P3" i="554"/>
  <c r="Q3" i="554"/>
  <c r="R3" i="554"/>
  <c r="S3" i="554"/>
  <c r="T3" i="554"/>
  <c r="U3" i="554"/>
  <c r="V3" i="554"/>
  <c r="W3" i="554"/>
  <c r="X3" i="554"/>
  <c r="Y3" i="554"/>
  <c r="C31" i="554"/>
  <c r="D31" i="554"/>
  <c r="E31" i="554"/>
  <c r="F31" i="554"/>
  <c r="H31" i="554"/>
  <c r="I31" i="554"/>
  <c r="J31" i="554"/>
  <c r="K31" i="554"/>
  <c r="L31" i="554"/>
  <c r="M31" i="554"/>
  <c r="N31" i="554"/>
  <c r="O31" i="554"/>
  <c r="P31" i="554"/>
  <c r="Q31" i="554"/>
  <c r="R31" i="554"/>
  <c r="S31" i="554"/>
  <c r="T31" i="554"/>
  <c r="U31" i="554"/>
  <c r="C58" i="554"/>
  <c r="D58" i="554"/>
  <c r="E58" i="554"/>
  <c r="F58" i="554"/>
  <c r="H58" i="554"/>
  <c r="I58" i="554"/>
  <c r="J58" i="554"/>
  <c r="K58" i="554"/>
  <c r="L58" i="554"/>
  <c r="M58" i="554"/>
  <c r="N58" i="554"/>
  <c r="O58" i="554"/>
  <c r="P58" i="554"/>
  <c r="Q58" i="554"/>
  <c r="R58" i="554"/>
  <c r="S58" i="554"/>
  <c r="T58" i="554"/>
  <c r="U58" i="554"/>
  <c r="C67" i="554"/>
  <c r="D67" i="554"/>
  <c r="E67" i="554"/>
  <c r="F67" i="554"/>
  <c r="H67" i="554"/>
  <c r="I67" i="554"/>
  <c r="J67" i="554"/>
  <c r="K67" i="554"/>
  <c r="L67" i="554"/>
  <c r="M67" i="554"/>
  <c r="N67" i="554"/>
  <c r="O67" i="554"/>
  <c r="P67" i="554"/>
  <c r="Q67" i="554"/>
  <c r="R67" i="554"/>
  <c r="S67" i="554"/>
  <c r="T67" i="554"/>
  <c r="U67" i="554"/>
  <c r="W69" i="554"/>
  <c r="AA69" i="554"/>
  <c r="C70" i="554"/>
  <c r="D70" i="554"/>
  <c r="E70" i="554"/>
  <c r="F70" i="554"/>
  <c r="H70" i="554"/>
  <c r="I70" i="554"/>
  <c r="J70" i="554"/>
  <c r="K70" i="554"/>
  <c r="L70" i="554"/>
  <c r="M70" i="554"/>
  <c r="N70" i="554"/>
  <c r="O70" i="554"/>
  <c r="P70" i="554"/>
  <c r="Q70" i="554"/>
  <c r="R70" i="554"/>
  <c r="S70" i="554"/>
  <c r="T70" i="554"/>
  <c r="U70" i="554"/>
  <c r="P72" i="554"/>
  <c r="W74" i="554"/>
  <c r="C79" i="554"/>
  <c r="D79" i="554"/>
  <c r="E79" i="554"/>
  <c r="F79" i="554"/>
  <c r="H79" i="554"/>
  <c r="I79" i="554"/>
  <c r="J79" i="554"/>
  <c r="K79" i="554"/>
  <c r="L79" i="554"/>
  <c r="M79" i="554"/>
  <c r="N79" i="554"/>
  <c r="O79" i="554"/>
  <c r="P79" i="554"/>
  <c r="Q79" i="554"/>
  <c r="R79" i="554"/>
  <c r="S79" i="554"/>
  <c r="T79" i="554"/>
  <c r="U79" i="554"/>
  <c r="C81" i="554"/>
  <c r="D81" i="554"/>
  <c r="E81" i="554"/>
  <c r="F81" i="554"/>
  <c r="H81" i="554"/>
  <c r="I81" i="554"/>
  <c r="J81" i="554"/>
  <c r="K81" i="554"/>
  <c r="L81" i="554"/>
  <c r="M81" i="554"/>
  <c r="N81" i="554"/>
  <c r="O81" i="554"/>
  <c r="P81" i="554"/>
  <c r="Q81" i="554"/>
  <c r="R81" i="554"/>
  <c r="C82" i="554"/>
  <c r="D82" i="554"/>
  <c r="E82" i="554"/>
  <c r="F82" i="554"/>
  <c r="G82" i="554"/>
  <c r="H82" i="554"/>
  <c r="I82" i="554"/>
  <c r="J82" i="554"/>
  <c r="K82" i="554"/>
  <c r="L82" i="554"/>
  <c r="M82" i="554"/>
  <c r="N82" i="554"/>
  <c r="O82" i="554"/>
  <c r="P82" i="554"/>
  <c r="Q82" i="554"/>
  <c r="R82" i="554"/>
  <c r="P84" i="554"/>
  <c r="C3" i="553"/>
  <c r="D3" i="553"/>
  <c r="E3" i="553"/>
  <c r="F3" i="553"/>
  <c r="I3" i="553"/>
  <c r="J3" i="553"/>
  <c r="K3" i="553"/>
  <c r="L3" i="553"/>
  <c r="M3" i="553"/>
  <c r="N3" i="553"/>
  <c r="O3" i="553"/>
  <c r="P3" i="553"/>
  <c r="Q3" i="553"/>
  <c r="R3" i="553"/>
  <c r="S3" i="553"/>
  <c r="T3" i="553"/>
  <c r="U3" i="553"/>
  <c r="V3" i="553"/>
  <c r="C4" i="553"/>
  <c r="D4" i="553"/>
  <c r="E4" i="553"/>
  <c r="F4" i="553"/>
  <c r="I4" i="553"/>
  <c r="J4" i="553"/>
  <c r="K4" i="553"/>
  <c r="L4" i="553"/>
  <c r="M4" i="553"/>
  <c r="N4" i="553"/>
  <c r="O4" i="553"/>
  <c r="P4" i="553"/>
  <c r="Q4" i="553"/>
  <c r="R4" i="553"/>
  <c r="S4" i="553"/>
  <c r="T4" i="553"/>
  <c r="U4" i="553"/>
  <c r="V4" i="553"/>
  <c r="C7" i="553"/>
  <c r="D7" i="553"/>
  <c r="E7" i="553"/>
  <c r="F7" i="553"/>
  <c r="I7" i="553"/>
  <c r="J7" i="553"/>
  <c r="K7" i="553"/>
  <c r="L7" i="553"/>
  <c r="M7" i="553"/>
  <c r="N7" i="553"/>
  <c r="O7" i="553"/>
  <c r="P7" i="553"/>
  <c r="Q7" i="553"/>
  <c r="R7" i="553"/>
  <c r="S7" i="553"/>
  <c r="T7" i="553"/>
  <c r="U7" i="553"/>
  <c r="V7" i="553"/>
  <c r="C10" i="553"/>
  <c r="D10" i="553"/>
  <c r="E10" i="553"/>
  <c r="F10" i="553"/>
  <c r="I10" i="553"/>
  <c r="J10" i="553"/>
  <c r="K10" i="553"/>
  <c r="L10" i="553"/>
  <c r="M10" i="553"/>
  <c r="N10" i="553"/>
  <c r="O10" i="553"/>
  <c r="P10" i="553"/>
  <c r="Q10" i="553"/>
  <c r="R10" i="553"/>
  <c r="S10" i="553"/>
  <c r="T10" i="553"/>
  <c r="U10" i="553"/>
  <c r="V10" i="553"/>
  <c r="C3" i="552"/>
  <c r="D3" i="552"/>
  <c r="E3" i="552"/>
  <c r="F3" i="552"/>
  <c r="H3" i="552"/>
  <c r="I3" i="552"/>
  <c r="J3" i="552"/>
  <c r="K3" i="552"/>
  <c r="L3" i="552"/>
  <c r="M3" i="552"/>
  <c r="N3" i="552"/>
  <c r="O3" i="552"/>
  <c r="P3" i="552"/>
  <c r="Q3" i="552"/>
  <c r="R3" i="552"/>
  <c r="S3" i="552"/>
  <c r="T3" i="552"/>
  <c r="U3" i="552"/>
  <c r="V3" i="552"/>
  <c r="W3" i="552"/>
  <c r="X3" i="552"/>
  <c r="Y3" i="552"/>
  <c r="C31" i="552"/>
  <c r="D31" i="552"/>
  <c r="E31" i="552"/>
  <c r="F31" i="552"/>
  <c r="H31" i="552"/>
  <c r="I31" i="552"/>
  <c r="J31" i="552"/>
  <c r="K31" i="552"/>
  <c r="L31" i="552"/>
  <c r="M31" i="552"/>
  <c r="N31" i="552"/>
  <c r="O31" i="552"/>
  <c r="P31" i="552"/>
  <c r="Q31" i="552"/>
  <c r="R31" i="552"/>
  <c r="S31" i="552"/>
  <c r="T31" i="552"/>
  <c r="U31" i="552"/>
  <c r="C58" i="552"/>
  <c r="D58" i="552"/>
  <c r="E58" i="552"/>
  <c r="F58" i="552"/>
  <c r="H58" i="552"/>
  <c r="I58" i="552"/>
  <c r="J58" i="552"/>
  <c r="K58" i="552"/>
  <c r="L58" i="552"/>
  <c r="M58" i="552"/>
  <c r="N58" i="552"/>
  <c r="O58" i="552"/>
  <c r="P58" i="552"/>
  <c r="Q58" i="552"/>
  <c r="R58" i="552"/>
  <c r="S58" i="552"/>
  <c r="T58" i="552"/>
  <c r="U58" i="552"/>
  <c r="C67" i="552"/>
  <c r="D67" i="552"/>
  <c r="E67" i="552"/>
  <c r="F67" i="552"/>
  <c r="H67" i="552"/>
  <c r="I67" i="552"/>
  <c r="J67" i="552"/>
  <c r="K67" i="552"/>
  <c r="L67" i="552"/>
  <c r="M67" i="552"/>
  <c r="N67" i="552"/>
  <c r="O67" i="552"/>
  <c r="P67" i="552"/>
  <c r="Q67" i="552"/>
  <c r="R67" i="552"/>
  <c r="S67" i="552"/>
  <c r="T67" i="552"/>
  <c r="U67" i="552"/>
  <c r="W69" i="552"/>
  <c r="AA69" i="552"/>
  <c r="C70" i="552"/>
  <c r="D70" i="552"/>
  <c r="E70" i="552"/>
  <c r="F70" i="552"/>
  <c r="H70" i="552"/>
  <c r="I70" i="552"/>
  <c r="J70" i="552"/>
  <c r="K70" i="552"/>
  <c r="L70" i="552"/>
  <c r="M70" i="552"/>
  <c r="N70" i="552"/>
  <c r="O70" i="552"/>
  <c r="P70" i="552"/>
  <c r="Q70" i="552"/>
  <c r="R70" i="552"/>
  <c r="S70" i="552"/>
  <c r="T70" i="552"/>
  <c r="U70" i="552"/>
  <c r="P72" i="552"/>
  <c r="W74" i="552"/>
  <c r="C79" i="552"/>
  <c r="D79" i="552"/>
  <c r="E79" i="552"/>
  <c r="F79" i="552"/>
  <c r="H79" i="552"/>
  <c r="I79" i="552"/>
  <c r="J79" i="552"/>
  <c r="K79" i="552"/>
  <c r="L79" i="552"/>
  <c r="M79" i="552"/>
  <c r="N79" i="552"/>
  <c r="O79" i="552"/>
  <c r="P79" i="552"/>
  <c r="Q79" i="552"/>
  <c r="R79" i="552"/>
  <c r="S79" i="552"/>
  <c r="T79" i="552"/>
  <c r="U79" i="552"/>
  <c r="C81" i="552"/>
  <c r="D81" i="552"/>
  <c r="E81" i="552"/>
  <c r="F81" i="552"/>
  <c r="H81" i="552"/>
  <c r="I81" i="552"/>
  <c r="J81" i="552"/>
  <c r="K81" i="552"/>
  <c r="L81" i="552"/>
  <c r="M81" i="552"/>
  <c r="N81" i="552"/>
  <c r="O81" i="552"/>
  <c r="P81" i="552"/>
  <c r="Q81" i="552"/>
  <c r="R81" i="552"/>
  <c r="C82" i="552"/>
  <c r="D82" i="552"/>
  <c r="E82" i="552"/>
  <c r="F82" i="552"/>
  <c r="G82" i="552"/>
  <c r="H82" i="552"/>
  <c r="I82" i="552"/>
  <c r="J82" i="552"/>
  <c r="K82" i="552"/>
  <c r="L82" i="552"/>
  <c r="M82" i="552"/>
  <c r="N82" i="552"/>
  <c r="O82" i="552"/>
  <c r="P82" i="552"/>
  <c r="Q82" i="552"/>
  <c r="R82" i="552"/>
  <c r="P84" i="552"/>
  <c r="I15" i="602"/>
  <c r="F15" i="602"/>
  <c r="G15" i="602"/>
  <c r="E15" i="602"/>
  <c r="D15" i="602"/>
  <c r="C15" i="602"/>
  <c r="N3" i="603"/>
  <c r="J3" i="603"/>
  <c r="K3" i="603"/>
  <c r="L3" i="603"/>
  <c r="C3" i="603"/>
  <c r="E3" i="603"/>
  <c r="M76" i="603"/>
  <c r="M77" i="603"/>
  <c r="J76" i="603"/>
  <c r="J77" i="603"/>
  <c r="F76" i="603"/>
  <c r="F77" i="603"/>
  <c r="C76" i="603"/>
  <c r="R65" i="603"/>
  <c r="O65" i="603"/>
  <c r="M65" i="603"/>
  <c r="F65" i="603"/>
  <c r="C65" i="603"/>
  <c r="T3" i="603"/>
  <c r="R76" i="603"/>
  <c r="R77" i="603"/>
  <c r="Q76" i="603"/>
  <c r="Q77" i="603"/>
  <c r="O76" i="603"/>
  <c r="O77" i="603"/>
  <c r="N76" i="603"/>
  <c r="N77" i="603"/>
  <c r="K76" i="603"/>
  <c r="K77" i="603"/>
  <c r="I76" i="603"/>
  <c r="I77" i="603"/>
  <c r="E76" i="603"/>
  <c r="E77" i="603"/>
  <c r="D65" i="603"/>
  <c r="V3" i="603"/>
  <c r="P76" i="603"/>
  <c r="P77" i="603"/>
  <c r="L76" i="603"/>
  <c r="L77" i="603"/>
  <c r="H76" i="603"/>
  <c r="H77" i="603"/>
  <c r="D76" i="603"/>
  <c r="D77" i="603"/>
  <c r="S65" i="603"/>
  <c r="Q65" i="603"/>
  <c r="P65" i="603"/>
  <c r="N65" i="603"/>
  <c r="L65" i="603"/>
  <c r="J65" i="603"/>
  <c r="I65" i="603"/>
  <c r="H65" i="603"/>
  <c r="R17" i="602"/>
  <c r="C77" i="603"/>
  <c r="K65" i="603"/>
  <c r="E65" i="603"/>
  <c r="U3" i="603"/>
  <c r="P79" i="603"/>
  <c r="P67" i="603"/>
  <c r="W3" i="603"/>
  <c r="U64" i="603"/>
  <c r="Y64" i="603"/>
</calcChain>
</file>

<file path=xl/sharedStrings.xml><?xml version="1.0" encoding="utf-8"?>
<sst xmlns="http://schemas.openxmlformats.org/spreadsheetml/2006/main" count="3556" uniqueCount="230">
  <si>
    <t>유기농
백미
(        )</t>
    <phoneticPr fontId="2" type="noConversion"/>
  </si>
  <si>
    <t>1kg</t>
    <phoneticPr fontId="2" type="noConversion"/>
  </si>
  <si>
    <t>10kg</t>
    <phoneticPr fontId="2" type="noConversion"/>
  </si>
  <si>
    <t>1kg</t>
  </si>
  <si>
    <t>유기농
보리
(         )</t>
    <phoneticPr fontId="2" type="noConversion"/>
  </si>
  <si>
    <t>유기농
흑미
(         )</t>
    <phoneticPr fontId="2" type="noConversion"/>
  </si>
  <si>
    <t>유기농
기장
(         )</t>
    <phoneticPr fontId="2" type="noConversion"/>
  </si>
  <si>
    <t>유기농
귀리
(         )</t>
    <phoneticPr fontId="2" type="noConversion"/>
  </si>
  <si>
    <t>유기농
발아현미
(         )</t>
    <phoneticPr fontId="2" type="noConversion"/>
  </si>
  <si>
    <t>유기농
차조
(         )</t>
    <phoneticPr fontId="2" type="noConversion"/>
  </si>
  <si>
    <t>품목별 소계</t>
    <phoneticPr fontId="1" type="noConversion"/>
  </si>
  <si>
    <t>유기농
서리태
(         )</t>
    <phoneticPr fontId="2" type="noConversion"/>
  </si>
  <si>
    <t>유기농
쥐눈이콩
(         )</t>
    <phoneticPr fontId="2" type="noConversion"/>
  </si>
  <si>
    <t>땅끝
농협</t>
    <phoneticPr fontId="3" type="noConversion"/>
  </si>
  <si>
    <t>업체</t>
    <phoneticPr fontId="3" type="noConversion"/>
  </si>
  <si>
    <t>싱싱유통</t>
    <phoneticPr fontId="4" type="noConversion"/>
  </si>
  <si>
    <t>땅끝농협</t>
    <phoneticPr fontId="4" type="noConversion"/>
  </si>
  <si>
    <t>급식센터</t>
    <phoneticPr fontId="4" type="noConversion"/>
  </si>
  <si>
    <t>급식센터
입고</t>
    <phoneticPr fontId="1" type="noConversion"/>
  </si>
  <si>
    <t>유기농
찹쌀
(       )</t>
    <phoneticPr fontId="2" type="noConversion"/>
  </si>
  <si>
    <t>유기농
찹쌀현미
(         )</t>
    <phoneticPr fontId="2" type="noConversion"/>
  </si>
  <si>
    <t>유기농
현미
(        )</t>
    <phoneticPr fontId="2" type="noConversion"/>
  </si>
  <si>
    <t>1kg</t>
    <phoneticPr fontId="5" type="noConversion"/>
  </si>
  <si>
    <t>단가</t>
    <phoneticPr fontId="6" type="noConversion"/>
  </si>
  <si>
    <t>금액</t>
    <phoneticPr fontId="6" type="noConversion"/>
  </si>
  <si>
    <t>땅끝농협</t>
    <phoneticPr fontId="7" type="noConversion"/>
  </si>
  <si>
    <t>공공급식센터</t>
    <phoneticPr fontId="4" type="noConversion"/>
  </si>
  <si>
    <t>공공
급식
센터</t>
    <phoneticPr fontId="3" type="noConversion"/>
  </si>
  <si>
    <t>서정초등학교</t>
    <phoneticPr fontId="9" type="noConversion"/>
  </si>
  <si>
    <t>송지고등학교</t>
    <phoneticPr fontId="9" type="noConversion"/>
  </si>
  <si>
    <t>송지중앙어린이집</t>
    <phoneticPr fontId="9" type="noConversion"/>
  </si>
  <si>
    <t>송호초등학교</t>
    <phoneticPr fontId="9" type="noConversion"/>
  </si>
  <si>
    <t>어란진초등학교</t>
    <phoneticPr fontId="9" type="noConversion"/>
  </si>
  <si>
    <t>송지초등학교</t>
    <phoneticPr fontId="10" type="noConversion"/>
  </si>
  <si>
    <t>싱싱
유통</t>
    <phoneticPr fontId="11" type="noConversion"/>
  </si>
  <si>
    <t>송지중학교</t>
    <phoneticPr fontId="12" type="noConversion"/>
  </si>
  <si>
    <t>계곡중학교</t>
    <phoneticPr fontId="13" type="noConversion"/>
  </si>
  <si>
    <t>두륜중학교</t>
    <phoneticPr fontId="13" type="noConversion"/>
  </si>
  <si>
    <t>마산초등학교</t>
    <phoneticPr fontId="13" type="noConversion"/>
  </si>
  <si>
    <t>산이서초등학교</t>
    <phoneticPr fontId="13" type="noConversion"/>
  </si>
  <si>
    <t>산이중학교</t>
    <phoneticPr fontId="13" type="noConversion"/>
  </si>
  <si>
    <t>산이초등학교</t>
    <phoneticPr fontId="13" type="noConversion"/>
  </si>
  <si>
    <t>삼산초등학교</t>
    <phoneticPr fontId="13" type="noConversion"/>
  </si>
  <si>
    <t>옥천초등학교</t>
    <phoneticPr fontId="13" type="noConversion"/>
  </si>
  <si>
    <t>우수영초등학교</t>
    <phoneticPr fontId="13" type="noConversion"/>
  </si>
  <si>
    <t>해남공업고등학교</t>
    <phoneticPr fontId="13" type="noConversion"/>
  </si>
  <si>
    <t>해남동초등학교</t>
    <phoneticPr fontId="13" type="noConversion"/>
  </si>
  <si>
    <t>해남제일중학교</t>
    <phoneticPr fontId="13" type="noConversion"/>
  </si>
  <si>
    <t>해오름유치원</t>
    <phoneticPr fontId="13" type="noConversion"/>
  </si>
  <si>
    <t>화원초등학교</t>
    <phoneticPr fontId="13" type="noConversion"/>
  </si>
  <si>
    <t>북일초등학교</t>
    <phoneticPr fontId="14" type="noConversion"/>
  </si>
  <si>
    <t>우수영중학교</t>
    <phoneticPr fontId="14" type="noConversion"/>
  </si>
  <si>
    <t>북평초등학교</t>
    <phoneticPr fontId="15" type="noConversion"/>
  </si>
  <si>
    <t>동심어린이집</t>
    <phoneticPr fontId="13" type="noConversion"/>
  </si>
  <si>
    <t>공립해남어린이집</t>
    <phoneticPr fontId="16" type="noConversion"/>
  </si>
  <si>
    <t>황산초등학교</t>
    <phoneticPr fontId="13" type="noConversion"/>
  </si>
  <si>
    <t>공립해담어린이집</t>
    <phoneticPr fontId="17" type="noConversion"/>
  </si>
  <si>
    <t>색동어린이집</t>
    <phoneticPr fontId="17" type="noConversion"/>
  </si>
  <si>
    <t>미래클유치원</t>
    <phoneticPr fontId="17" type="noConversion"/>
  </si>
  <si>
    <t>코아루다사랑어린이집</t>
    <phoneticPr fontId="18" type="noConversion"/>
  </si>
  <si>
    <t>해남원광어린이집</t>
    <phoneticPr fontId="18" type="noConversion"/>
  </si>
  <si>
    <t>해남원광유치원</t>
    <phoneticPr fontId="18" type="noConversion"/>
  </si>
  <si>
    <t>현산초등학교</t>
    <phoneticPr fontId="13" type="noConversion"/>
  </si>
  <si>
    <t>공립시등어린이집</t>
    <phoneticPr fontId="13" type="noConversion"/>
  </si>
  <si>
    <t>천진어린이집</t>
    <phoneticPr fontId="19" type="noConversion"/>
  </si>
  <si>
    <t>신생어린이집</t>
    <phoneticPr fontId="19" type="noConversion"/>
  </si>
  <si>
    <t>둘리어린이집</t>
    <phoneticPr fontId="19" type="noConversion"/>
  </si>
  <si>
    <t>아트빌어린이집</t>
    <phoneticPr fontId="19" type="noConversion"/>
  </si>
  <si>
    <t>서림어린이집</t>
    <phoneticPr fontId="19" type="noConversion"/>
  </si>
  <si>
    <t>예닮어린이집</t>
    <phoneticPr fontId="19" type="noConversion"/>
  </si>
  <si>
    <t>리틀어린이집</t>
    <phoneticPr fontId="20" type="noConversion"/>
  </si>
  <si>
    <t>벧엘특수어린이집</t>
    <phoneticPr fontId="20" type="noConversion"/>
  </si>
  <si>
    <t>북평중학교</t>
    <phoneticPr fontId="20" type="noConversion"/>
  </si>
  <si>
    <t>현산중학교</t>
    <phoneticPr fontId="20" type="noConversion"/>
  </si>
  <si>
    <t>황산중학교</t>
    <phoneticPr fontId="20" type="noConversion"/>
  </si>
  <si>
    <t>현산남초등학교</t>
    <phoneticPr fontId="21" type="noConversion"/>
  </si>
  <si>
    <t>화산초등학교</t>
    <phoneticPr fontId="21" type="noConversion"/>
  </si>
  <si>
    <t>산이어린이집</t>
    <phoneticPr fontId="21" type="noConversion"/>
  </si>
  <si>
    <t>공립화원어린이집</t>
    <phoneticPr fontId="22" type="noConversion"/>
  </si>
  <si>
    <t>해남복지어린이집</t>
    <phoneticPr fontId="23" type="noConversion"/>
  </si>
  <si>
    <t>예찬어린이집</t>
    <phoneticPr fontId="24" type="noConversion"/>
  </si>
  <si>
    <t>화산중학교</t>
    <phoneticPr fontId="25" type="noConversion"/>
  </si>
  <si>
    <t>계곡초등학교</t>
    <phoneticPr fontId="26" type="noConversion"/>
  </si>
  <si>
    <t xml:space="preserve"> </t>
    <phoneticPr fontId="27" type="noConversion"/>
  </si>
  <si>
    <t>화산어린이집</t>
    <phoneticPr fontId="28" type="noConversion"/>
  </si>
  <si>
    <t>소면
(         )</t>
    <phoneticPr fontId="2" type="noConversion"/>
  </si>
  <si>
    <t>중면
(         )</t>
    <phoneticPr fontId="2" type="noConversion"/>
  </si>
  <si>
    <t>칼국수
(         )</t>
    <phoneticPr fontId="2" type="noConversion"/>
  </si>
  <si>
    <t>칼국수면
(        )</t>
    <phoneticPr fontId="2" type="noConversion"/>
  </si>
  <si>
    <t>화원고등학교</t>
    <phoneticPr fontId="29" type="noConversion"/>
  </si>
  <si>
    <t>화원중학교</t>
    <phoneticPr fontId="29" type="noConversion"/>
  </si>
  <si>
    <t>해남고등학교</t>
    <phoneticPr fontId="29" type="noConversion"/>
  </si>
  <si>
    <t>해남중학교</t>
    <phoneticPr fontId="29" type="noConversion"/>
  </si>
  <si>
    <t>해남서초등학교</t>
    <phoneticPr fontId="29" type="noConversion"/>
  </si>
  <si>
    <t>공립한듬어린이집</t>
    <phoneticPr fontId="29" type="noConversion"/>
  </si>
  <si>
    <t>유기농
수수
(         )</t>
    <phoneticPr fontId="2" type="noConversion"/>
  </si>
  <si>
    <t>유기농
기장
(박태일)</t>
    <phoneticPr fontId="2" type="noConversion"/>
  </si>
  <si>
    <t>유기농
백미
천지향
(         )</t>
    <phoneticPr fontId="4" type="noConversion"/>
  </si>
  <si>
    <t>유기농
찹쌀
(           )</t>
    <phoneticPr fontId="2" type="noConversion"/>
  </si>
  <si>
    <t>유기농
흑미
(박태일)</t>
    <phoneticPr fontId="2" type="noConversion"/>
  </si>
  <si>
    <t>유기농
보리
(김종원)</t>
    <phoneticPr fontId="2" type="noConversion"/>
  </si>
  <si>
    <t>유기농
귀리
(박태일)</t>
    <phoneticPr fontId="2" type="noConversion"/>
  </si>
  <si>
    <t>유기농
차조
(신승철)</t>
    <phoneticPr fontId="2" type="noConversion"/>
  </si>
  <si>
    <t>유기농
서리태
(이관)</t>
    <phoneticPr fontId="2" type="noConversion"/>
  </si>
  <si>
    <t>유기농
발아현미
(곽해용)</t>
    <phoneticPr fontId="2" type="noConversion"/>
  </si>
  <si>
    <t>유기농
쥐눈이콩
(신승철)</t>
    <phoneticPr fontId="2" type="noConversion"/>
  </si>
  <si>
    <t>유기농
수수
(윤영식)</t>
    <phoneticPr fontId="2" type="noConversion"/>
  </si>
  <si>
    <t>1/2(금)
해남군공공급식
(1/5~1/8 발주량)</t>
    <phoneticPr fontId="5" type="noConversion"/>
  </si>
  <si>
    <t>1/9(금)
해남군공공급식
(1/12~1/16 발주량)</t>
    <phoneticPr fontId="5" type="noConversion"/>
  </si>
  <si>
    <t>1/16(금)
해남군공공급식
(1/19~1/23 발주량)</t>
    <phoneticPr fontId="5" type="noConversion"/>
  </si>
  <si>
    <t>1/23(금)
해남군공공급식
(1/26~1/30 발주량)</t>
    <phoneticPr fontId="5" type="noConversion"/>
  </si>
  <si>
    <t>1/30(금)
해남군공공급식
(2/2~2/6 발주량)</t>
    <phoneticPr fontId="5" type="noConversion"/>
  </si>
  <si>
    <t>2/6(금)
해남군공공급식
(2/9~2/13 발주량)</t>
    <phoneticPr fontId="5" type="noConversion"/>
  </si>
  <si>
    <t>2/13(금)
해남군공공급식
(2/16~2/20 발주량)</t>
    <phoneticPr fontId="5" type="noConversion"/>
  </si>
  <si>
    <t>유기농
차조
(임정옥)</t>
    <phoneticPr fontId="2" type="noConversion"/>
  </si>
  <si>
    <t>유기농
팥
(신승철)</t>
    <phoneticPr fontId="2" type="noConversion"/>
  </si>
  <si>
    <t>2/20(금)
해남군공공급식
(2/23~2/27 발주량)</t>
    <phoneticPr fontId="5" type="noConversion"/>
  </si>
  <si>
    <t>2/27(금)
해남군공공급식
(3/3~3/6 발주량)</t>
    <phoneticPr fontId="5" type="noConversion"/>
  </si>
  <si>
    <t>참솔</t>
    <phoneticPr fontId="3" type="noConversion"/>
  </si>
  <si>
    <t>유기농
팥
(         )</t>
    <phoneticPr fontId="2" type="noConversion"/>
  </si>
  <si>
    <t xml:space="preserve">
(         )</t>
    <phoneticPr fontId="2" type="noConversion"/>
  </si>
  <si>
    <t>송지초등학교</t>
    <phoneticPr fontId="9" type="noConversion"/>
  </si>
  <si>
    <t>송호초등학교</t>
    <phoneticPr fontId="12" type="noConversion"/>
  </si>
  <si>
    <t>어란진초등학교</t>
    <phoneticPr fontId="10" type="noConversion"/>
  </si>
  <si>
    <t>해남제일중학교</t>
    <phoneticPr fontId="9" type="noConversion"/>
  </si>
  <si>
    <t>송지중학교</t>
    <phoneticPr fontId="9" type="noConversion"/>
  </si>
  <si>
    <t>해남공업고등학교</t>
    <phoneticPr fontId="9" type="noConversion"/>
  </si>
  <si>
    <t>공립해남어린이집</t>
    <phoneticPr fontId="38" type="noConversion"/>
  </si>
  <si>
    <t>공립화원어린이집</t>
    <phoneticPr fontId="38" type="noConversion"/>
  </si>
  <si>
    <t>리틀어린이집</t>
    <phoneticPr fontId="38" type="noConversion"/>
  </si>
  <si>
    <t>벧엘특수어린이집</t>
    <phoneticPr fontId="38" type="noConversion"/>
  </si>
  <si>
    <t>산이어린이집</t>
    <phoneticPr fontId="38" type="noConversion"/>
  </si>
  <si>
    <t>색동어린이집</t>
    <phoneticPr fontId="38" type="noConversion"/>
  </si>
  <si>
    <t>서림어린이집</t>
    <phoneticPr fontId="38" type="noConversion"/>
  </si>
  <si>
    <t>시등어린이집</t>
    <phoneticPr fontId="38" type="noConversion"/>
  </si>
  <si>
    <t>신생어린이집</t>
    <phoneticPr fontId="38" type="noConversion"/>
  </si>
  <si>
    <t>천진어린이집</t>
    <phoneticPr fontId="38" type="noConversion"/>
  </si>
  <si>
    <t>화산어린이집</t>
    <phoneticPr fontId="38" type="noConversion"/>
  </si>
  <si>
    <t>한듬어린이집</t>
    <phoneticPr fontId="38" type="noConversion"/>
  </si>
  <si>
    <t>해남원광어린이집</t>
    <phoneticPr fontId="38" type="noConversion"/>
  </si>
  <si>
    <t>동심어린이집</t>
    <phoneticPr fontId="38" type="noConversion"/>
  </si>
  <si>
    <t>아트빌어린이집</t>
    <phoneticPr fontId="38" type="noConversion"/>
  </si>
  <si>
    <t>예닮어린이집</t>
    <phoneticPr fontId="38" type="noConversion"/>
  </si>
  <si>
    <t>해담어린이집</t>
    <phoneticPr fontId="38" type="noConversion"/>
  </si>
  <si>
    <t>예찬어린이집</t>
    <phoneticPr fontId="38" type="noConversion"/>
  </si>
  <si>
    <t>미래클유치원</t>
    <phoneticPr fontId="38" type="noConversion"/>
  </si>
  <si>
    <t>원광유치원</t>
    <phoneticPr fontId="38" type="noConversion"/>
  </si>
  <si>
    <t>현산초등학교</t>
    <phoneticPr fontId="38" type="noConversion"/>
  </si>
  <si>
    <t>북평초등학교</t>
    <phoneticPr fontId="38" type="noConversion"/>
  </si>
  <si>
    <t>북일초등학교</t>
    <phoneticPr fontId="38" type="noConversion"/>
  </si>
  <si>
    <t>마산초등학교</t>
    <phoneticPr fontId="38" type="noConversion"/>
  </si>
  <si>
    <t>황산초등학교</t>
    <phoneticPr fontId="38" type="noConversion"/>
  </si>
  <si>
    <t>산이초등학교</t>
    <phoneticPr fontId="38" type="noConversion"/>
  </si>
  <si>
    <t>산이서초등학교</t>
    <phoneticPr fontId="38" type="noConversion"/>
  </si>
  <si>
    <t>우수영초등학교</t>
    <phoneticPr fontId="38" type="noConversion"/>
  </si>
  <si>
    <t>화원초등학교</t>
    <phoneticPr fontId="38" type="noConversion"/>
  </si>
  <si>
    <t>북평중학교</t>
    <phoneticPr fontId="38" type="noConversion"/>
  </si>
  <si>
    <t>황산중학교</t>
    <phoneticPr fontId="38" type="noConversion"/>
  </si>
  <si>
    <t>산이중학교</t>
    <phoneticPr fontId="38" type="noConversion"/>
  </si>
  <si>
    <t>현산중학교</t>
    <phoneticPr fontId="38" type="noConversion"/>
  </si>
  <si>
    <t>두륜중학교</t>
    <phoneticPr fontId="38" type="noConversion"/>
  </si>
  <si>
    <t>우수영중학교</t>
    <phoneticPr fontId="38" type="noConversion"/>
  </si>
  <si>
    <t>화원중학교</t>
    <phoneticPr fontId="38" type="noConversion"/>
  </si>
  <si>
    <t>화원고등학교</t>
    <phoneticPr fontId="38" type="noConversion"/>
  </si>
  <si>
    <t>해남고등학교</t>
    <phoneticPr fontId="38" type="noConversion"/>
  </si>
  <si>
    <t>해오름유치원</t>
    <phoneticPr fontId="38" type="noConversion"/>
  </si>
  <si>
    <t>해남동초등학교</t>
    <phoneticPr fontId="38" type="noConversion"/>
  </si>
  <si>
    <t>해남서초등학교</t>
    <phoneticPr fontId="38" type="noConversion"/>
  </si>
  <si>
    <t>삼산초등학교</t>
    <phoneticPr fontId="38" type="noConversion"/>
  </si>
  <si>
    <t>화산초등학교</t>
    <phoneticPr fontId="38" type="noConversion"/>
  </si>
  <si>
    <t>옥천초등학교</t>
    <phoneticPr fontId="38" type="noConversion"/>
  </si>
  <si>
    <t>계곡초등학교</t>
    <phoneticPr fontId="38" type="noConversion"/>
  </si>
  <si>
    <t>해남중학교</t>
    <phoneticPr fontId="38" type="noConversion"/>
  </si>
  <si>
    <t>화산중학교</t>
    <phoneticPr fontId="38" type="noConversion"/>
  </si>
  <si>
    <t>참솔</t>
    <phoneticPr fontId="7" type="noConversion"/>
  </si>
  <si>
    <t>참솔</t>
    <phoneticPr fontId="4" type="noConversion"/>
  </si>
  <si>
    <t>3/6(금)
해남군공공급식
(3/9~3/13 발주량)</t>
    <phoneticPr fontId="5" type="noConversion"/>
  </si>
  <si>
    <t>3/13(금)
해남군공공급식
(3/16~3/20 발주량)</t>
    <phoneticPr fontId="5" type="noConversion"/>
  </si>
  <si>
    <t>해남공고 선입고 완료</t>
    <phoneticPr fontId="40" type="noConversion"/>
  </si>
  <si>
    <t>송지고 보관 요청</t>
    <phoneticPr fontId="40" type="noConversion"/>
  </si>
  <si>
    <t>화산초 찰현미 선입고 요청</t>
    <phoneticPr fontId="40" type="noConversion"/>
  </si>
  <si>
    <t>화산초 찰현미 선입고 완료</t>
    <phoneticPr fontId="41" type="noConversion"/>
  </si>
  <si>
    <t>유기농
서리태
(신승철)</t>
    <phoneticPr fontId="2" type="noConversion"/>
  </si>
  <si>
    <t>유기농
흑미
(오점기)</t>
    <phoneticPr fontId="2" type="noConversion"/>
  </si>
  <si>
    <t>3/20(금)
해남군공공급식
(3/23~3/27 발주량)</t>
    <phoneticPr fontId="5" type="noConversion"/>
  </si>
  <si>
    <t>3/27(금)
해남군공공급식
(3/30~4/3 발주량)</t>
    <phoneticPr fontId="5" type="noConversion"/>
  </si>
  <si>
    <t>해오름 선입고 완료</t>
    <phoneticPr fontId="41" type="noConversion"/>
  </si>
  <si>
    <t>공립시등어린이집</t>
    <phoneticPr fontId="38" type="noConversion"/>
  </si>
  <si>
    <t>공립한듬어린이집</t>
    <phoneticPr fontId="38" type="noConversion"/>
  </si>
  <si>
    <t>공립해담어린이집</t>
    <phoneticPr fontId="38" type="noConversion"/>
  </si>
  <si>
    <t>유기농
발아현미
(박오주)</t>
    <phoneticPr fontId="2" type="noConversion"/>
  </si>
  <si>
    <t>유기농
서리태
(       )</t>
    <phoneticPr fontId="2" type="noConversion"/>
  </si>
  <si>
    <t>4/3(금)
해남군공공급식
(4/6~4/10 발주량)</t>
    <phoneticPr fontId="5" type="noConversion"/>
  </si>
  <si>
    <t>해남고등학교 보관 요청</t>
    <phoneticPr fontId="43" type="noConversion"/>
  </si>
  <si>
    <t>4/10(금)
해남군공공급식
(4/13~4/17 발주량)</t>
    <phoneticPr fontId="5" type="noConversion"/>
  </si>
  <si>
    <t>4/17(금)
해남군공공급식
(4/20~4/24 발주량)</t>
    <phoneticPr fontId="5" type="noConversion"/>
  </si>
  <si>
    <t>북평초 선입고 요청</t>
    <phoneticPr fontId="45" type="noConversion"/>
  </si>
  <si>
    <t>4/24(금)
해남군공공급식
(4/27~4/30 발주량)</t>
    <phoneticPr fontId="5" type="noConversion"/>
  </si>
  <si>
    <t>화원중 후입고</t>
    <phoneticPr fontId="46" type="noConversion"/>
  </si>
  <si>
    <t>해남고(4/28,4/29)</t>
    <phoneticPr fontId="46" type="noConversion"/>
  </si>
  <si>
    <t>화원중 후입고 건</t>
    <phoneticPr fontId="46" type="noConversion"/>
  </si>
  <si>
    <t>북평초 선입고 완료</t>
    <phoneticPr fontId="47" type="noConversion"/>
  </si>
  <si>
    <t>4/30(목)
해남군공공급식
(5/4~5/8 발주량)</t>
    <phoneticPr fontId="5" type="noConversion"/>
  </si>
  <si>
    <t>5/8(금)
해남군공공급식
(5/11~5/15 발주량)</t>
    <phoneticPr fontId="5" type="noConversion"/>
  </si>
  <si>
    <t>5/15(금)
해남군공공급식
(5/18~5/22 발주량)</t>
    <phoneticPr fontId="5" type="noConversion"/>
  </si>
  <si>
    <t>5/22(금)
해남군공공급식
(5/25~5/29 발주량)</t>
    <phoneticPr fontId="5" type="noConversion"/>
  </si>
  <si>
    <t>5/29(금)
해남군공공급식
(6/1~6/5 발주량)</t>
    <phoneticPr fontId="5" type="noConversion"/>
  </si>
  <si>
    <t>6/5(금)
해남군공공급식
(6/8~6/12 발주량)</t>
    <phoneticPr fontId="5" type="noConversion"/>
  </si>
  <si>
    <t>산이중 선입고 완료</t>
    <phoneticPr fontId="52" type="noConversion"/>
  </si>
  <si>
    <t>해남고 후입고 건</t>
    <phoneticPr fontId="52" type="noConversion"/>
  </si>
  <si>
    <t>6/12(금)
해남군공공급식
(6/15~6/19 발주량)</t>
    <phoneticPr fontId="5" type="noConversion"/>
  </si>
  <si>
    <t>해남고 후입고 요청 (6/24)</t>
    <phoneticPr fontId="53" type="noConversion"/>
  </si>
  <si>
    <t>농가명</t>
  </si>
  <si>
    <t>포장지</t>
    <phoneticPr fontId="56" type="noConversion"/>
  </si>
  <si>
    <t>중량</t>
  </si>
  <si>
    <t>10kg</t>
    <phoneticPr fontId="56" type="noConversion"/>
  </si>
  <si>
    <t>1kg</t>
    <phoneticPr fontId="56" type="noConversion"/>
  </si>
  <si>
    <t>(발주처)</t>
    <phoneticPr fontId="56" type="noConversion"/>
  </si>
  <si>
    <t>(수령인)</t>
    <phoneticPr fontId="56" type="noConversion"/>
  </si>
  <si>
    <t>26/06/19
(금)</t>
    <phoneticPr fontId="55" type="noConversion"/>
  </si>
  <si>
    <t>유기농
백미
천지향5세
(         )</t>
    <phoneticPr fontId="4" type="noConversion"/>
  </si>
  <si>
    <t>해남급식</t>
    <phoneticPr fontId="54" type="noConversion"/>
  </si>
  <si>
    <t>싱싱유통</t>
    <phoneticPr fontId="54" type="noConversion"/>
  </si>
  <si>
    <t>급식센터</t>
    <phoneticPr fontId="54" type="noConversion"/>
  </si>
  <si>
    <t>땅끝농협</t>
    <phoneticPr fontId="54" type="noConversion"/>
  </si>
  <si>
    <t>참솔</t>
    <phoneticPr fontId="54" type="noConversion"/>
  </si>
  <si>
    <t>해남고등학교</t>
    <phoneticPr fontId="54" type="noConversion"/>
  </si>
  <si>
    <t>보관요청</t>
    <phoneticPr fontId="54" type="noConversion"/>
  </si>
  <si>
    <t>6/19(금)
해남군공공급식
(6/22~6/26 발주량)</t>
    <phoneticPr fontId="5" type="noConversion"/>
  </si>
  <si>
    <t>소계</t>
    <phoneticPr fontId="5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</si>
</sst>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mm&quot;월&quot;\ dd&quot;일&quot;"/>
    <numFmt numFmtId="177" formatCode="0_);[Red]\(0\)"/>
    <numFmt numFmtId="180" formatCode="0.0_);[Red]\(0.0\)"/>
    <numFmt numFmtId="184" formatCode="#,##0_);[Red]\(#,##0\)"/>
  </numFmts>
  <fonts count="8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0"/>
      <name val="Arial"/>
      <family val="2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3"/>
      <color rgb="FF00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trike/>
      <sz val="15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15"/>
      <color rgb="FFFF0000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22"/>
      <color rgb="FFFF0000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strike/>
      <sz val="15"/>
      <color rgb="FFFF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3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b/>
      <sz val="22"/>
      <color rgb="FF000000"/>
      <name val="맑은 고딕"/>
      <family val="3"/>
      <charset val="129"/>
    </font>
    <font>
      <b/>
      <sz val="20"/>
      <color rgb="FFFF0000"/>
      <name val="맑은 고딕"/>
      <family val="3"/>
      <charset val="129"/>
    </font>
    <font>
      <b/>
      <sz val="22"/>
      <color rgb="FFFF0000"/>
      <name val="맑은 고딕"/>
      <family val="3"/>
      <charset val="129"/>
    </font>
    <font>
      <b/>
      <sz val="12"/>
      <color rgb="FFFF0000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8"/>
      <color rgb="FF000000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6337778862885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14999847407452621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ck">
        <color theme="9" tint="-0.24994659260841701"/>
      </top>
      <bottom style="thin">
        <color indexed="64"/>
      </bottom>
      <diagonal/>
    </border>
    <border>
      <left style="thin">
        <color indexed="64"/>
      </left>
      <right style="thick">
        <color theme="9" tint="-0.24994659260841701"/>
      </right>
      <top style="thick">
        <color theme="9" tint="-0.24994659260841701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ck">
        <color theme="9" tint="-0.24994659260841701"/>
      </right>
      <top/>
      <bottom style="thin">
        <color indexed="64"/>
      </bottom>
      <diagonal/>
    </border>
    <border>
      <left style="thick">
        <color theme="9" tint="-0.24994659260841701"/>
      </left>
      <right style="thin">
        <color indexed="64"/>
      </right>
      <top style="thick">
        <color theme="9" tint="-0.24994659260841701"/>
      </top>
      <bottom style="thin">
        <color indexed="64"/>
      </bottom>
      <diagonal/>
    </border>
    <border>
      <left style="thick">
        <color theme="9" tint="-0.24994659260841701"/>
      </left>
      <right style="thin">
        <color indexed="64"/>
      </right>
      <top/>
      <bottom style="thin">
        <color indexed="64"/>
      </bottom>
      <diagonal/>
    </border>
    <border>
      <left style="thick">
        <color theme="9" tint="-0.24994659260841701"/>
      </left>
      <right style="thin">
        <color rgb="FF000000"/>
      </right>
      <top/>
      <bottom style="thick">
        <color theme="9" tint="-0.24994659260841701"/>
      </bottom>
      <diagonal/>
    </border>
    <border>
      <left style="thin">
        <color rgb="FF000000"/>
      </left>
      <right style="thin">
        <color rgb="FF000000"/>
      </right>
      <top/>
      <bottom style="thick">
        <color theme="9" tint="-0.2499465926084170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FFC000"/>
      </left>
      <right/>
      <top/>
      <bottom/>
      <diagonal/>
    </border>
    <border>
      <left/>
      <right/>
      <top style="thick">
        <color rgb="FFFFC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C000"/>
      </bottom>
      <diagonal/>
    </border>
    <border>
      <left/>
      <right/>
      <top/>
      <bottom style="thick">
        <color rgb="FFFFC000"/>
      </bottom>
      <diagonal/>
    </border>
    <border>
      <left style="thin">
        <color indexed="64"/>
      </left>
      <right style="thin">
        <color indexed="64"/>
      </right>
      <top style="thick">
        <color rgb="FFFFC000"/>
      </top>
      <bottom style="thin">
        <color indexed="64"/>
      </bottom>
      <diagonal/>
    </border>
    <border>
      <left style="thick">
        <color rgb="FFFFC000"/>
      </left>
      <right style="thin">
        <color indexed="64"/>
      </right>
      <top style="thick">
        <color rgb="FFFFC000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ck">
        <color rgb="FFFFC000"/>
      </left>
      <right style="thin">
        <color theme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thick">
        <color rgb="FFFFC000"/>
      </left>
      <right/>
      <top/>
      <bottom style="thick">
        <color rgb="FFFFC000"/>
      </bottom>
      <diagonal/>
    </border>
    <border>
      <left style="thin">
        <color theme="1"/>
      </left>
      <right style="thin">
        <color theme="1"/>
      </right>
      <top style="thick">
        <color rgb="FF7030A0"/>
      </top>
      <bottom style="thin">
        <color theme="1"/>
      </bottom>
      <diagonal/>
    </border>
    <border>
      <left style="thin">
        <color theme="1"/>
      </left>
      <right style="thick">
        <color rgb="FF7030A0"/>
      </right>
      <top style="thick">
        <color rgb="FF7030A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ck">
        <color rgb="FF7030A0"/>
      </bottom>
      <diagonal/>
    </border>
    <border>
      <left style="thin">
        <color theme="1"/>
      </left>
      <right style="thick">
        <color rgb="FF7030A0"/>
      </right>
      <top style="thin">
        <color theme="1"/>
      </top>
      <bottom style="thick">
        <color rgb="FF7030A0"/>
      </bottom>
      <diagonal/>
    </border>
    <border>
      <left style="thin">
        <color indexed="64"/>
      </left>
      <right style="thick">
        <color rgb="FFFFC000"/>
      </right>
      <top style="thick">
        <color rgb="FFFFC000"/>
      </top>
      <bottom style="thin">
        <color indexed="64"/>
      </bottom>
      <diagonal/>
    </border>
    <border>
      <left/>
      <right style="thick">
        <color rgb="FFFFC000"/>
      </right>
      <top/>
      <bottom/>
      <diagonal/>
    </border>
    <border>
      <left style="thin">
        <color indexed="64"/>
      </left>
      <right style="thick">
        <color rgb="FFFFC000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ck">
        <color rgb="FFFFC000"/>
      </right>
      <top style="medium">
        <color indexed="64"/>
      </top>
      <bottom/>
      <diagonal/>
    </border>
    <border>
      <left/>
      <right style="thick">
        <color rgb="FFFFC000"/>
      </right>
      <top/>
      <bottom style="thick">
        <color rgb="FFFFC000"/>
      </bottom>
      <diagonal/>
    </border>
    <border>
      <left style="thin">
        <color rgb="FF000000"/>
      </left>
      <right style="thick">
        <color theme="9" tint="-0.24994659260841701"/>
      </right>
      <top/>
      <bottom style="thick">
        <color theme="9" tint="-0.24994659260841701"/>
      </bottom>
      <diagonal/>
    </border>
    <border>
      <left style="thin">
        <color theme="1"/>
      </left>
      <right style="thin">
        <color theme="1"/>
      </right>
      <top style="thick">
        <color rgb="FF00B050"/>
      </top>
      <bottom style="thin">
        <color theme="1"/>
      </bottom>
      <diagonal/>
    </border>
    <border>
      <left style="thin">
        <color theme="1"/>
      </left>
      <right style="thick">
        <color rgb="FF00B050"/>
      </right>
      <top style="thick">
        <color rgb="FF00B05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ck">
        <color rgb="FF00B050"/>
      </bottom>
      <diagonal/>
    </border>
    <border>
      <left style="thin">
        <color theme="1"/>
      </left>
      <right style="thick">
        <color rgb="FF00B050"/>
      </right>
      <top style="thin">
        <color theme="1"/>
      </top>
      <bottom style="thick">
        <color rgb="FF00B050"/>
      </bottom>
      <diagonal/>
    </border>
    <border>
      <left style="thick">
        <color rgb="FFFFC000"/>
      </left>
      <right/>
      <top style="medium">
        <color indexed="64"/>
      </top>
      <bottom/>
      <diagonal/>
    </border>
    <border>
      <left/>
      <right style="thick">
        <color rgb="FFFFC000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ck">
        <color rgb="FF7030A0"/>
      </right>
      <top/>
      <bottom/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rgb="FF7030A0"/>
      </left>
      <right/>
      <top style="thick">
        <color rgb="FF7030A0"/>
      </top>
      <bottom style="thin">
        <color theme="1"/>
      </bottom>
      <diagonal/>
    </border>
    <border>
      <left/>
      <right style="thin">
        <color theme="1"/>
      </right>
      <top style="thick">
        <color rgb="FF7030A0"/>
      </top>
      <bottom style="thin">
        <color theme="1"/>
      </bottom>
      <diagonal/>
    </border>
    <border>
      <left style="thick">
        <color rgb="FF7030A0"/>
      </left>
      <right/>
      <top style="thin">
        <color theme="1"/>
      </top>
      <bottom style="thick">
        <color rgb="FF7030A0"/>
      </bottom>
      <diagonal/>
    </border>
    <border>
      <left/>
      <right style="thin">
        <color theme="1"/>
      </right>
      <top style="thin">
        <color theme="1"/>
      </top>
      <bottom style="thick">
        <color rgb="FF7030A0"/>
      </bottom>
      <diagonal/>
    </border>
    <border>
      <left style="thin">
        <color indexed="64"/>
      </left>
      <right/>
      <top style="thin">
        <color indexed="64"/>
      </top>
      <bottom style="thick">
        <color rgb="FFFF0000"/>
      </bottom>
      <diagonal/>
    </border>
    <border>
      <left/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ck">
        <color rgb="FFFF0000"/>
      </left>
      <right/>
      <top style="thick">
        <color rgb="FFFF0000"/>
      </top>
      <bottom style="thin">
        <color indexed="64"/>
      </bottom>
      <diagonal/>
    </border>
    <border>
      <left/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/>
      <top style="thin">
        <color indexed="64"/>
      </top>
      <bottom style="thick">
        <color rgb="FFFF0000"/>
      </bottom>
      <diagonal/>
    </border>
    <border>
      <left style="thick">
        <color rgb="FFFFC000"/>
      </left>
      <right/>
      <top style="thick">
        <color rgb="FFFFC000"/>
      </top>
      <bottom style="thin">
        <color indexed="64"/>
      </bottom>
      <diagonal/>
    </border>
    <border>
      <left/>
      <right style="thin">
        <color indexed="64"/>
      </right>
      <top style="thick">
        <color rgb="FFFFC000"/>
      </top>
      <bottom style="thin">
        <color indexed="64"/>
      </bottom>
      <diagonal/>
    </border>
    <border>
      <left style="thick">
        <color rgb="FFFFC000"/>
      </left>
      <right/>
      <top style="thin">
        <color indexed="64"/>
      </top>
      <bottom style="thick">
        <color rgb="FFFFC000"/>
      </bottom>
      <diagonal/>
    </border>
    <border>
      <left/>
      <right style="thin">
        <color indexed="64"/>
      </right>
      <top style="thin">
        <color indexed="64"/>
      </top>
      <bottom style="thick">
        <color rgb="FFFFC000"/>
      </bottom>
      <diagonal/>
    </border>
    <border>
      <left style="thick">
        <color rgb="FF00B050"/>
      </left>
      <right/>
      <top style="thin">
        <color theme="1"/>
      </top>
      <bottom style="thick">
        <color rgb="FF00B050"/>
      </bottom>
      <diagonal/>
    </border>
    <border>
      <left/>
      <right style="thin">
        <color theme="1"/>
      </right>
      <top style="thin">
        <color theme="1"/>
      </top>
      <bottom style="thick">
        <color rgb="FF00B050"/>
      </bottom>
      <diagonal/>
    </border>
    <border>
      <left style="thick">
        <color rgb="FF00B050"/>
      </left>
      <right/>
      <top style="thick">
        <color rgb="FF00B050"/>
      </top>
      <bottom style="thin">
        <color theme="1"/>
      </bottom>
      <diagonal/>
    </border>
    <border>
      <left/>
      <right style="thin">
        <color theme="1"/>
      </right>
      <top style="thick">
        <color rgb="FF00B050"/>
      </top>
      <bottom style="thin">
        <color theme="1"/>
      </bottom>
      <diagonal/>
    </border>
    <border>
      <left style="thick">
        <color rgb="FF7030A0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ck">
        <color theme="9" tint="-0.24994659260841701"/>
      </right>
      <top style="thin">
        <color indexed="64"/>
      </top>
      <bottom/>
      <diagonal/>
    </border>
    <border>
      <left style="thin">
        <color indexed="64"/>
      </left>
      <right style="thick">
        <color theme="9" tint="-0.24994659260841701"/>
      </right>
      <top/>
      <bottom/>
      <diagonal/>
    </border>
    <border>
      <left style="thick">
        <color rgb="FFFF0000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8" fillId="0" borderId="0" applyNumberFormat="0" applyFont="0" applyFill="0" applyBorder="0" applyAlignment="0" applyProtection="0"/>
  </cellStyleXfs>
  <cellXfs count="311">
    <xf numFmtId="0" fontId="0" fillId="0" borderId="0" xfId="0">
      <alignment vertical="center"/>
    </xf>
    <xf numFmtId="176" fontId="61" fillId="0" borderId="1" xfId="0" quotePrefix="1" applyNumberFormat="1" applyFont="1" applyFill="1" applyBorder="1" applyAlignment="1">
      <alignment horizontal="center" vertical="center" shrinkToFit="1" readingOrder="1"/>
    </xf>
    <xf numFmtId="177" fontId="62" fillId="2" borderId="1" xfId="0" quotePrefix="1" applyNumberFormat="1" applyFont="1" applyFill="1" applyBorder="1" applyAlignment="1">
      <alignment horizontal="center" vertical="center" shrinkToFit="1" readingOrder="1"/>
    </xf>
    <xf numFmtId="0" fontId="63" fillId="0" borderId="1" xfId="0" quotePrefix="1" applyFont="1" applyBorder="1" applyAlignment="1">
      <alignment horizontal="center" vertical="center"/>
    </xf>
    <xf numFmtId="177" fontId="0" fillId="0" borderId="0" xfId="0" applyNumberFormat="1">
      <alignment vertical="center"/>
    </xf>
    <xf numFmtId="176" fontId="63" fillId="3" borderId="1" xfId="0" quotePrefix="1" applyNumberFormat="1" applyFont="1" applyFill="1" applyBorder="1" applyAlignment="1">
      <alignment horizontal="center" vertical="center" wrapText="1" readingOrder="1"/>
    </xf>
    <xf numFmtId="176" fontId="61" fillId="3" borderId="1" xfId="0" quotePrefix="1" applyNumberFormat="1" applyFont="1" applyFill="1" applyBorder="1" applyAlignment="1">
      <alignment horizontal="center" vertical="center" shrinkToFit="1" readingOrder="1"/>
    </xf>
    <xf numFmtId="0" fontId="64" fillId="4" borderId="1" xfId="0" applyFont="1" applyFill="1" applyBorder="1" applyAlignment="1">
      <alignment horizontal="center" vertical="center"/>
    </xf>
    <xf numFmtId="176" fontId="63" fillId="0" borderId="0" xfId="0" quotePrefix="1" applyNumberFormat="1" applyFont="1" applyFill="1" applyBorder="1" applyAlignment="1">
      <alignment horizontal="center" vertical="center" wrapText="1" readingOrder="1"/>
    </xf>
    <xf numFmtId="176" fontId="61" fillId="0" borderId="0" xfId="0" quotePrefix="1" applyNumberFormat="1" applyFont="1" applyFill="1" applyBorder="1" applyAlignment="1">
      <alignment horizontal="center" vertical="center" shrinkToFit="1" readingOrder="1"/>
    </xf>
    <xf numFmtId="0" fontId="64" fillId="3" borderId="1" xfId="0" applyFont="1" applyFill="1" applyBorder="1" applyAlignment="1">
      <alignment horizontal="center" vertical="center"/>
    </xf>
    <xf numFmtId="180" fontId="0" fillId="0" borderId="0" xfId="0" applyNumberFormat="1">
      <alignment vertical="center"/>
    </xf>
    <xf numFmtId="176" fontId="63" fillId="2" borderId="16" xfId="0" quotePrefix="1" applyNumberFormat="1" applyFont="1" applyFill="1" applyBorder="1" applyAlignment="1">
      <alignment horizontal="center" vertical="center" shrinkToFit="1" readingOrder="1"/>
    </xf>
    <xf numFmtId="176" fontId="63" fillId="2" borderId="2" xfId="0" quotePrefix="1" applyNumberFormat="1" applyFont="1" applyFill="1" applyBorder="1" applyAlignment="1">
      <alignment horizontal="center" vertical="center" shrinkToFit="1" readingOrder="1"/>
    </xf>
    <xf numFmtId="177" fontId="62" fillId="2" borderId="2" xfId="0" quotePrefix="1" applyNumberFormat="1" applyFont="1" applyFill="1" applyBorder="1" applyAlignment="1">
      <alignment horizontal="center" vertical="center" shrinkToFit="1" readingOrder="1"/>
    </xf>
    <xf numFmtId="0" fontId="64" fillId="0" borderId="17" xfId="0" applyFont="1" applyFill="1" applyBorder="1" applyAlignment="1">
      <alignment horizontal="center" vertical="center"/>
    </xf>
    <xf numFmtId="0" fontId="64" fillId="0" borderId="18" xfId="0" applyFont="1" applyFill="1" applyBorder="1" applyAlignment="1">
      <alignment horizontal="center" vertical="center"/>
    </xf>
    <xf numFmtId="177" fontId="62" fillId="2" borderId="19" xfId="0" quotePrefix="1" applyNumberFormat="1" applyFont="1" applyFill="1" applyBorder="1" applyAlignment="1">
      <alignment horizontal="center" vertical="center" shrinkToFit="1" readingOrder="1"/>
    </xf>
    <xf numFmtId="0" fontId="0" fillId="0" borderId="0" xfId="0" applyAlignment="1">
      <alignment vertical="center"/>
    </xf>
    <xf numFmtId="184" fontId="0" fillId="0" borderId="1" xfId="0" applyNumberFormat="1" applyBorder="1">
      <alignment vertical="center"/>
    </xf>
    <xf numFmtId="184" fontId="60" fillId="0" borderId="1" xfId="0" applyNumberFormat="1" applyFont="1" applyBorder="1">
      <alignment vertical="center"/>
    </xf>
    <xf numFmtId="176" fontId="61" fillId="4" borderId="20" xfId="0" quotePrefix="1" applyNumberFormat="1" applyFont="1" applyFill="1" applyBorder="1" applyAlignment="1">
      <alignment horizontal="center" vertical="center" shrinkToFit="1" readingOrder="1"/>
    </xf>
    <xf numFmtId="0" fontId="64" fillId="0" borderId="21" xfId="0" applyFont="1" applyFill="1" applyBorder="1" applyAlignment="1">
      <alignment horizontal="center" vertical="center"/>
    </xf>
    <xf numFmtId="0" fontId="63" fillId="0" borderId="22" xfId="0" quotePrefix="1" applyFont="1" applyBorder="1" applyAlignment="1">
      <alignment horizontal="center" vertical="center"/>
    </xf>
    <xf numFmtId="0" fontId="63" fillId="0" borderId="23" xfId="0" quotePrefix="1" applyFont="1" applyBorder="1" applyAlignment="1">
      <alignment horizontal="center" vertical="center"/>
    </xf>
    <xf numFmtId="0" fontId="64" fillId="0" borderId="0" xfId="0" quotePrefix="1" applyFont="1" applyFill="1" applyBorder="1" applyAlignment="1">
      <alignment horizontal="center" vertical="center"/>
    </xf>
    <xf numFmtId="177" fontId="62" fillId="2" borderId="24" xfId="0" quotePrefix="1" applyNumberFormat="1" applyFont="1" applyFill="1" applyBorder="1" applyAlignment="1">
      <alignment horizontal="center" vertical="center" shrinkToFit="1" readingOrder="1"/>
    </xf>
    <xf numFmtId="177" fontId="62" fillId="2" borderId="25" xfId="0" quotePrefix="1" applyNumberFormat="1" applyFont="1" applyFill="1" applyBorder="1" applyAlignment="1">
      <alignment horizontal="center" vertical="center" shrinkToFit="1" readingOrder="1"/>
    </xf>
    <xf numFmtId="0" fontId="64" fillId="4" borderId="17" xfId="0" applyFont="1" applyFill="1" applyBorder="1" applyAlignment="1">
      <alignment horizontal="center" vertical="center"/>
    </xf>
    <xf numFmtId="177" fontId="62" fillId="2" borderId="26" xfId="0" quotePrefix="1" applyNumberFormat="1" applyFont="1" applyFill="1" applyBorder="1" applyAlignment="1">
      <alignment horizontal="center" vertical="center" shrinkToFit="1" readingOrder="1"/>
    </xf>
    <xf numFmtId="177" fontId="62" fillId="2" borderId="27" xfId="0" quotePrefix="1" applyNumberFormat="1" applyFont="1" applyFill="1" applyBorder="1" applyAlignment="1">
      <alignment horizontal="center" vertical="center" shrinkToFit="1" readingOrder="1"/>
    </xf>
    <xf numFmtId="177" fontId="62" fillId="2" borderId="28" xfId="0" quotePrefix="1" applyNumberFormat="1" applyFont="1" applyFill="1" applyBorder="1" applyAlignment="1">
      <alignment horizontal="center" vertical="center" shrinkToFit="1" readingOrder="1"/>
    </xf>
    <xf numFmtId="0" fontId="64" fillId="4" borderId="3" xfId="0" applyFont="1" applyFill="1" applyBorder="1" applyAlignment="1">
      <alignment horizontal="center" vertical="center"/>
    </xf>
    <xf numFmtId="0" fontId="0" fillId="0" borderId="29" xfId="0" applyBorder="1">
      <alignment vertical="center"/>
    </xf>
    <xf numFmtId="0" fontId="0" fillId="0" borderId="0" xfId="0" applyBorder="1">
      <alignment vertical="center"/>
    </xf>
    <xf numFmtId="184" fontId="0" fillId="0" borderId="0" xfId="0" applyNumberFormat="1" applyAlignment="1">
      <alignment vertical="center"/>
    </xf>
    <xf numFmtId="177" fontId="62" fillId="2" borderId="3" xfId="0" quotePrefix="1" applyNumberFormat="1" applyFont="1" applyFill="1" applyBorder="1" applyAlignment="1">
      <alignment horizontal="center" vertical="center" shrinkToFit="1" readingOrder="1"/>
    </xf>
    <xf numFmtId="0" fontId="0" fillId="0" borderId="30" xfId="0" applyBorder="1">
      <alignment vertical="center"/>
    </xf>
    <xf numFmtId="41" fontId="64" fillId="0" borderId="31" xfId="0" applyNumberFormat="1" applyFont="1" applyFill="1" applyBorder="1" applyAlignment="1">
      <alignment horizontal="center" vertical="center"/>
    </xf>
    <xf numFmtId="0" fontId="0" fillId="0" borderId="32" xfId="0" applyBorder="1">
      <alignment vertical="center"/>
    </xf>
    <xf numFmtId="0" fontId="64" fillId="0" borderId="29" xfId="0" applyFont="1" applyFill="1" applyBorder="1" applyAlignment="1">
      <alignment horizontal="center" vertical="center"/>
    </xf>
    <xf numFmtId="41" fontId="64" fillId="4" borderId="0" xfId="0" applyNumberFormat="1" applyFont="1" applyFill="1" applyBorder="1" applyAlignment="1">
      <alignment horizontal="center" vertical="center"/>
    </xf>
    <xf numFmtId="41" fontId="64" fillId="0" borderId="0" xfId="0" applyNumberFormat="1" applyFont="1" applyFill="1" applyBorder="1" applyAlignment="1">
      <alignment horizontal="center" vertical="center"/>
    </xf>
    <xf numFmtId="0" fontId="65" fillId="4" borderId="1" xfId="0" applyFont="1" applyFill="1" applyBorder="1" applyAlignment="1">
      <alignment horizontal="center" vertical="center"/>
    </xf>
    <xf numFmtId="177" fontId="66" fillId="2" borderId="2" xfId="0" quotePrefix="1" applyNumberFormat="1" applyFont="1" applyFill="1" applyBorder="1" applyAlignment="1">
      <alignment horizontal="center" vertical="center" shrinkToFit="1" readingOrder="1"/>
    </xf>
    <xf numFmtId="41" fontId="64" fillId="0" borderId="33" xfId="0" applyNumberFormat="1" applyFont="1" applyFill="1" applyBorder="1" applyAlignment="1">
      <alignment horizontal="center" vertical="center"/>
    </xf>
    <xf numFmtId="41" fontId="64" fillId="0" borderId="1" xfId="0" applyNumberFormat="1" applyFont="1" applyFill="1" applyBorder="1" applyAlignment="1">
      <alignment horizontal="center" vertical="center"/>
    </xf>
    <xf numFmtId="41" fontId="64" fillId="4" borderId="33" xfId="0" applyNumberFormat="1" applyFont="1" applyFill="1" applyBorder="1" applyAlignment="1">
      <alignment horizontal="center" vertical="center"/>
    </xf>
    <xf numFmtId="41" fontId="64" fillId="4" borderId="1" xfId="0" applyNumberFormat="1" applyFont="1" applyFill="1" applyBorder="1" applyAlignment="1">
      <alignment horizontal="center" vertical="center"/>
    </xf>
    <xf numFmtId="0" fontId="64" fillId="0" borderId="34" xfId="0" applyFont="1" applyFill="1" applyBorder="1" applyAlignment="1">
      <alignment horizontal="center" vertical="center"/>
    </xf>
    <xf numFmtId="0" fontId="64" fillId="0" borderId="1" xfId="0" applyFont="1" applyFill="1" applyBorder="1" applyAlignment="1">
      <alignment horizontal="center" vertical="center"/>
    </xf>
    <xf numFmtId="41" fontId="64" fillId="0" borderId="35" xfId="0" applyNumberFormat="1" applyFont="1" applyFill="1" applyBorder="1" applyAlignment="1">
      <alignment horizontal="center" vertical="center"/>
    </xf>
    <xf numFmtId="41" fontId="64" fillId="4" borderId="35" xfId="0" applyNumberFormat="1" applyFont="1" applyFill="1" applyBorder="1" applyAlignment="1">
      <alignment horizontal="center" vertical="center"/>
    </xf>
    <xf numFmtId="0" fontId="64" fillId="0" borderId="36" xfId="0" applyFont="1" applyFill="1" applyBorder="1" applyAlignment="1">
      <alignment horizontal="center" vertical="center"/>
    </xf>
    <xf numFmtId="0" fontId="64" fillId="0" borderId="3" xfId="0" applyFont="1" applyFill="1" applyBorder="1" applyAlignment="1">
      <alignment horizontal="center" vertical="center"/>
    </xf>
    <xf numFmtId="0" fontId="64" fillId="0" borderId="4" xfId="0" applyFont="1" applyFill="1" applyBorder="1" applyAlignment="1">
      <alignment horizontal="center" vertical="center"/>
    </xf>
    <xf numFmtId="0" fontId="67" fillId="4" borderId="3" xfId="0" applyFont="1" applyFill="1" applyBorder="1" applyAlignment="1">
      <alignment horizontal="center" vertical="center"/>
    </xf>
    <xf numFmtId="41" fontId="64" fillId="4" borderId="37" xfId="0" applyNumberFormat="1" applyFont="1" applyFill="1" applyBorder="1" applyAlignment="1">
      <alignment vertical="center"/>
    </xf>
    <xf numFmtId="41" fontId="64" fillId="0" borderId="37" xfId="0" applyNumberFormat="1" applyFont="1" applyFill="1" applyBorder="1" applyAlignment="1">
      <alignment vertical="center"/>
    </xf>
    <xf numFmtId="41" fontId="64" fillId="0" borderId="38" xfId="0" applyNumberFormat="1" applyFont="1" applyFill="1" applyBorder="1" applyAlignment="1">
      <alignment vertical="center"/>
    </xf>
    <xf numFmtId="41" fontId="64" fillId="4" borderId="39" xfId="0" applyNumberFormat="1" applyFont="1" applyFill="1" applyBorder="1" applyAlignment="1">
      <alignment vertical="center"/>
    </xf>
    <xf numFmtId="41" fontId="68" fillId="0" borderId="40" xfId="0" applyNumberFormat="1" applyFont="1" applyFill="1" applyBorder="1" applyAlignment="1">
      <alignment vertical="center"/>
    </xf>
    <xf numFmtId="41" fontId="68" fillId="0" borderId="39" xfId="0" applyNumberFormat="1" applyFont="1" applyFill="1" applyBorder="1" applyAlignment="1">
      <alignment vertical="center"/>
    </xf>
    <xf numFmtId="0" fontId="69" fillId="0" borderId="0" xfId="0" applyFont="1" applyFill="1" applyBorder="1" applyAlignment="1">
      <alignment horizontal="center" vertical="center"/>
    </xf>
    <xf numFmtId="0" fontId="0" fillId="0" borderId="41" xfId="0" applyBorder="1">
      <alignment vertical="center"/>
    </xf>
    <xf numFmtId="41" fontId="64" fillId="4" borderId="42" xfId="0" applyNumberFormat="1" applyFont="1" applyFill="1" applyBorder="1" applyAlignment="1">
      <alignment vertical="center"/>
    </xf>
    <xf numFmtId="41" fontId="64" fillId="0" borderId="42" xfId="0" applyNumberFormat="1" applyFont="1" applyFill="1" applyBorder="1" applyAlignment="1">
      <alignment vertical="center"/>
    </xf>
    <xf numFmtId="41" fontId="64" fillId="0" borderId="43" xfId="0" applyNumberFormat="1" applyFont="1" applyFill="1" applyBorder="1" applyAlignment="1">
      <alignment vertical="center"/>
    </xf>
    <xf numFmtId="0" fontId="68" fillId="3" borderId="44" xfId="0" applyFont="1" applyFill="1" applyBorder="1">
      <alignment vertical="center"/>
    </xf>
    <xf numFmtId="0" fontId="70" fillId="3" borderId="44" xfId="0" applyFont="1" applyFill="1" applyBorder="1">
      <alignment vertical="center"/>
    </xf>
    <xf numFmtId="0" fontId="0" fillId="0" borderId="44" xfId="0" applyBorder="1">
      <alignment vertical="center"/>
    </xf>
    <xf numFmtId="0" fontId="68" fillId="0" borderId="45" xfId="0" applyFont="1" applyBorder="1">
      <alignment vertical="center"/>
    </xf>
    <xf numFmtId="176" fontId="63" fillId="4" borderId="1" xfId="0" quotePrefix="1" applyNumberFormat="1" applyFont="1" applyFill="1" applyBorder="1" applyAlignment="1">
      <alignment horizontal="center" vertical="center" wrapText="1" readingOrder="1"/>
    </xf>
    <xf numFmtId="176" fontId="61" fillId="4" borderId="1" xfId="0" quotePrefix="1" applyNumberFormat="1" applyFont="1" applyFill="1" applyBorder="1" applyAlignment="1">
      <alignment horizontal="center" vertical="center" shrinkToFit="1" readingOrder="1"/>
    </xf>
    <xf numFmtId="0" fontId="63" fillId="5" borderId="23" xfId="0" quotePrefix="1" applyFont="1" applyFill="1" applyBorder="1" applyAlignment="1">
      <alignment horizontal="center" vertical="center"/>
    </xf>
    <xf numFmtId="41" fontId="71" fillId="4" borderId="31" xfId="0" applyNumberFormat="1" applyFont="1" applyFill="1" applyBorder="1" applyAlignment="1">
      <alignment horizontal="center" vertical="center"/>
    </xf>
    <xf numFmtId="0" fontId="67" fillId="0" borderId="1" xfId="0" applyFont="1" applyFill="1" applyBorder="1" applyAlignment="1">
      <alignment horizontal="center" vertical="center"/>
    </xf>
    <xf numFmtId="0" fontId="67" fillId="4" borderId="1" xfId="0" applyFont="1" applyFill="1" applyBorder="1" applyAlignment="1">
      <alignment horizontal="center" vertical="center"/>
    </xf>
    <xf numFmtId="41" fontId="71" fillId="0" borderId="31" xfId="0" applyNumberFormat="1" applyFont="1" applyFill="1" applyBorder="1" applyAlignment="1">
      <alignment horizontal="center" vertical="center"/>
    </xf>
    <xf numFmtId="41" fontId="71" fillId="4" borderId="39" xfId="0" applyNumberFormat="1" applyFont="1" applyFill="1" applyBorder="1" applyAlignment="1">
      <alignment vertical="center"/>
    </xf>
    <xf numFmtId="0" fontId="67" fillId="0" borderId="0" xfId="0" applyFont="1" applyFill="1" applyBorder="1" applyAlignment="1">
      <alignment horizontal="center" vertical="center"/>
    </xf>
    <xf numFmtId="41" fontId="68" fillId="0" borderId="0" xfId="0" applyNumberFormat="1" applyFont="1" applyFill="1" applyBorder="1" applyAlignment="1">
      <alignment horizontal="center" vertical="center"/>
    </xf>
    <xf numFmtId="0" fontId="0" fillId="0" borderId="0" xfId="0" quotePrefix="1">
      <alignment vertical="center"/>
    </xf>
    <xf numFmtId="41" fontId="68" fillId="4" borderId="0" xfId="0" applyNumberFormat="1" applyFont="1" applyFill="1" applyBorder="1" applyAlignment="1">
      <alignment horizontal="center" vertical="center"/>
    </xf>
    <xf numFmtId="41" fontId="71" fillId="4" borderId="0" xfId="0" applyNumberFormat="1" applyFont="1" applyFill="1" applyBorder="1" applyAlignment="1">
      <alignment horizontal="center" vertical="center"/>
    </xf>
    <xf numFmtId="1" fontId="62" fillId="2" borderId="1" xfId="0" quotePrefix="1" applyNumberFormat="1" applyFont="1" applyFill="1" applyBorder="1" applyAlignment="1">
      <alignment horizontal="center" vertical="center" shrinkToFit="1" readingOrder="1"/>
    </xf>
    <xf numFmtId="1" fontId="64" fillId="3" borderId="1" xfId="0" applyNumberFormat="1" applyFont="1" applyFill="1" applyBorder="1" applyAlignment="1">
      <alignment horizontal="center" vertical="center"/>
    </xf>
    <xf numFmtId="41" fontId="64" fillId="0" borderId="46" xfId="0" applyNumberFormat="1" applyFont="1" applyFill="1" applyBorder="1" applyAlignment="1">
      <alignment horizontal="center" vertical="center"/>
    </xf>
    <xf numFmtId="41" fontId="64" fillId="0" borderId="47" xfId="0" applyNumberFormat="1" applyFont="1" applyFill="1" applyBorder="1" applyAlignment="1">
      <alignment horizontal="center" vertical="center"/>
    </xf>
    <xf numFmtId="0" fontId="0" fillId="0" borderId="47" xfId="0" applyFill="1" applyBorder="1">
      <alignment vertical="center"/>
    </xf>
    <xf numFmtId="41" fontId="64" fillId="0" borderId="48" xfId="0" applyNumberFormat="1" applyFont="1" applyFill="1" applyBorder="1" applyAlignment="1">
      <alignment horizontal="center" vertical="center"/>
    </xf>
    <xf numFmtId="41" fontId="64" fillId="0" borderId="49" xfId="0" applyNumberFormat="1" applyFont="1" applyFill="1" applyBorder="1" applyAlignment="1">
      <alignment horizontal="center" vertical="center"/>
    </xf>
    <xf numFmtId="0" fontId="0" fillId="0" borderId="50" xfId="0" applyFill="1" applyBorder="1">
      <alignment vertical="center"/>
    </xf>
    <xf numFmtId="177" fontId="66" fillId="6" borderId="2" xfId="0" quotePrefix="1" applyNumberFormat="1" applyFont="1" applyFill="1" applyBorder="1" applyAlignment="1">
      <alignment horizontal="center" vertical="center" shrinkToFit="1" readingOrder="1"/>
    </xf>
    <xf numFmtId="41" fontId="72" fillId="0" borderId="47" xfId="0" applyNumberFormat="1" applyFont="1" applyFill="1" applyBorder="1" applyAlignment="1">
      <alignment horizontal="center" vertical="center"/>
    </xf>
    <xf numFmtId="41" fontId="68" fillId="4" borderId="0" xfId="0" quotePrefix="1" applyNumberFormat="1" applyFont="1" applyFill="1" applyBorder="1" applyAlignment="1">
      <alignment horizontal="center" vertical="center"/>
    </xf>
    <xf numFmtId="41" fontId="68" fillId="4" borderId="31" xfId="0" applyNumberFormat="1" applyFont="1" applyFill="1" applyBorder="1" applyAlignment="1">
      <alignment horizontal="center" vertical="center"/>
    </xf>
    <xf numFmtId="176" fontId="63" fillId="2" borderId="1" xfId="0" quotePrefix="1" applyNumberFormat="1" applyFont="1" applyFill="1" applyBorder="1" applyAlignment="1">
      <alignment horizontal="center" vertical="center" shrinkToFit="1" readingOrder="1"/>
    </xf>
    <xf numFmtId="41" fontId="71" fillId="0" borderId="0" xfId="0" applyNumberFormat="1" applyFont="1" applyFill="1" applyBorder="1" applyAlignment="1">
      <alignment horizontal="center" vertical="center"/>
    </xf>
    <xf numFmtId="0" fontId="63" fillId="5" borderId="1" xfId="0" quotePrefix="1" applyFont="1" applyFill="1" applyBorder="1" applyAlignment="1">
      <alignment horizontal="center" vertical="center"/>
    </xf>
    <xf numFmtId="0" fontId="63" fillId="7" borderId="1" xfId="0" quotePrefix="1" applyFont="1" applyFill="1" applyBorder="1" applyAlignment="1">
      <alignment horizontal="center" vertical="center"/>
    </xf>
    <xf numFmtId="0" fontId="73" fillId="0" borderId="3" xfId="0" applyFont="1" applyFill="1" applyBorder="1" applyAlignment="1">
      <alignment horizontal="center" vertical="center"/>
    </xf>
    <xf numFmtId="176" fontId="63" fillId="0" borderId="1" xfId="0" quotePrefix="1" applyNumberFormat="1" applyFont="1" applyFill="1" applyBorder="1" applyAlignment="1">
      <alignment horizontal="center" vertical="center" wrapText="1" readingOrder="1"/>
    </xf>
    <xf numFmtId="0" fontId="64" fillId="0" borderId="0" xfId="0" applyFont="1" applyFill="1" applyBorder="1" applyAlignment="1">
      <alignment horizontal="center" vertical="center"/>
    </xf>
    <xf numFmtId="176" fontId="63" fillId="0" borderId="1" xfId="0" quotePrefix="1" applyNumberFormat="1" applyFont="1" applyFill="1" applyBorder="1" applyAlignment="1">
      <alignment horizontal="center" vertical="center" wrapText="1" readingOrder="1"/>
    </xf>
    <xf numFmtId="0" fontId="64" fillId="0" borderId="0" xfId="0" applyFont="1" applyFill="1" applyBorder="1" applyAlignment="1">
      <alignment horizontal="center" vertical="center"/>
    </xf>
    <xf numFmtId="184" fontId="59" fillId="0" borderId="1" xfId="0" applyNumberFormat="1" applyFont="1" applyBorder="1">
      <alignment vertical="center"/>
    </xf>
    <xf numFmtId="176" fontId="63" fillId="0" borderId="1" xfId="0" quotePrefix="1" applyNumberFormat="1" applyFont="1" applyFill="1" applyBorder="1" applyAlignment="1">
      <alignment horizontal="center" vertical="center" wrapText="1" readingOrder="1"/>
    </xf>
    <xf numFmtId="0" fontId="64" fillId="0" borderId="0" xfId="0" applyFont="1" applyFill="1" applyBorder="1" applyAlignment="1">
      <alignment horizontal="center" vertical="center"/>
    </xf>
    <xf numFmtId="176" fontId="63" fillId="0" borderId="1" xfId="0" quotePrefix="1" applyNumberFormat="1" applyFont="1" applyFill="1" applyBorder="1" applyAlignment="1">
      <alignment horizontal="center" vertical="center" wrapText="1" readingOrder="1"/>
    </xf>
    <xf numFmtId="0" fontId="64" fillId="0" borderId="0" xfId="0" applyFont="1" applyFill="1" applyBorder="1" applyAlignment="1">
      <alignment horizontal="center" vertical="center"/>
    </xf>
    <xf numFmtId="176" fontId="63" fillId="0" borderId="1" xfId="0" quotePrefix="1" applyNumberFormat="1" applyFont="1" applyFill="1" applyBorder="1" applyAlignment="1">
      <alignment horizontal="center" vertical="center" wrapText="1" readingOrder="1"/>
    </xf>
    <xf numFmtId="0" fontId="64" fillId="0" borderId="0" xfId="0" applyFont="1" applyFill="1" applyBorder="1" applyAlignment="1">
      <alignment horizontal="center" vertical="center"/>
    </xf>
    <xf numFmtId="176" fontId="63" fillId="0" borderId="1" xfId="0" quotePrefix="1" applyNumberFormat="1" applyFont="1" applyFill="1" applyBorder="1" applyAlignment="1">
      <alignment horizontal="center" vertical="center" wrapText="1" readingOrder="1"/>
    </xf>
    <xf numFmtId="0" fontId="64" fillId="0" borderId="0" xfId="0" applyFont="1" applyFill="1" applyBorder="1" applyAlignment="1">
      <alignment horizontal="center" vertical="center"/>
    </xf>
    <xf numFmtId="176" fontId="63" fillId="0" borderId="1" xfId="0" quotePrefix="1" applyNumberFormat="1" applyFont="1" applyFill="1" applyBorder="1" applyAlignment="1">
      <alignment horizontal="center" vertical="center" wrapText="1" readingOrder="1"/>
    </xf>
    <xf numFmtId="0" fontId="64" fillId="0" borderId="0" xfId="0" applyFont="1" applyFill="1" applyBorder="1" applyAlignment="1">
      <alignment horizontal="center" vertical="center"/>
    </xf>
    <xf numFmtId="176" fontId="63" fillId="0" borderId="1" xfId="0" quotePrefix="1" applyNumberFormat="1" applyFont="1" applyFill="1" applyBorder="1" applyAlignment="1">
      <alignment horizontal="center" vertical="center" wrapText="1" readingOrder="1"/>
    </xf>
    <xf numFmtId="0" fontId="64" fillId="0" borderId="0" xfId="0" applyFont="1" applyFill="1" applyBorder="1" applyAlignment="1">
      <alignment horizontal="center" vertical="center"/>
    </xf>
    <xf numFmtId="176" fontId="63" fillId="0" borderId="1" xfId="0" quotePrefix="1" applyNumberFormat="1" applyFont="1" applyFill="1" applyBorder="1" applyAlignment="1">
      <alignment horizontal="center" vertical="center" wrapText="1" readingOrder="1"/>
    </xf>
    <xf numFmtId="0" fontId="64" fillId="0" borderId="0" xfId="0" applyFont="1" applyFill="1" applyBorder="1" applyAlignment="1">
      <alignment horizontal="center" vertical="center"/>
    </xf>
    <xf numFmtId="176" fontId="63" fillId="0" borderId="1" xfId="0" quotePrefix="1" applyNumberFormat="1" applyFont="1" applyFill="1" applyBorder="1" applyAlignment="1">
      <alignment horizontal="center" vertical="center" wrapText="1" readingOrder="1"/>
    </xf>
    <xf numFmtId="177" fontId="62" fillId="2" borderId="5" xfId="0" quotePrefix="1" applyNumberFormat="1" applyFont="1" applyFill="1" applyBorder="1" applyAlignment="1">
      <alignment horizontal="center" vertical="center" shrinkToFit="1" readingOrder="1"/>
    </xf>
    <xf numFmtId="177" fontId="62" fillId="2" borderId="16" xfId="0" quotePrefix="1" applyNumberFormat="1" applyFont="1" applyFill="1" applyBorder="1" applyAlignment="1">
      <alignment horizontal="center" vertical="center" shrinkToFit="1" readingOrder="1"/>
    </xf>
    <xf numFmtId="0" fontId="64" fillId="0" borderId="0" xfId="0" applyFont="1" applyFill="1" applyBorder="1" applyAlignment="1">
      <alignment horizontal="center" vertical="center"/>
    </xf>
    <xf numFmtId="177" fontId="62" fillId="2" borderId="51" xfId="0" quotePrefix="1" applyNumberFormat="1" applyFont="1" applyFill="1" applyBorder="1" applyAlignment="1">
      <alignment horizontal="center" vertical="center" shrinkToFit="1" readingOrder="1"/>
    </xf>
    <xf numFmtId="184" fontId="70" fillId="0" borderId="1" xfId="0" applyNumberFormat="1" applyFont="1" applyBorder="1">
      <alignment vertical="center"/>
    </xf>
    <xf numFmtId="41" fontId="64" fillId="4" borderId="6" xfId="0" applyNumberFormat="1" applyFont="1" applyFill="1" applyBorder="1" applyAlignment="1">
      <alignment horizontal="center" vertical="center"/>
    </xf>
    <xf numFmtId="41" fontId="64" fillId="0" borderId="6" xfId="0" applyNumberFormat="1" applyFont="1" applyFill="1" applyBorder="1" applyAlignment="1">
      <alignment horizontal="center" vertical="center"/>
    </xf>
    <xf numFmtId="41" fontId="64" fillId="4" borderId="52" xfId="0" applyNumberFormat="1" applyFont="1" applyFill="1" applyBorder="1" applyAlignment="1">
      <alignment vertical="center"/>
    </xf>
    <xf numFmtId="41" fontId="64" fillId="0" borderId="52" xfId="0" applyNumberFormat="1" applyFont="1" applyFill="1" applyBorder="1" applyAlignment="1">
      <alignment vertical="center"/>
    </xf>
    <xf numFmtId="41" fontId="64" fillId="0" borderId="53" xfId="0" applyNumberFormat="1" applyFont="1" applyFill="1" applyBorder="1" applyAlignment="1">
      <alignment vertical="center"/>
    </xf>
    <xf numFmtId="0" fontId="68" fillId="3" borderId="54" xfId="0" applyFont="1" applyFill="1" applyBorder="1">
      <alignment vertical="center"/>
    </xf>
    <xf numFmtId="0" fontId="70" fillId="3" borderId="54" xfId="0" applyFont="1" applyFill="1" applyBorder="1">
      <alignment vertical="center"/>
    </xf>
    <xf numFmtId="0" fontId="0" fillId="0" borderId="54" xfId="0" applyBorder="1">
      <alignment vertical="center"/>
    </xf>
    <xf numFmtId="0" fontId="68" fillId="0" borderId="55" xfId="0" applyFont="1" applyBorder="1">
      <alignment vertical="center"/>
    </xf>
    <xf numFmtId="0" fontId="64" fillId="0" borderId="56" xfId="0" applyFont="1" applyFill="1" applyBorder="1" applyAlignment="1">
      <alignment horizontal="center" vertical="center"/>
    </xf>
    <xf numFmtId="41" fontId="64" fillId="0" borderId="57" xfId="0" applyNumberFormat="1" applyFont="1" applyFill="1" applyBorder="1" applyAlignment="1">
      <alignment horizontal="center" vertical="center"/>
    </xf>
    <xf numFmtId="0" fontId="0" fillId="0" borderId="47" xfId="0" applyBorder="1">
      <alignment vertical="center"/>
    </xf>
    <xf numFmtId="176" fontId="63" fillId="0" borderId="1" xfId="0" quotePrefix="1" applyNumberFormat="1" applyFont="1" applyFill="1" applyBorder="1" applyAlignment="1">
      <alignment horizontal="center" vertical="center" wrapText="1" readingOrder="1"/>
    </xf>
    <xf numFmtId="0" fontId="64" fillId="0" borderId="0" xfId="0" applyFont="1" applyFill="1" applyBorder="1" applyAlignment="1">
      <alignment horizontal="center" vertical="center"/>
    </xf>
    <xf numFmtId="176" fontId="63" fillId="0" borderId="1" xfId="0" quotePrefix="1" applyNumberFormat="1" applyFont="1" applyFill="1" applyBorder="1" applyAlignment="1">
      <alignment horizontal="center" vertical="center" wrapText="1" readingOrder="1"/>
    </xf>
    <xf numFmtId="0" fontId="64" fillId="0" borderId="0" xfId="0" applyFont="1" applyFill="1" applyBorder="1" applyAlignment="1">
      <alignment horizontal="center" vertical="center"/>
    </xf>
    <xf numFmtId="0" fontId="64" fillId="0" borderId="0" xfId="0" applyFont="1" applyFill="1" applyBorder="1" applyAlignment="1">
      <alignment horizontal="center" vertical="center"/>
    </xf>
    <xf numFmtId="0" fontId="68" fillId="0" borderId="44" xfId="0" applyFont="1" applyFill="1" applyBorder="1">
      <alignment vertical="center"/>
    </xf>
    <xf numFmtId="41" fontId="64" fillId="4" borderId="58" xfId="0" applyNumberFormat="1" applyFont="1" applyFill="1" applyBorder="1" applyAlignment="1">
      <alignment vertical="center"/>
    </xf>
    <xf numFmtId="41" fontId="64" fillId="0" borderId="58" xfId="0" applyNumberFormat="1" applyFont="1" applyFill="1" applyBorder="1" applyAlignment="1">
      <alignment vertical="center"/>
    </xf>
    <xf numFmtId="41" fontId="64" fillId="0" borderId="59" xfId="0" applyNumberFormat="1" applyFont="1" applyFill="1" applyBorder="1" applyAlignment="1">
      <alignment vertical="center"/>
    </xf>
    <xf numFmtId="0" fontId="68" fillId="4" borderId="58" xfId="0" applyNumberFormat="1" applyFont="1" applyFill="1" applyBorder="1" applyAlignment="1">
      <alignment vertical="center"/>
    </xf>
    <xf numFmtId="0" fontId="68" fillId="0" borderId="32" xfId="0" applyFont="1" applyBorder="1">
      <alignment vertical="center"/>
    </xf>
    <xf numFmtId="176" fontId="63" fillId="0" borderId="1" xfId="0" quotePrefix="1" applyNumberFormat="1" applyFont="1" applyFill="1" applyBorder="1" applyAlignment="1">
      <alignment horizontal="center" vertical="center" wrapText="1" readingOrder="1"/>
    </xf>
    <xf numFmtId="0" fontId="64" fillId="0" borderId="0" xfId="0" applyFont="1" applyFill="1" applyBorder="1" applyAlignment="1">
      <alignment horizontal="center" vertical="center"/>
    </xf>
    <xf numFmtId="0" fontId="0" fillId="0" borderId="50" xfId="0" applyBorder="1">
      <alignment vertical="center"/>
    </xf>
    <xf numFmtId="176" fontId="63" fillId="0" borderId="1" xfId="0" quotePrefix="1" applyNumberFormat="1" applyFont="1" applyFill="1" applyBorder="1" applyAlignment="1">
      <alignment horizontal="center" vertical="center" wrapText="1" readingOrder="1"/>
    </xf>
    <xf numFmtId="0" fontId="64" fillId="0" borderId="0" xfId="0" applyFont="1" applyFill="1" applyBorder="1" applyAlignment="1">
      <alignment horizontal="center" vertical="center"/>
    </xf>
    <xf numFmtId="176" fontId="63" fillId="0" borderId="1" xfId="0" quotePrefix="1" applyNumberFormat="1" applyFont="1" applyFill="1" applyBorder="1" applyAlignment="1">
      <alignment horizontal="center" vertical="center" wrapText="1" readingOrder="1"/>
    </xf>
    <xf numFmtId="176" fontId="63" fillId="0" borderId="1" xfId="0" quotePrefix="1" applyNumberFormat="1" applyFont="1" applyFill="1" applyBorder="1" applyAlignment="1">
      <alignment horizontal="center" vertical="center" wrapText="1" readingOrder="1"/>
    </xf>
    <xf numFmtId="0" fontId="64" fillId="0" borderId="0" xfId="0" applyFont="1" applyFill="1" applyBorder="1" applyAlignment="1">
      <alignment horizontal="center" vertical="center"/>
    </xf>
    <xf numFmtId="176" fontId="63" fillId="0" borderId="1" xfId="0" quotePrefix="1" applyNumberFormat="1" applyFont="1" applyFill="1" applyBorder="1" applyAlignment="1">
      <alignment horizontal="center" vertical="center" wrapText="1" readingOrder="1"/>
    </xf>
    <xf numFmtId="0" fontId="64" fillId="0" borderId="0" xfId="0" applyFont="1" applyFill="1" applyBorder="1" applyAlignment="1">
      <alignment horizontal="center" vertical="center"/>
    </xf>
    <xf numFmtId="176" fontId="63" fillId="0" borderId="1" xfId="0" quotePrefix="1" applyNumberFormat="1" applyFont="1" applyFill="1" applyBorder="1" applyAlignment="1">
      <alignment horizontal="center" vertical="center" wrapText="1" readingOrder="1"/>
    </xf>
    <xf numFmtId="0" fontId="64" fillId="0" borderId="0" xfId="0" applyFont="1" applyFill="1" applyBorder="1" applyAlignment="1">
      <alignment horizontal="center" vertical="center"/>
    </xf>
    <xf numFmtId="176" fontId="63" fillId="0" borderId="1" xfId="0" quotePrefix="1" applyNumberFormat="1" applyFont="1" applyFill="1" applyBorder="1" applyAlignment="1">
      <alignment horizontal="center" vertical="center" wrapText="1" readingOrder="1"/>
    </xf>
    <xf numFmtId="0" fontId="64" fillId="0" borderId="0" xfId="0" applyFont="1" applyFill="1" applyBorder="1" applyAlignment="1">
      <alignment horizontal="center" vertical="center"/>
    </xf>
    <xf numFmtId="0" fontId="64" fillId="0" borderId="0" xfId="0" applyFont="1" applyFill="1" applyBorder="1" applyAlignment="1">
      <alignment horizontal="center" vertical="center"/>
    </xf>
    <xf numFmtId="41" fontId="64" fillId="4" borderId="5" xfId="0" applyNumberFormat="1" applyFont="1" applyFill="1" applyBorder="1" applyAlignment="1">
      <alignment vertical="center"/>
    </xf>
    <xf numFmtId="41" fontId="64" fillId="0" borderId="5" xfId="0" applyNumberFormat="1" applyFont="1" applyFill="1" applyBorder="1" applyAlignment="1">
      <alignment vertical="center"/>
    </xf>
    <xf numFmtId="41" fontId="64" fillId="0" borderId="60" xfId="0" applyNumberFormat="1" applyFont="1" applyFill="1" applyBorder="1" applyAlignment="1">
      <alignment vertical="center"/>
    </xf>
    <xf numFmtId="176" fontId="63" fillId="0" borderId="1" xfId="0" quotePrefix="1" applyNumberFormat="1" applyFont="1" applyFill="1" applyBorder="1" applyAlignment="1">
      <alignment horizontal="center" vertical="center" wrapText="1" readingOrder="1"/>
    </xf>
    <xf numFmtId="0" fontId="64" fillId="0" borderId="0" xfId="0" applyFont="1" applyFill="1" applyBorder="1" applyAlignment="1">
      <alignment horizontal="center" vertical="center"/>
    </xf>
    <xf numFmtId="176" fontId="63" fillId="0" borderId="1" xfId="0" quotePrefix="1" applyNumberFormat="1" applyFont="1" applyFill="1" applyBorder="1" applyAlignment="1">
      <alignment horizontal="center" vertical="center" wrapText="1" readingOrder="1"/>
    </xf>
    <xf numFmtId="0" fontId="64" fillId="0" borderId="0" xfId="0" applyFont="1" applyFill="1" applyBorder="1" applyAlignment="1">
      <alignment horizontal="center" vertical="center"/>
    </xf>
    <xf numFmtId="41" fontId="71" fillId="4" borderId="5" xfId="0" applyNumberFormat="1" applyFont="1" applyFill="1" applyBorder="1" applyAlignment="1">
      <alignment vertical="center"/>
    </xf>
    <xf numFmtId="41" fontId="71" fillId="0" borderId="60" xfId="0" applyNumberFormat="1" applyFont="1" applyFill="1" applyBorder="1" applyAlignment="1">
      <alignment vertical="center"/>
    </xf>
    <xf numFmtId="176" fontId="63" fillId="0" borderId="1" xfId="0" quotePrefix="1" applyNumberFormat="1" applyFont="1" applyFill="1" applyBorder="1" applyAlignment="1">
      <alignment horizontal="center" vertical="center" wrapText="1" readingOrder="1"/>
    </xf>
    <xf numFmtId="0" fontId="64" fillId="0" borderId="0" xfId="0" applyFont="1" applyFill="1" applyBorder="1" applyAlignment="1">
      <alignment horizontal="center" vertical="center"/>
    </xf>
    <xf numFmtId="176" fontId="63" fillId="0" borderId="1" xfId="0" quotePrefix="1" applyNumberFormat="1" applyFont="1" applyFill="1" applyBorder="1" applyAlignment="1">
      <alignment horizontal="center" vertical="center" wrapText="1" readingOrder="1"/>
    </xf>
    <xf numFmtId="0" fontId="64" fillId="0" borderId="0" xfId="0" applyFont="1" applyFill="1" applyBorder="1" applyAlignment="1">
      <alignment horizontal="center" vertical="center"/>
    </xf>
    <xf numFmtId="176" fontId="63" fillId="0" borderId="1" xfId="0" quotePrefix="1" applyNumberFormat="1" applyFont="1" applyFill="1" applyBorder="1" applyAlignment="1">
      <alignment horizontal="center" vertical="center" wrapText="1" readingOrder="1"/>
    </xf>
    <xf numFmtId="0" fontId="64" fillId="0" borderId="0" xfId="0" applyFont="1" applyFill="1" applyBorder="1" applyAlignment="1">
      <alignment horizontal="center" vertical="center"/>
    </xf>
    <xf numFmtId="176" fontId="63" fillId="0" borderId="1" xfId="0" quotePrefix="1" applyNumberFormat="1" applyFont="1" applyFill="1" applyBorder="1" applyAlignment="1">
      <alignment horizontal="center" vertical="center" wrapText="1" readingOrder="1"/>
    </xf>
    <xf numFmtId="0" fontId="64" fillId="0" borderId="0" xfId="0" applyFont="1" applyFill="1" applyBorder="1" applyAlignment="1">
      <alignment horizontal="center" vertical="center"/>
    </xf>
    <xf numFmtId="176" fontId="63" fillId="0" borderId="1" xfId="0" quotePrefix="1" applyNumberFormat="1" applyFont="1" applyFill="1" applyBorder="1" applyAlignment="1">
      <alignment horizontal="center" vertical="center" wrapText="1" readingOrder="1"/>
    </xf>
    <xf numFmtId="0" fontId="64" fillId="0" borderId="0" xfId="0" applyFont="1" applyFill="1" applyBorder="1" applyAlignment="1">
      <alignment horizontal="center" vertical="center"/>
    </xf>
    <xf numFmtId="176" fontId="74" fillId="0" borderId="7" xfId="2" quotePrefix="1" applyNumberFormat="1" applyFont="1" applyBorder="1" applyAlignment="1">
      <alignment horizontal="center" vertical="center" wrapText="1" shrinkToFit="1" readingOrder="1"/>
    </xf>
    <xf numFmtId="176" fontId="74" fillId="3" borderId="7" xfId="2" quotePrefix="1" applyNumberFormat="1" applyFont="1" applyFill="1" applyBorder="1" applyAlignment="1">
      <alignment horizontal="center" vertical="center" wrapText="1" shrinkToFit="1" readingOrder="1"/>
    </xf>
    <xf numFmtId="176" fontId="75" fillId="0" borderId="1" xfId="2" quotePrefix="1" applyNumberFormat="1" applyFont="1" applyBorder="1" applyAlignment="1">
      <alignment horizontal="center" vertical="center" wrapText="1" readingOrder="1"/>
    </xf>
    <xf numFmtId="176" fontId="76" fillId="0" borderId="7" xfId="2" quotePrefix="1" applyNumberFormat="1" applyFont="1" applyBorder="1" applyAlignment="1">
      <alignment horizontal="center" vertical="center" wrapText="1" shrinkToFit="1" readingOrder="1"/>
    </xf>
    <xf numFmtId="176" fontId="76" fillId="3" borderId="7" xfId="2" quotePrefix="1" applyNumberFormat="1" applyFont="1" applyFill="1" applyBorder="1" applyAlignment="1">
      <alignment horizontal="center" vertical="center" wrapText="1" shrinkToFit="1" readingOrder="1"/>
    </xf>
    <xf numFmtId="176" fontId="75" fillId="0" borderId="1" xfId="2" quotePrefix="1" applyNumberFormat="1" applyFont="1" applyBorder="1" applyAlignment="1">
      <alignment horizontal="center" vertical="center" shrinkToFit="1" readingOrder="1"/>
    </xf>
    <xf numFmtId="176" fontId="75" fillId="3" borderId="1" xfId="2" quotePrefix="1" applyNumberFormat="1" applyFont="1" applyFill="1" applyBorder="1" applyAlignment="1">
      <alignment horizontal="center" vertical="center" shrinkToFit="1" readingOrder="1"/>
    </xf>
    <xf numFmtId="0" fontId="77" fillId="0" borderId="1" xfId="2" applyFont="1" applyBorder="1" applyAlignment="1">
      <alignment horizontal="center" vertical="center"/>
    </xf>
    <xf numFmtId="176" fontId="74" fillId="0" borderId="7" xfId="2" quotePrefix="1" applyNumberFormat="1" applyFont="1" applyFill="1" applyBorder="1" applyAlignment="1">
      <alignment horizontal="center" vertical="center" wrapText="1" shrinkToFit="1" readingOrder="1"/>
    </xf>
    <xf numFmtId="176" fontId="76" fillId="0" borderId="4" xfId="2" quotePrefix="1" applyNumberFormat="1" applyFont="1" applyFill="1" applyBorder="1" applyAlignment="1">
      <alignment horizontal="center" vertical="center" wrapText="1" shrinkToFit="1" readingOrder="1"/>
    </xf>
    <xf numFmtId="176" fontId="75" fillId="0" borderId="1" xfId="2" quotePrefix="1" applyNumberFormat="1" applyFont="1" applyFill="1" applyBorder="1" applyAlignment="1">
      <alignment horizontal="center" vertical="center" shrinkToFit="1" readingOrder="1"/>
    </xf>
    <xf numFmtId="0" fontId="0" fillId="0" borderId="0" xfId="0" applyFill="1">
      <alignment vertical="center"/>
    </xf>
    <xf numFmtId="176" fontId="76" fillId="0" borderId="7" xfId="2" quotePrefix="1" applyNumberFormat="1" applyFont="1" applyFill="1" applyBorder="1" applyAlignment="1">
      <alignment horizontal="center" vertical="center" wrapText="1" shrinkToFit="1" readingOrder="1"/>
    </xf>
    <xf numFmtId="176" fontId="76" fillId="3" borderId="1" xfId="2" quotePrefix="1" applyNumberFormat="1" applyFont="1" applyFill="1" applyBorder="1" applyAlignment="1">
      <alignment horizontal="center" vertical="center" wrapText="1" shrinkToFit="1" readingOrder="1"/>
    </xf>
    <xf numFmtId="176" fontId="76" fillId="0" borderId="1" xfId="2" quotePrefix="1" applyNumberFormat="1" applyFont="1" applyBorder="1" applyAlignment="1">
      <alignment horizontal="center" vertical="center" wrapText="1" shrinkToFit="1" readingOrder="1"/>
    </xf>
    <xf numFmtId="176" fontId="78" fillId="4" borderId="1" xfId="0" quotePrefix="1" applyNumberFormat="1" applyFont="1" applyFill="1" applyBorder="1" applyAlignment="1">
      <alignment horizontal="center" vertical="center" wrapText="1" readingOrder="1"/>
    </xf>
    <xf numFmtId="176" fontId="78" fillId="0" borderId="1" xfId="0" quotePrefix="1" applyNumberFormat="1" applyFont="1" applyFill="1" applyBorder="1" applyAlignment="1">
      <alignment horizontal="center" vertical="center" wrapText="1" readingOrder="1"/>
    </xf>
    <xf numFmtId="176" fontId="78" fillId="3" borderId="1" xfId="0" quotePrefix="1" applyNumberFormat="1" applyFont="1" applyFill="1" applyBorder="1" applyAlignment="1">
      <alignment horizontal="center" vertical="center" wrapText="1" readingOrder="1"/>
    </xf>
    <xf numFmtId="0" fontId="74" fillId="0" borderId="1" xfId="2" applyFont="1" applyBorder="1" applyAlignment="1">
      <alignment horizontal="center" vertical="center"/>
    </xf>
    <xf numFmtId="0" fontId="79" fillId="3" borderId="1" xfId="2" applyFont="1" applyFill="1" applyBorder="1" applyAlignment="1">
      <alignment horizontal="center" vertical="center"/>
    </xf>
    <xf numFmtId="0" fontId="79" fillId="0" borderId="1" xfId="2" applyFont="1" applyFill="1" applyBorder="1" applyAlignment="1">
      <alignment horizontal="center" vertical="center"/>
    </xf>
    <xf numFmtId="0" fontId="79" fillId="0" borderId="1" xfId="2" applyFont="1" applyBorder="1" applyAlignment="1">
      <alignment horizontal="center" vertical="center"/>
    </xf>
    <xf numFmtId="0" fontId="75" fillId="0" borderId="1" xfId="2" applyFont="1" applyBorder="1" applyAlignment="1">
      <alignment horizontal="center" vertical="center"/>
    </xf>
    <xf numFmtId="0" fontId="80" fillId="0" borderId="1" xfId="2" applyFont="1" applyBorder="1" applyAlignment="1">
      <alignment horizontal="center" vertical="center"/>
    </xf>
    <xf numFmtId="0" fontId="81" fillId="3" borderId="1" xfId="2" applyFont="1" applyFill="1" applyBorder="1" applyAlignment="1">
      <alignment horizontal="center" vertical="center"/>
    </xf>
    <xf numFmtId="0" fontId="81" fillId="0" borderId="1" xfId="2" applyFont="1" applyFill="1" applyBorder="1" applyAlignment="1">
      <alignment horizontal="center" vertical="center"/>
    </xf>
    <xf numFmtId="0" fontId="81" fillId="0" borderId="1" xfId="2" applyFont="1" applyBorder="1" applyAlignment="1">
      <alignment horizontal="center" vertical="center"/>
    </xf>
    <xf numFmtId="184" fontId="82" fillId="0" borderId="1" xfId="0" applyNumberFormat="1" applyFont="1" applyBorder="1" applyAlignment="1">
      <alignment horizontal="center" vertical="center"/>
    </xf>
    <xf numFmtId="184" fontId="69" fillId="0" borderId="1" xfId="0" applyNumberFormat="1" applyFont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69" fillId="0" borderId="0" xfId="0" applyFont="1" applyFill="1" applyAlignment="1">
      <alignment horizontal="center" vertical="center"/>
    </xf>
    <xf numFmtId="184" fontId="62" fillId="3" borderId="0" xfId="0" applyNumberFormat="1" applyFont="1" applyFill="1" applyAlignment="1">
      <alignment horizontal="center" vertical="center"/>
    </xf>
    <xf numFmtId="176" fontId="63" fillId="0" borderId="1" xfId="0" quotePrefix="1" applyNumberFormat="1" applyFont="1" applyFill="1" applyBorder="1" applyAlignment="1">
      <alignment horizontal="center" vertical="center" wrapText="1" readingOrder="1"/>
    </xf>
    <xf numFmtId="0" fontId="64" fillId="0" borderId="0" xfId="0" applyFont="1" applyFill="1" applyBorder="1" applyAlignment="1">
      <alignment horizontal="center" vertical="center"/>
    </xf>
    <xf numFmtId="41" fontId="79" fillId="3" borderId="1" xfId="1" applyFont="1" applyFill="1" applyBorder="1" applyAlignment="1">
      <alignment horizontal="center" vertical="center"/>
    </xf>
    <xf numFmtId="41" fontId="79" fillId="0" borderId="1" xfId="1" applyFont="1" applyFill="1" applyBorder="1" applyAlignment="1">
      <alignment horizontal="center" vertical="center"/>
    </xf>
    <xf numFmtId="41" fontId="79" fillId="0" borderId="1" xfId="1" applyFont="1" applyBorder="1" applyAlignment="1">
      <alignment horizontal="center" vertical="center"/>
    </xf>
    <xf numFmtId="41" fontId="79" fillId="8" borderId="1" xfId="1" quotePrefix="1" applyFont="1" applyFill="1" applyBorder="1" applyAlignment="1">
      <alignment horizontal="center" vertical="center" shrinkToFit="1" readingOrder="1"/>
    </xf>
    <xf numFmtId="176" fontId="85" fillId="0" borderId="10" xfId="0" quotePrefix="1" applyNumberFormat="1" applyFont="1" applyFill="1" applyBorder="1" applyAlignment="1">
      <alignment horizontal="center" vertical="center" wrapText="1" shrinkToFit="1" readingOrder="1"/>
    </xf>
    <xf numFmtId="176" fontId="85" fillId="0" borderId="11" xfId="0" quotePrefix="1" applyNumberFormat="1" applyFont="1" applyFill="1" applyBorder="1" applyAlignment="1">
      <alignment horizontal="center" vertical="center" wrapText="1" shrinkToFit="1" readingOrder="1"/>
    </xf>
    <xf numFmtId="176" fontId="85" fillId="0" borderId="12" xfId="0" quotePrefix="1" applyNumberFormat="1" applyFont="1" applyFill="1" applyBorder="1" applyAlignment="1">
      <alignment horizontal="center" vertical="center" wrapText="1" shrinkToFit="1" readingOrder="1"/>
    </xf>
    <xf numFmtId="176" fontId="85" fillId="0" borderId="14" xfId="0" quotePrefix="1" applyNumberFormat="1" applyFont="1" applyFill="1" applyBorder="1" applyAlignment="1">
      <alignment horizontal="center" vertical="center" wrapText="1" shrinkToFit="1" readingOrder="1"/>
    </xf>
    <xf numFmtId="176" fontId="63" fillId="4" borderId="61" xfId="0" quotePrefix="1" applyNumberFormat="1" applyFont="1" applyFill="1" applyBorder="1" applyAlignment="1">
      <alignment horizontal="center" vertical="center" wrapText="1" readingOrder="1"/>
    </xf>
    <xf numFmtId="176" fontId="63" fillId="4" borderId="62" xfId="0" quotePrefix="1" applyNumberFormat="1" applyFont="1" applyFill="1" applyBorder="1" applyAlignment="1">
      <alignment horizontal="center" vertical="center" wrapText="1" readingOrder="1"/>
    </xf>
    <xf numFmtId="176" fontId="63" fillId="0" borderId="1" xfId="0" quotePrefix="1" applyNumberFormat="1" applyFont="1" applyFill="1" applyBorder="1" applyAlignment="1">
      <alignment horizontal="center" vertical="center" wrapText="1" readingOrder="1"/>
    </xf>
    <xf numFmtId="0" fontId="63" fillId="0" borderId="10" xfId="0" applyFont="1" applyBorder="1" applyAlignment="1">
      <alignment horizontal="center" vertical="center" wrapText="1"/>
    </xf>
    <xf numFmtId="0" fontId="63" fillId="0" borderId="15" xfId="0" applyFont="1" applyBorder="1" applyAlignment="1">
      <alignment horizontal="center" vertical="center" wrapText="1"/>
    </xf>
    <xf numFmtId="0" fontId="63" fillId="0" borderId="12" xfId="0" applyFont="1" applyBorder="1" applyAlignment="1">
      <alignment horizontal="center" vertical="center" wrapText="1"/>
    </xf>
    <xf numFmtId="0" fontId="64" fillId="0" borderId="0" xfId="0" applyFont="1" applyFill="1" applyBorder="1" applyAlignment="1">
      <alignment horizontal="center" vertical="center"/>
    </xf>
    <xf numFmtId="0" fontId="63" fillId="0" borderId="7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4" fillId="0" borderId="1" xfId="0" applyFont="1" applyFill="1" applyBorder="1" applyAlignment="1">
      <alignment horizontal="center"/>
    </xf>
    <xf numFmtId="184" fontId="78" fillId="0" borderId="10" xfId="0" applyNumberFormat="1" applyFont="1" applyBorder="1" applyAlignment="1">
      <alignment horizontal="center" vertical="center"/>
    </xf>
    <xf numFmtId="184" fontId="78" fillId="0" borderId="8" xfId="0" applyNumberFormat="1" applyFont="1" applyBorder="1" applyAlignment="1">
      <alignment horizontal="center" vertical="center"/>
    </xf>
    <xf numFmtId="184" fontId="78" fillId="0" borderId="11" xfId="0" applyNumberFormat="1" applyFont="1" applyBorder="1" applyAlignment="1">
      <alignment horizontal="center" vertical="center"/>
    </xf>
    <xf numFmtId="184" fontId="78" fillId="0" borderId="12" xfId="0" applyNumberFormat="1" applyFont="1" applyBorder="1" applyAlignment="1">
      <alignment horizontal="center" vertical="center"/>
    </xf>
    <xf numFmtId="184" fontId="78" fillId="0" borderId="13" xfId="0" applyNumberFormat="1" applyFont="1" applyBorder="1" applyAlignment="1">
      <alignment horizontal="center" vertical="center"/>
    </xf>
    <xf numFmtId="184" fontId="78" fillId="0" borderId="14" xfId="0" applyNumberFormat="1" applyFont="1" applyBorder="1" applyAlignment="1">
      <alignment horizontal="center" vertical="center"/>
    </xf>
    <xf numFmtId="184" fontId="62" fillId="0" borderId="1" xfId="0" applyNumberFormat="1" applyFont="1" applyBorder="1" applyAlignment="1">
      <alignment horizontal="center" vertical="center"/>
    </xf>
    <xf numFmtId="0" fontId="62" fillId="0" borderId="1" xfId="0" applyFont="1" applyBorder="1" applyAlignment="1">
      <alignment horizontal="center" vertical="center"/>
    </xf>
    <xf numFmtId="18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84" fontId="83" fillId="6" borderId="1" xfId="0" applyNumberFormat="1" applyFont="1" applyFill="1" applyBorder="1" applyAlignment="1">
      <alignment horizontal="center" vertical="center"/>
    </xf>
    <xf numFmtId="184" fontId="78" fillId="0" borderId="1" xfId="0" applyNumberFormat="1" applyFont="1" applyBorder="1" applyAlignment="1">
      <alignment horizontal="center" vertical="center"/>
    </xf>
    <xf numFmtId="0" fontId="78" fillId="0" borderId="1" xfId="0" applyFont="1" applyBorder="1" applyAlignment="1">
      <alignment horizontal="center" vertical="center"/>
    </xf>
    <xf numFmtId="184" fontId="0" fillId="0" borderId="7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3" fillId="0" borderId="3" xfId="0" applyFont="1" applyBorder="1" applyAlignment="1">
      <alignment horizontal="center" vertical="center" wrapText="1"/>
    </xf>
    <xf numFmtId="0" fontId="63" fillId="0" borderId="1" xfId="0" applyFont="1" applyBorder="1" applyAlignment="1">
      <alignment horizontal="center" vertical="center" wrapText="1"/>
    </xf>
    <xf numFmtId="0" fontId="82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184" fontId="83" fillId="7" borderId="7" xfId="0" applyNumberFormat="1" applyFont="1" applyFill="1" applyBorder="1" applyAlignment="1">
      <alignment horizontal="center" vertical="center"/>
    </xf>
    <xf numFmtId="184" fontId="83" fillId="7" borderId="4" xfId="0" applyNumberFormat="1" applyFont="1" applyFill="1" applyBorder="1" applyAlignment="1">
      <alignment horizontal="center" vertical="center"/>
    </xf>
    <xf numFmtId="184" fontId="78" fillId="0" borderId="7" xfId="0" applyNumberFormat="1" applyFont="1" applyBorder="1" applyAlignment="1">
      <alignment horizontal="center" vertical="center"/>
    </xf>
    <xf numFmtId="184" fontId="78" fillId="0" borderId="4" xfId="0" applyNumberFormat="1" applyFont="1" applyBorder="1" applyAlignment="1">
      <alignment horizontal="center" vertical="center"/>
    </xf>
    <xf numFmtId="0" fontId="83" fillId="0" borderId="74" xfId="0" quotePrefix="1" applyFont="1" applyBorder="1" applyAlignment="1">
      <alignment horizontal="center" vertical="center" wrapText="1"/>
    </xf>
    <xf numFmtId="0" fontId="83" fillId="0" borderId="75" xfId="0" quotePrefix="1" applyFont="1" applyBorder="1" applyAlignment="1">
      <alignment horizontal="center" vertical="center" wrapText="1"/>
    </xf>
    <xf numFmtId="0" fontId="78" fillId="0" borderId="63" xfId="0" quotePrefix="1" applyFont="1" applyBorder="1" applyAlignment="1">
      <alignment horizontal="center" vertical="center"/>
    </xf>
    <xf numFmtId="0" fontId="78" fillId="0" borderId="64" xfId="0" quotePrefix="1" applyFont="1" applyBorder="1" applyAlignment="1">
      <alignment horizontal="center" vertical="center"/>
    </xf>
    <xf numFmtId="0" fontId="83" fillId="0" borderId="65" xfId="0" applyFont="1" applyBorder="1" applyAlignment="1">
      <alignment horizontal="center" vertical="center"/>
    </xf>
    <xf numFmtId="0" fontId="83" fillId="0" borderId="66" xfId="0" applyFont="1" applyBorder="1" applyAlignment="1">
      <alignment horizontal="center" vertical="center"/>
    </xf>
    <xf numFmtId="176" fontId="63" fillId="4" borderId="7" xfId="0" quotePrefix="1" applyNumberFormat="1" applyFont="1" applyFill="1" applyBorder="1" applyAlignment="1">
      <alignment horizontal="center" vertical="center" wrapText="1" readingOrder="1"/>
    </xf>
    <xf numFmtId="176" fontId="63" fillId="4" borderId="4" xfId="0" quotePrefix="1" applyNumberFormat="1" applyFont="1" applyFill="1" applyBorder="1" applyAlignment="1">
      <alignment horizontal="center" vertical="center" wrapText="1" readingOrder="1"/>
    </xf>
    <xf numFmtId="176" fontId="86" fillId="0" borderId="2" xfId="0" quotePrefix="1" applyNumberFormat="1" applyFont="1" applyFill="1" applyBorder="1" applyAlignment="1">
      <alignment horizontal="center" vertical="center" wrapText="1" readingOrder="1"/>
    </xf>
    <xf numFmtId="176" fontId="86" fillId="0" borderId="3" xfId="0" quotePrefix="1" applyNumberFormat="1" applyFont="1" applyFill="1" applyBorder="1" applyAlignment="1">
      <alignment horizontal="center" vertical="center" wrapText="1" readingOrder="1"/>
    </xf>
    <xf numFmtId="176" fontId="63" fillId="2" borderId="67" xfId="0" quotePrefix="1" applyNumberFormat="1" applyFont="1" applyFill="1" applyBorder="1" applyAlignment="1">
      <alignment horizontal="center" vertical="center" shrinkToFit="1" readingOrder="1"/>
    </xf>
    <xf numFmtId="176" fontId="63" fillId="2" borderId="68" xfId="0" quotePrefix="1" applyNumberFormat="1" applyFont="1" applyFill="1" applyBorder="1" applyAlignment="1">
      <alignment horizontal="center" vertical="center" shrinkToFit="1" readingOrder="1"/>
    </xf>
    <xf numFmtId="0" fontId="78" fillId="0" borderId="69" xfId="0" quotePrefix="1" applyFont="1" applyBorder="1" applyAlignment="1">
      <alignment horizontal="center" vertical="center"/>
    </xf>
    <xf numFmtId="0" fontId="78" fillId="0" borderId="70" xfId="0" quotePrefix="1" applyFont="1" applyBorder="1" applyAlignment="1">
      <alignment horizontal="center" vertical="center"/>
    </xf>
    <xf numFmtId="0" fontId="83" fillId="0" borderId="71" xfId="0" quotePrefix="1" applyFont="1" applyBorder="1" applyAlignment="1">
      <alignment horizontal="center" vertical="center" wrapText="1"/>
    </xf>
    <xf numFmtId="0" fontId="83" fillId="0" borderId="68" xfId="0" quotePrefix="1" applyFont="1" applyBorder="1" applyAlignment="1">
      <alignment horizontal="center" vertical="center"/>
    </xf>
    <xf numFmtId="0" fontId="78" fillId="0" borderId="72" xfId="0" quotePrefix="1" applyFont="1" applyBorder="1" applyAlignment="1">
      <alignment horizontal="center" vertical="center" wrapText="1"/>
    </xf>
    <xf numFmtId="0" fontId="78" fillId="0" borderId="73" xfId="0" quotePrefix="1" applyFont="1" applyBorder="1" applyAlignment="1">
      <alignment horizontal="center" vertical="center" wrapText="1"/>
    </xf>
    <xf numFmtId="0" fontId="63" fillId="0" borderId="2" xfId="0" applyFont="1" applyBorder="1" applyAlignment="1">
      <alignment horizontal="center" vertical="center" wrapText="1"/>
    </xf>
    <xf numFmtId="0" fontId="83" fillId="0" borderId="76" xfId="0" applyFont="1" applyBorder="1" applyAlignment="1">
      <alignment horizontal="center" vertical="center"/>
    </xf>
    <xf numFmtId="0" fontId="83" fillId="0" borderId="77" xfId="0" applyFont="1" applyBorder="1" applyAlignment="1">
      <alignment horizontal="center" vertical="center"/>
    </xf>
    <xf numFmtId="0" fontId="78" fillId="0" borderId="78" xfId="0" quotePrefix="1" applyFont="1" applyBorder="1" applyAlignment="1">
      <alignment horizontal="center" vertical="center"/>
    </xf>
    <xf numFmtId="0" fontId="78" fillId="0" borderId="79" xfId="0" quotePrefix="1" applyFont="1" applyBorder="1" applyAlignment="1">
      <alignment horizontal="center" vertical="center"/>
    </xf>
    <xf numFmtId="0" fontId="83" fillId="0" borderId="80" xfId="0" quotePrefix="1" applyFont="1" applyBorder="1" applyAlignment="1">
      <alignment horizontal="center" vertical="center"/>
    </xf>
    <xf numFmtId="0" fontId="83" fillId="0" borderId="81" xfId="0" quotePrefix="1" applyFont="1" applyBorder="1" applyAlignment="1">
      <alignment horizontal="center" vertical="center"/>
    </xf>
    <xf numFmtId="0" fontId="63" fillId="0" borderId="82" xfId="0" applyFont="1" applyBorder="1" applyAlignment="1">
      <alignment horizontal="center" vertical="center" wrapText="1"/>
    </xf>
    <xf numFmtId="0" fontId="63" fillId="0" borderId="83" xfId="0" applyFont="1" applyBorder="1" applyAlignment="1">
      <alignment horizontal="center" vertical="center" wrapText="1"/>
    </xf>
    <xf numFmtId="0" fontId="63" fillId="0" borderId="21" xfId="0" applyFont="1" applyBorder="1" applyAlignment="1">
      <alignment horizontal="center" vertical="center" wrapText="1"/>
    </xf>
    <xf numFmtId="0" fontId="78" fillId="0" borderId="84" xfId="0" quotePrefix="1" applyFont="1" applyBorder="1" applyAlignment="1">
      <alignment horizontal="center" vertical="center"/>
    </xf>
    <xf numFmtId="0" fontId="78" fillId="0" borderId="4" xfId="0" quotePrefix="1" applyFont="1" applyBorder="1" applyAlignment="1">
      <alignment horizontal="center" vertical="center"/>
    </xf>
    <xf numFmtId="0" fontId="83" fillId="0" borderId="84" xfId="0" quotePrefix="1" applyFont="1" applyBorder="1" applyAlignment="1">
      <alignment horizontal="center" vertical="center"/>
    </xf>
    <xf numFmtId="0" fontId="83" fillId="0" borderId="4" xfId="0" quotePrefix="1" applyFont="1" applyBorder="1" applyAlignment="1">
      <alignment horizontal="center" vertical="center"/>
    </xf>
    <xf numFmtId="0" fontId="74" fillId="9" borderId="7" xfId="2" applyFont="1" applyFill="1" applyBorder="1" applyAlignment="1">
      <alignment horizontal="center" vertical="center" shrinkToFit="1" readingOrder="1"/>
    </xf>
    <xf numFmtId="0" fontId="74" fillId="9" borderId="4" xfId="2" applyFont="1" applyFill="1" applyBorder="1" applyAlignment="1">
      <alignment horizontal="center" vertical="center" shrinkToFit="1" readingOrder="1"/>
    </xf>
    <xf numFmtId="176" fontId="74" fillId="0" borderId="7" xfId="2" quotePrefix="1" applyNumberFormat="1" applyFont="1" applyBorder="1" applyAlignment="1">
      <alignment horizontal="center" vertical="center" shrinkToFit="1" readingOrder="1"/>
    </xf>
    <xf numFmtId="176" fontId="74" fillId="0" borderId="4" xfId="2" quotePrefix="1" applyNumberFormat="1" applyFont="1" applyBorder="1" applyAlignment="1">
      <alignment horizontal="center" vertical="center" shrinkToFit="1" readingOrder="1"/>
    </xf>
    <xf numFmtId="176" fontId="74" fillId="0" borderId="7" xfId="2" quotePrefix="1" applyNumberFormat="1" applyFont="1" applyBorder="1" applyAlignment="1">
      <alignment horizontal="center" vertical="center" wrapText="1" shrinkToFit="1" readingOrder="1"/>
    </xf>
    <xf numFmtId="176" fontId="74" fillId="0" borderId="4" xfId="2" quotePrefix="1" applyNumberFormat="1" applyFont="1" applyBorder="1" applyAlignment="1">
      <alignment horizontal="center" vertical="center" wrapText="1" shrinkToFit="1" readingOrder="1"/>
    </xf>
    <xf numFmtId="176" fontId="74" fillId="3" borderId="7" xfId="2" quotePrefix="1" applyNumberFormat="1" applyFont="1" applyFill="1" applyBorder="1" applyAlignment="1">
      <alignment horizontal="center" vertical="center" wrapText="1" shrinkToFit="1" readingOrder="1"/>
    </xf>
    <xf numFmtId="176" fontId="74" fillId="3" borderId="4" xfId="2" quotePrefix="1" applyNumberFormat="1" applyFont="1" applyFill="1" applyBorder="1" applyAlignment="1">
      <alignment horizontal="center" vertical="center" wrapText="1" shrinkToFit="1" readingOrder="1"/>
    </xf>
    <xf numFmtId="176" fontId="76" fillId="0" borderId="7" xfId="2" quotePrefix="1" applyNumberFormat="1" applyFont="1" applyFill="1" applyBorder="1" applyAlignment="1">
      <alignment horizontal="center" vertical="center" wrapText="1" readingOrder="1"/>
    </xf>
    <xf numFmtId="176" fontId="76" fillId="0" borderId="4" xfId="2" quotePrefix="1" applyNumberFormat="1" applyFont="1" applyFill="1" applyBorder="1" applyAlignment="1">
      <alignment horizontal="center" vertical="center" wrapText="1" readingOrder="1"/>
    </xf>
    <xf numFmtId="176" fontId="75" fillId="0" borderId="7" xfId="2" quotePrefix="1" applyNumberFormat="1" applyFont="1" applyFill="1" applyBorder="1" applyAlignment="1">
      <alignment horizontal="center" vertical="center" wrapText="1" readingOrder="1"/>
    </xf>
    <xf numFmtId="176" fontId="75" fillId="0" borderId="4" xfId="2" quotePrefix="1" applyNumberFormat="1" applyFont="1" applyFill="1" applyBorder="1" applyAlignment="1">
      <alignment horizontal="center" vertical="center" wrapText="1" readingOrder="1"/>
    </xf>
    <xf numFmtId="176" fontId="87" fillId="0" borderId="7" xfId="2" quotePrefix="1" applyNumberFormat="1" applyFont="1" applyBorder="1" applyAlignment="1">
      <alignment horizontal="center" vertical="center" wrapText="1" shrinkToFit="1" readingOrder="1"/>
    </xf>
    <xf numFmtId="176" fontId="87" fillId="0" borderId="4" xfId="2" quotePrefix="1" applyNumberFormat="1" applyFont="1" applyBorder="1" applyAlignment="1">
      <alignment horizontal="center" vertical="center" wrapText="1" shrinkToFit="1" readingOrder="1"/>
    </xf>
    <xf numFmtId="176" fontId="78" fillId="4" borderId="7" xfId="0" quotePrefix="1" applyNumberFormat="1" applyFont="1" applyFill="1" applyBorder="1" applyAlignment="1">
      <alignment horizontal="center" vertical="center" wrapText="1" readingOrder="1"/>
    </xf>
    <xf numFmtId="176" fontId="78" fillId="4" borderId="4" xfId="0" quotePrefix="1" applyNumberFormat="1" applyFont="1" applyFill="1" applyBorder="1" applyAlignment="1">
      <alignment horizontal="center" vertical="center" wrapText="1" readingOrder="1"/>
    </xf>
    <xf numFmtId="176" fontId="78" fillId="0" borderId="7" xfId="0" quotePrefix="1" applyNumberFormat="1" applyFont="1" applyFill="1" applyBorder="1" applyAlignment="1">
      <alignment horizontal="center" vertical="center" wrapText="1" readingOrder="1"/>
    </xf>
    <xf numFmtId="176" fontId="78" fillId="0" borderId="4" xfId="0" quotePrefix="1" applyNumberFormat="1" applyFont="1" applyFill="1" applyBorder="1" applyAlignment="1">
      <alignment horizontal="center" vertical="center" wrapText="1" readingOrder="1"/>
    </xf>
  </cellXfs>
  <cellStyles count="4">
    <cellStyle name="쉼표 [0]" xfId="1" builtinId="6"/>
    <cellStyle name="표준" xfId="0" builtinId="0"/>
    <cellStyle name="표준 2" xfId="2"/>
    <cellStyle name="표준 26" xfId="3"/>
  </cellStyles>
  <dxfs count="2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84"/>
  <sheetViews>
    <sheetView zoomScale="70" zoomScaleNormal="70" workbookViewId="0">
      <pane ySplit="3" topLeftCell="A57" activePane="bottomLeft" state="frozen"/>
      <selection activeCell="Z6" sqref="Z6"/>
      <selection pane="bottomLeft" activeCell="Z6" sqref="Z6"/>
    </sheetView>
  </sheetViews>
  <sheetFormatPr defaultRowHeight="16.5" x14ac:dyDescent="0.3"/>
  <cols>
    <col min="1" max="1" width="9" customWidth="1"/>
    <col min="2" max="2" width="33.75" customWidth="1"/>
    <col min="3" max="3" width="10.75" customWidth="1"/>
    <col min="4" max="4" width="10" customWidth="1"/>
    <col min="5" max="5" width="10.5" customWidth="1"/>
    <col min="6" max="6" width="10" customWidth="1"/>
    <col min="7" max="7" width="4.125" customWidth="1"/>
    <col min="8" max="21" width="10.875" customWidth="1"/>
    <col min="22" max="22" width="5.5" customWidth="1"/>
    <col min="23" max="23" width="10.875" bestFit="1" customWidth="1"/>
  </cols>
  <sheetData>
    <row r="1" spans="1:25" ht="113.25" customHeight="1" x14ac:dyDescent="0.3">
      <c r="A1" s="222" t="s">
        <v>107</v>
      </c>
      <c r="B1" s="223"/>
      <c r="C1" s="226" t="s">
        <v>0</v>
      </c>
      <c r="D1" s="227"/>
      <c r="E1" s="228" t="s">
        <v>19</v>
      </c>
      <c r="F1" s="228"/>
      <c r="G1" s="8"/>
      <c r="H1" s="72" t="s">
        <v>20</v>
      </c>
      <c r="I1" s="102" t="s">
        <v>21</v>
      </c>
      <c r="J1" s="5" t="s">
        <v>7</v>
      </c>
      <c r="K1" s="102" t="s">
        <v>4</v>
      </c>
      <c r="L1" s="5" t="s">
        <v>6</v>
      </c>
      <c r="M1" s="102" t="s">
        <v>5</v>
      </c>
      <c r="N1" s="5" t="s">
        <v>9</v>
      </c>
      <c r="O1" s="102" t="s">
        <v>11</v>
      </c>
      <c r="P1" s="5" t="s">
        <v>8</v>
      </c>
      <c r="Q1" s="102" t="s">
        <v>12</v>
      </c>
      <c r="R1" s="5" t="s">
        <v>95</v>
      </c>
      <c r="S1" s="102" t="s">
        <v>85</v>
      </c>
      <c r="T1" s="5" t="s">
        <v>86</v>
      </c>
      <c r="U1" s="102" t="s">
        <v>87</v>
      </c>
    </row>
    <row r="2" spans="1:25" ht="43.5" customHeight="1" x14ac:dyDescent="0.3">
      <c r="A2" s="224"/>
      <c r="B2" s="225"/>
      <c r="C2" s="73" t="s">
        <v>2</v>
      </c>
      <c r="D2" s="21" t="s">
        <v>1</v>
      </c>
      <c r="E2" s="1" t="s">
        <v>2</v>
      </c>
      <c r="F2" s="1" t="s">
        <v>1</v>
      </c>
      <c r="G2" s="9"/>
      <c r="H2" s="6" t="s">
        <v>3</v>
      </c>
      <c r="I2" s="1" t="s">
        <v>1</v>
      </c>
      <c r="J2" s="6" t="s">
        <v>3</v>
      </c>
      <c r="K2" s="1" t="s">
        <v>1</v>
      </c>
      <c r="L2" s="6" t="s">
        <v>3</v>
      </c>
      <c r="M2" s="1" t="s">
        <v>1</v>
      </c>
      <c r="N2" s="6" t="s">
        <v>3</v>
      </c>
      <c r="O2" s="1" t="s">
        <v>1</v>
      </c>
      <c r="P2" s="6" t="s">
        <v>3</v>
      </c>
      <c r="Q2" s="1" t="s">
        <v>1</v>
      </c>
      <c r="R2" s="6" t="s">
        <v>3</v>
      </c>
      <c r="S2" s="1" t="s">
        <v>1</v>
      </c>
      <c r="T2" s="6" t="s">
        <v>3</v>
      </c>
      <c r="U2" s="1" t="s">
        <v>1</v>
      </c>
    </row>
    <row r="3" spans="1:25" ht="26.25" x14ac:dyDescent="0.3">
      <c r="A3" s="97" t="s">
        <v>14</v>
      </c>
      <c r="B3" s="12" t="s">
        <v>10</v>
      </c>
      <c r="C3" s="29">
        <f>C31+C58+C67</f>
        <v>22</v>
      </c>
      <c r="D3" s="30">
        <f>D31+D58+D67</f>
        <v>0</v>
      </c>
      <c r="E3" s="30">
        <f>E31+E58+E67</f>
        <v>0</v>
      </c>
      <c r="F3" s="14">
        <f>F31+F58+F67</f>
        <v>0</v>
      </c>
      <c r="G3" s="103"/>
      <c r="H3" s="2">
        <f t="shared" ref="H3:U3" si="0">H31+H58+H67</f>
        <v>0</v>
      </c>
      <c r="I3" s="2">
        <f t="shared" si="0"/>
        <v>0</v>
      </c>
      <c r="J3" s="85">
        <f t="shared" si="0"/>
        <v>2</v>
      </c>
      <c r="K3" s="2">
        <f t="shared" si="0"/>
        <v>1</v>
      </c>
      <c r="L3" s="2">
        <f t="shared" si="0"/>
        <v>0</v>
      </c>
      <c r="M3" s="2">
        <f t="shared" si="0"/>
        <v>0</v>
      </c>
      <c r="N3" s="2">
        <f t="shared" si="0"/>
        <v>0</v>
      </c>
      <c r="O3" s="2">
        <f t="shared" si="0"/>
        <v>0</v>
      </c>
      <c r="P3" s="2">
        <f t="shared" si="0"/>
        <v>0</v>
      </c>
      <c r="Q3" s="2">
        <f t="shared" si="0"/>
        <v>0</v>
      </c>
      <c r="R3" s="2">
        <f t="shared" si="0"/>
        <v>2</v>
      </c>
      <c r="S3" s="2">
        <f t="shared" si="0"/>
        <v>0</v>
      </c>
      <c r="T3" s="2">
        <f t="shared" si="0"/>
        <v>0</v>
      </c>
      <c r="U3" s="2">
        <f t="shared" si="0"/>
        <v>0</v>
      </c>
      <c r="V3" s="4">
        <f>D3*10</f>
        <v>0</v>
      </c>
      <c r="W3">
        <f>F3*10+E3</f>
        <v>0</v>
      </c>
      <c r="X3" s="4">
        <f>SUM(H3:Q3)</f>
        <v>3</v>
      </c>
      <c r="Y3" s="11">
        <f>SUM(V3:X3)</f>
        <v>3</v>
      </c>
    </row>
    <row r="4" spans="1:25" ht="24" customHeight="1" x14ac:dyDescent="0.3">
      <c r="A4" s="229" t="s">
        <v>34</v>
      </c>
      <c r="B4" s="3" t="s">
        <v>36</v>
      </c>
      <c r="C4" s="7"/>
      <c r="D4" s="7"/>
      <c r="E4" s="50"/>
      <c r="F4" s="50"/>
      <c r="G4" s="103"/>
      <c r="H4" s="7"/>
      <c r="I4" s="50"/>
      <c r="J4" s="10"/>
      <c r="K4" s="50"/>
      <c r="L4" s="7"/>
      <c r="M4" s="50"/>
      <c r="N4" s="10"/>
      <c r="O4" s="50"/>
      <c r="P4" s="7"/>
      <c r="Q4" s="50"/>
      <c r="R4" s="7"/>
      <c r="S4" s="50"/>
      <c r="T4" s="7"/>
      <c r="U4" s="50"/>
    </row>
    <row r="5" spans="1:25" ht="24" customHeight="1" x14ac:dyDescent="0.3">
      <c r="A5" s="230"/>
      <c r="B5" s="3" t="s">
        <v>82</v>
      </c>
      <c r="C5" s="7"/>
      <c r="D5" s="7"/>
      <c r="E5" s="50"/>
      <c r="F5" s="50"/>
      <c r="G5" s="103"/>
      <c r="H5" s="7"/>
      <c r="I5" s="50"/>
      <c r="J5" s="10"/>
      <c r="K5" s="50"/>
      <c r="L5" s="7"/>
      <c r="M5" s="50"/>
      <c r="N5" s="10"/>
      <c r="O5" s="50"/>
      <c r="P5" s="7"/>
      <c r="Q5" s="50"/>
      <c r="R5" s="7"/>
      <c r="S5" s="50"/>
      <c r="T5" s="7"/>
      <c r="U5" s="50"/>
    </row>
    <row r="6" spans="1:25" ht="24" customHeight="1" x14ac:dyDescent="0.3">
      <c r="A6" s="230"/>
      <c r="B6" s="3" t="s">
        <v>37</v>
      </c>
      <c r="C6" s="7"/>
      <c r="D6" s="7"/>
      <c r="E6" s="50"/>
      <c r="F6" s="50"/>
      <c r="G6" s="103"/>
      <c r="H6" s="7"/>
      <c r="I6" s="50"/>
      <c r="J6" s="10"/>
      <c r="K6" s="50"/>
      <c r="L6" s="7"/>
      <c r="M6" s="50"/>
      <c r="N6" s="10"/>
      <c r="O6" s="50"/>
      <c r="P6" s="7"/>
      <c r="Q6" s="50"/>
      <c r="R6" s="7"/>
      <c r="S6" s="50"/>
      <c r="T6" s="7"/>
      <c r="U6" s="50"/>
    </row>
    <row r="7" spans="1:25" ht="24" customHeight="1" x14ac:dyDescent="0.3">
      <c r="A7" s="230"/>
      <c r="B7" s="3" t="s">
        <v>38</v>
      </c>
      <c r="C7" s="7"/>
      <c r="D7" s="7"/>
      <c r="E7" s="50"/>
      <c r="F7" s="50"/>
      <c r="G7" s="103"/>
      <c r="H7" s="7"/>
      <c r="I7" s="50"/>
      <c r="J7" s="10"/>
      <c r="K7" s="50"/>
      <c r="L7" s="7"/>
      <c r="M7" s="50"/>
      <c r="N7" s="10"/>
      <c r="O7" s="50"/>
      <c r="P7" s="7"/>
      <c r="Q7" s="50"/>
      <c r="R7" s="7"/>
      <c r="S7" s="50"/>
      <c r="T7" s="7"/>
      <c r="U7" s="50"/>
    </row>
    <row r="8" spans="1:25" ht="24" customHeight="1" x14ac:dyDescent="0.3">
      <c r="A8" s="230"/>
      <c r="B8" s="3" t="s">
        <v>50</v>
      </c>
      <c r="C8" s="77"/>
      <c r="D8" s="7"/>
      <c r="E8" s="50"/>
      <c r="F8" s="50"/>
      <c r="G8" s="63"/>
      <c r="H8" s="7"/>
      <c r="I8" s="50"/>
      <c r="J8" s="10"/>
      <c r="K8" s="50"/>
      <c r="L8" s="7"/>
      <c r="M8" s="50"/>
      <c r="N8" s="10"/>
      <c r="O8" s="50"/>
      <c r="P8" s="7"/>
      <c r="Q8" s="50"/>
      <c r="R8" s="7"/>
      <c r="S8" s="50"/>
      <c r="T8" s="7"/>
      <c r="U8" s="50"/>
    </row>
    <row r="9" spans="1:25" ht="24" customHeight="1" x14ac:dyDescent="0.3">
      <c r="A9" s="230"/>
      <c r="B9" s="3" t="s">
        <v>72</v>
      </c>
      <c r="C9" s="7"/>
      <c r="D9" s="7"/>
      <c r="E9" s="50"/>
      <c r="F9" s="50"/>
      <c r="G9" s="103"/>
      <c r="H9" s="7"/>
      <c r="I9" s="50"/>
      <c r="J9" s="10"/>
      <c r="K9" s="50"/>
      <c r="L9" s="7"/>
      <c r="M9" s="50"/>
      <c r="N9" s="10"/>
      <c r="O9" s="50"/>
      <c r="P9" s="7"/>
      <c r="Q9" s="50"/>
      <c r="R9" s="7"/>
      <c r="S9" s="50"/>
      <c r="T9" s="7"/>
      <c r="U9" s="50"/>
    </row>
    <row r="10" spans="1:25" ht="24" customHeight="1" x14ac:dyDescent="0.3">
      <c r="A10" s="230"/>
      <c r="B10" s="3" t="s">
        <v>52</v>
      </c>
      <c r="C10" s="7"/>
      <c r="D10" s="7"/>
      <c r="E10" s="50"/>
      <c r="F10" s="50"/>
      <c r="G10" s="103"/>
      <c r="H10" s="7"/>
      <c r="I10" s="50"/>
      <c r="J10" s="10"/>
      <c r="K10" s="50"/>
      <c r="L10" s="7"/>
      <c r="M10" s="50"/>
      <c r="N10" s="10"/>
      <c r="O10" s="50"/>
      <c r="P10" s="7"/>
      <c r="Q10" s="50"/>
      <c r="R10" s="7"/>
      <c r="S10" s="50"/>
      <c r="T10" s="7"/>
      <c r="U10" s="50"/>
    </row>
    <row r="11" spans="1:25" ht="24" customHeight="1" x14ac:dyDescent="0.3">
      <c r="A11" s="230"/>
      <c r="B11" s="3" t="s">
        <v>39</v>
      </c>
      <c r="C11" s="7"/>
      <c r="D11" s="7"/>
      <c r="E11" s="50"/>
      <c r="F11" s="50"/>
      <c r="G11" s="103"/>
      <c r="H11" s="7"/>
      <c r="I11" s="50"/>
      <c r="J11" s="10"/>
      <c r="K11" s="50"/>
      <c r="L11" s="7"/>
      <c r="M11" s="50"/>
      <c r="N11" s="10"/>
      <c r="O11" s="50"/>
      <c r="P11" s="7"/>
      <c r="Q11" s="50"/>
      <c r="R11" s="7"/>
      <c r="S11" s="50"/>
      <c r="T11" s="7"/>
      <c r="U11" s="50"/>
    </row>
    <row r="12" spans="1:25" ht="24" customHeight="1" x14ac:dyDescent="0.3">
      <c r="A12" s="230"/>
      <c r="B12" s="3" t="s">
        <v>40</v>
      </c>
      <c r="C12" s="7"/>
      <c r="D12" s="77"/>
      <c r="E12" s="76"/>
      <c r="F12" s="50"/>
      <c r="G12" s="80"/>
      <c r="H12" s="7"/>
      <c r="I12" s="76"/>
      <c r="J12" s="7"/>
      <c r="K12" s="50"/>
      <c r="L12" s="7"/>
      <c r="M12" s="76"/>
      <c r="N12" s="10"/>
      <c r="O12" s="76"/>
      <c r="P12" s="7"/>
      <c r="Q12" s="76"/>
      <c r="R12" s="10"/>
      <c r="S12" s="76"/>
      <c r="T12" s="77"/>
      <c r="U12" s="76"/>
    </row>
    <row r="13" spans="1:25" ht="24" customHeight="1" x14ac:dyDescent="0.3">
      <c r="A13" s="230"/>
      <c r="B13" s="3" t="s">
        <v>41</v>
      </c>
      <c r="C13" s="7"/>
      <c r="D13" s="7"/>
      <c r="E13" s="50"/>
      <c r="F13" s="50"/>
      <c r="G13" s="103"/>
      <c r="H13" s="7"/>
      <c r="I13" s="50"/>
      <c r="J13" s="10"/>
      <c r="K13" s="50"/>
      <c r="L13" s="7"/>
      <c r="M13" s="50"/>
      <c r="N13" s="10"/>
      <c r="O13" s="50"/>
      <c r="P13" s="7"/>
      <c r="Q13" s="50"/>
      <c r="R13" s="7"/>
      <c r="S13" s="50"/>
      <c r="T13" s="7"/>
      <c r="U13" s="50"/>
    </row>
    <row r="14" spans="1:25" ht="24" customHeight="1" x14ac:dyDescent="0.3">
      <c r="A14" s="230"/>
      <c r="B14" s="3" t="s">
        <v>42</v>
      </c>
      <c r="C14" s="7"/>
      <c r="D14" s="7"/>
      <c r="E14" s="50"/>
      <c r="F14" s="50"/>
      <c r="G14" s="103"/>
      <c r="H14" s="7"/>
      <c r="I14" s="50"/>
      <c r="J14" s="10"/>
      <c r="K14" s="50"/>
      <c r="L14" s="7"/>
      <c r="M14" s="50"/>
      <c r="N14" s="10"/>
      <c r="O14" s="50"/>
      <c r="P14" s="7"/>
      <c r="Q14" s="50"/>
      <c r="R14" s="7"/>
      <c r="S14" s="50"/>
      <c r="T14" s="7"/>
      <c r="U14" s="50"/>
    </row>
    <row r="15" spans="1:25" ht="24" customHeight="1" x14ac:dyDescent="0.3">
      <c r="A15" s="230"/>
      <c r="B15" s="3" t="s">
        <v>43</v>
      </c>
      <c r="C15" s="7"/>
      <c r="D15" s="7"/>
      <c r="E15" s="50"/>
      <c r="F15" s="50"/>
      <c r="G15" s="103"/>
      <c r="H15" s="7"/>
      <c r="I15" s="50"/>
      <c r="J15" s="10"/>
      <c r="K15" s="50"/>
      <c r="L15" s="7"/>
      <c r="M15" s="50"/>
      <c r="N15" s="10"/>
      <c r="O15" s="50"/>
      <c r="P15" s="7"/>
      <c r="Q15" s="50"/>
      <c r="R15" s="7"/>
      <c r="S15" s="50"/>
      <c r="T15" s="7"/>
      <c r="U15" s="50"/>
    </row>
    <row r="16" spans="1:25" ht="24" customHeight="1" x14ac:dyDescent="0.3">
      <c r="A16" s="230"/>
      <c r="B16" s="3" t="s">
        <v>51</v>
      </c>
      <c r="C16" s="7"/>
      <c r="D16" s="7"/>
      <c r="E16" s="50"/>
      <c r="F16" s="50"/>
      <c r="G16" s="103"/>
      <c r="H16" s="7"/>
      <c r="I16" s="50"/>
      <c r="J16" s="10"/>
      <c r="K16" s="50"/>
      <c r="L16" s="7"/>
      <c r="M16" s="50"/>
      <c r="N16" s="10"/>
      <c r="O16" s="50"/>
      <c r="P16" s="7"/>
      <c r="Q16" s="50"/>
      <c r="R16" s="7"/>
      <c r="S16" s="50"/>
      <c r="T16" s="7"/>
      <c r="U16" s="50"/>
    </row>
    <row r="17" spans="1:28" ht="24" customHeight="1" x14ac:dyDescent="0.3">
      <c r="A17" s="230"/>
      <c r="B17" s="3" t="s">
        <v>44</v>
      </c>
      <c r="C17" s="7"/>
      <c r="D17" s="7"/>
      <c r="E17" s="50"/>
      <c r="F17" s="50"/>
      <c r="G17" s="103"/>
      <c r="H17" s="7"/>
      <c r="I17" s="50"/>
      <c r="J17" s="10"/>
      <c r="K17" s="50"/>
      <c r="L17" s="7"/>
      <c r="M17" s="50"/>
      <c r="N17" s="10"/>
      <c r="O17" s="50"/>
      <c r="P17" s="7"/>
      <c r="Q17" s="50"/>
      <c r="R17" s="7"/>
      <c r="S17" s="50"/>
      <c r="T17" s="7"/>
      <c r="U17" s="50"/>
    </row>
    <row r="18" spans="1:28" ht="24" customHeight="1" x14ac:dyDescent="0.3">
      <c r="A18" s="230"/>
      <c r="B18" s="100" t="s">
        <v>91</v>
      </c>
      <c r="C18" s="7"/>
      <c r="D18" s="7"/>
      <c r="E18" s="50"/>
      <c r="F18" s="50"/>
      <c r="G18" s="103"/>
      <c r="H18" s="7"/>
      <c r="I18" s="50"/>
      <c r="J18" s="10"/>
      <c r="K18" s="50"/>
      <c r="L18" s="7"/>
      <c r="M18" s="50"/>
      <c r="N18" s="10"/>
      <c r="O18" s="50"/>
      <c r="P18" s="7"/>
      <c r="Q18" s="50"/>
      <c r="R18" s="7"/>
      <c r="S18" s="50"/>
      <c r="T18" s="7"/>
      <c r="U18" s="50"/>
    </row>
    <row r="19" spans="1:28" ht="24" customHeight="1" x14ac:dyDescent="0.3">
      <c r="A19" s="230"/>
      <c r="B19" s="100" t="s">
        <v>46</v>
      </c>
      <c r="C19" s="7"/>
      <c r="D19" s="7"/>
      <c r="E19" s="50"/>
      <c r="F19" s="50"/>
      <c r="G19" s="103"/>
      <c r="H19" s="7"/>
      <c r="I19" s="50"/>
      <c r="J19" s="10">
        <v>2</v>
      </c>
      <c r="K19" s="50"/>
      <c r="L19" s="7"/>
      <c r="M19" s="50"/>
      <c r="N19" s="10"/>
      <c r="O19" s="50"/>
      <c r="P19" s="7"/>
      <c r="Q19" s="50"/>
      <c r="R19" s="7">
        <v>2</v>
      </c>
      <c r="S19" s="50"/>
      <c r="T19" s="7"/>
      <c r="U19" s="76"/>
    </row>
    <row r="20" spans="1:28" ht="24" customHeight="1" x14ac:dyDescent="0.3">
      <c r="A20" s="230"/>
      <c r="B20" s="100" t="s">
        <v>48</v>
      </c>
      <c r="C20" s="7"/>
      <c r="D20" s="7"/>
      <c r="E20" s="50"/>
      <c r="F20" s="50"/>
      <c r="G20" s="103"/>
      <c r="H20" s="7"/>
      <c r="I20" s="50"/>
      <c r="J20" s="10"/>
      <c r="K20" s="50"/>
      <c r="L20" s="7"/>
      <c r="M20" s="50"/>
      <c r="N20" s="10"/>
      <c r="O20" s="50"/>
      <c r="P20" s="7"/>
      <c r="Q20" s="50"/>
      <c r="R20" s="7"/>
      <c r="S20" s="50"/>
      <c r="T20" s="7"/>
      <c r="U20" s="50"/>
    </row>
    <row r="21" spans="1:28" ht="24" customHeight="1" x14ac:dyDescent="0.3">
      <c r="A21" s="230"/>
      <c r="B21" s="3" t="s">
        <v>75</v>
      </c>
      <c r="C21" s="7"/>
      <c r="D21" s="7"/>
      <c r="E21" s="50"/>
      <c r="F21" s="50"/>
      <c r="G21" s="103"/>
      <c r="H21" s="7"/>
      <c r="I21" s="50"/>
      <c r="J21" s="10"/>
      <c r="K21" s="50"/>
      <c r="L21" s="7"/>
      <c r="M21" s="50"/>
      <c r="N21" s="10"/>
      <c r="O21" s="50"/>
      <c r="P21" s="7"/>
      <c r="Q21" s="50"/>
      <c r="R21" s="7"/>
      <c r="S21" s="50"/>
      <c r="T21" s="7"/>
      <c r="U21" s="50"/>
    </row>
    <row r="22" spans="1:28" ht="24" customHeight="1" x14ac:dyDescent="0.3">
      <c r="A22" s="230"/>
      <c r="B22" s="3" t="s">
        <v>73</v>
      </c>
      <c r="C22" s="7"/>
      <c r="D22" s="7"/>
      <c r="E22" s="50"/>
      <c r="F22" s="50"/>
      <c r="G22" s="103"/>
      <c r="H22" s="7"/>
      <c r="I22" s="50"/>
      <c r="J22" s="10"/>
      <c r="K22" s="50"/>
      <c r="L22" s="7"/>
      <c r="M22" s="50"/>
      <c r="N22" s="10"/>
      <c r="O22" s="50"/>
      <c r="P22" s="7"/>
      <c r="Q22" s="50"/>
      <c r="R22" s="7"/>
      <c r="S22" s="50"/>
      <c r="T22" s="7"/>
      <c r="U22" s="50"/>
    </row>
    <row r="23" spans="1:28" ht="24" customHeight="1" x14ac:dyDescent="0.3">
      <c r="A23" s="230"/>
      <c r="B23" s="3" t="s">
        <v>62</v>
      </c>
      <c r="C23" s="7"/>
      <c r="D23" s="7"/>
      <c r="E23" s="50"/>
      <c r="F23" s="50"/>
      <c r="G23" s="103"/>
      <c r="H23" s="7"/>
      <c r="I23" s="50"/>
      <c r="J23" s="10"/>
      <c r="K23" s="50"/>
      <c r="L23" s="7"/>
      <c r="M23" s="50"/>
      <c r="N23" s="10"/>
      <c r="O23" s="50"/>
      <c r="P23" s="7"/>
      <c r="Q23" s="50"/>
      <c r="R23" s="7"/>
      <c r="S23" s="50"/>
      <c r="T23" s="7"/>
      <c r="U23" s="50"/>
    </row>
    <row r="24" spans="1:28" ht="24" customHeight="1" x14ac:dyDescent="0.3">
      <c r="A24" s="230"/>
      <c r="B24" s="3" t="s">
        <v>81</v>
      </c>
      <c r="C24" s="7"/>
      <c r="D24" s="77"/>
      <c r="E24" s="76"/>
      <c r="F24" s="50"/>
      <c r="G24" s="80"/>
      <c r="H24" s="7"/>
      <c r="I24" s="76"/>
      <c r="J24" s="10"/>
      <c r="K24" s="50"/>
      <c r="L24" s="7"/>
      <c r="M24" s="50"/>
      <c r="N24" s="10"/>
      <c r="O24" s="50"/>
      <c r="P24" s="7"/>
      <c r="Q24" s="50"/>
      <c r="R24" s="7"/>
      <c r="S24" s="50"/>
      <c r="T24" s="7"/>
      <c r="U24" s="50"/>
    </row>
    <row r="25" spans="1:28" ht="24" customHeight="1" x14ac:dyDescent="0.3">
      <c r="A25" s="230"/>
      <c r="B25" s="3" t="s">
        <v>76</v>
      </c>
      <c r="C25" s="7"/>
      <c r="D25" s="7"/>
      <c r="E25" s="50"/>
      <c r="F25" s="50"/>
      <c r="G25" s="103"/>
      <c r="H25" s="7"/>
      <c r="I25" s="50"/>
      <c r="J25" s="10"/>
      <c r="K25" s="50"/>
      <c r="L25" s="7"/>
      <c r="M25" s="50"/>
      <c r="N25" s="10"/>
      <c r="O25" s="50"/>
      <c r="P25" s="7"/>
      <c r="Q25" s="50"/>
      <c r="R25" s="7"/>
      <c r="S25" s="50"/>
      <c r="T25" s="7"/>
      <c r="U25" s="50"/>
      <c r="Y25" s="82"/>
    </row>
    <row r="26" spans="1:28" ht="24" customHeight="1" x14ac:dyDescent="0.3">
      <c r="A26" s="230"/>
      <c r="B26" s="3" t="s">
        <v>89</v>
      </c>
      <c r="C26" s="7"/>
      <c r="D26" s="7"/>
      <c r="E26" s="50"/>
      <c r="F26" s="50"/>
      <c r="G26" s="103"/>
      <c r="H26" s="7"/>
      <c r="I26" s="50"/>
      <c r="J26" s="10"/>
      <c r="K26" s="50"/>
      <c r="L26" s="7"/>
      <c r="M26" s="50"/>
      <c r="N26" s="10"/>
      <c r="O26" s="50"/>
      <c r="P26" s="7"/>
      <c r="Q26" s="50"/>
      <c r="R26" s="7"/>
      <c r="S26" s="50"/>
      <c r="T26" s="7"/>
      <c r="U26" s="50"/>
      <c r="Y26" s="82"/>
    </row>
    <row r="27" spans="1:28" ht="24" customHeight="1" x14ac:dyDescent="0.3">
      <c r="A27" s="230"/>
      <c r="B27" s="3" t="s">
        <v>90</v>
      </c>
      <c r="C27" s="7"/>
      <c r="D27" s="7"/>
      <c r="E27" s="50"/>
      <c r="F27" s="50"/>
      <c r="G27" s="103"/>
      <c r="H27" s="7"/>
      <c r="I27" s="50"/>
      <c r="J27" s="10"/>
      <c r="K27" s="50"/>
      <c r="L27" s="7"/>
      <c r="M27" s="50"/>
      <c r="N27" s="10"/>
      <c r="O27" s="50"/>
      <c r="P27" s="7"/>
      <c r="Q27" s="50"/>
      <c r="R27" s="7"/>
      <c r="S27" s="50"/>
      <c r="T27" s="7"/>
      <c r="U27" s="50"/>
      <c r="Y27" s="82"/>
    </row>
    <row r="28" spans="1:28" ht="24" customHeight="1" x14ac:dyDescent="0.3">
      <c r="A28" s="230"/>
      <c r="B28" s="3" t="s">
        <v>49</v>
      </c>
      <c r="C28" s="7"/>
      <c r="D28" s="7"/>
      <c r="E28" s="50"/>
      <c r="F28" s="50"/>
      <c r="G28" s="103"/>
      <c r="H28" s="7"/>
      <c r="I28" s="50"/>
      <c r="J28" s="86"/>
      <c r="K28" s="50">
        <v>1</v>
      </c>
      <c r="L28" s="7"/>
      <c r="M28" s="50"/>
      <c r="N28" s="10"/>
      <c r="O28" s="50"/>
      <c r="P28" s="7"/>
      <c r="Q28" s="50"/>
      <c r="R28" s="7"/>
      <c r="S28" s="50"/>
      <c r="T28" s="7"/>
      <c r="U28" s="50"/>
      <c r="X28" s="232"/>
      <c r="Y28" s="232"/>
      <c r="Z28" s="232"/>
      <c r="AA28" s="232"/>
      <c r="AB28" s="232"/>
    </row>
    <row r="29" spans="1:28" ht="24" customHeight="1" x14ac:dyDescent="0.3">
      <c r="A29" s="230"/>
      <c r="B29" s="3" t="s">
        <v>74</v>
      </c>
      <c r="C29" s="7"/>
      <c r="D29" s="7"/>
      <c r="E29" s="50"/>
      <c r="F29" s="50"/>
      <c r="H29" s="7"/>
      <c r="I29" s="50"/>
      <c r="J29" s="10"/>
      <c r="K29" s="50"/>
      <c r="L29" s="7"/>
      <c r="M29" s="50"/>
      <c r="N29" s="10"/>
      <c r="O29" s="50"/>
      <c r="P29" s="7"/>
      <c r="Q29" s="50"/>
      <c r="R29" s="7"/>
      <c r="S29" s="50"/>
      <c r="T29" s="7"/>
      <c r="U29" s="50"/>
    </row>
    <row r="30" spans="1:28" ht="24" customHeight="1" x14ac:dyDescent="0.3">
      <c r="A30" s="230"/>
      <c r="B30" s="3" t="s">
        <v>55</v>
      </c>
      <c r="C30" s="7"/>
      <c r="D30" s="7"/>
      <c r="E30" s="50"/>
      <c r="F30" s="50"/>
      <c r="G30" s="103"/>
      <c r="H30" s="7"/>
      <c r="I30" s="50"/>
      <c r="J30" s="10"/>
      <c r="K30" s="50"/>
      <c r="L30" s="7"/>
      <c r="M30" s="50"/>
      <c r="N30" s="10"/>
      <c r="O30" s="50"/>
      <c r="P30" s="7"/>
      <c r="Q30" s="50"/>
      <c r="R30" s="7"/>
      <c r="S30" s="50"/>
      <c r="T30" s="7"/>
      <c r="U30" s="50"/>
    </row>
    <row r="31" spans="1:28" ht="27" thickBot="1" x14ac:dyDescent="0.35">
      <c r="A31" s="231"/>
      <c r="B31" s="31"/>
      <c r="C31" s="31">
        <f>SUM(C4:C30)</f>
        <v>0</v>
      </c>
      <c r="D31" s="31">
        <f>SUM(D4:D30)</f>
        <v>0</v>
      </c>
      <c r="E31" s="31">
        <f>SUM(E4:E30)</f>
        <v>0</v>
      </c>
      <c r="F31" s="31">
        <f>SUM(F4:F30)</f>
        <v>0</v>
      </c>
      <c r="G31" s="103"/>
      <c r="H31" s="2">
        <f t="shared" ref="H31:U31" si="1">SUM(H4:H30)</f>
        <v>0</v>
      </c>
      <c r="I31" s="2">
        <f t="shared" si="1"/>
        <v>0</v>
      </c>
      <c r="J31" s="2">
        <f t="shared" si="1"/>
        <v>2</v>
      </c>
      <c r="K31" s="2">
        <f t="shared" si="1"/>
        <v>1</v>
      </c>
      <c r="L31" s="2">
        <f t="shared" si="1"/>
        <v>0</v>
      </c>
      <c r="M31" s="2">
        <f t="shared" si="1"/>
        <v>0</v>
      </c>
      <c r="N31" s="2">
        <f t="shared" si="1"/>
        <v>0</v>
      </c>
      <c r="O31" s="2">
        <f t="shared" si="1"/>
        <v>0</v>
      </c>
      <c r="P31" s="2">
        <f t="shared" si="1"/>
        <v>0</v>
      </c>
      <c r="Q31" s="2">
        <f t="shared" si="1"/>
        <v>0</v>
      </c>
      <c r="R31" s="2">
        <f t="shared" si="1"/>
        <v>2</v>
      </c>
      <c r="S31" s="2">
        <f t="shared" si="1"/>
        <v>0</v>
      </c>
      <c r="T31" s="2">
        <f t="shared" si="1"/>
        <v>0</v>
      </c>
      <c r="U31" s="2">
        <f t="shared" si="1"/>
        <v>0</v>
      </c>
      <c r="W31" s="35"/>
      <c r="X31" s="18"/>
      <c r="Y31" s="18"/>
    </row>
    <row r="32" spans="1:28" ht="24" customHeight="1" thickTop="1" x14ac:dyDescent="0.3">
      <c r="A32" s="233" t="s">
        <v>27</v>
      </c>
      <c r="B32" s="23" t="s">
        <v>63</v>
      </c>
      <c r="C32" s="28"/>
      <c r="D32" s="28"/>
      <c r="E32" s="15"/>
      <c r="F32" s="16"/>
      <c r="G32" s="25"/>
      <c r="H32" s="43"/>
      <c r="I32" s="50"/>
      <c r="J32" s="10"/>
      <c r="K32" s="50"/>
      <c r="L32" s="7"/>
      <c r="M32" s="50"/>
      <c r="N32" s="7"/>
      <c r="O32" s="50"/>
      <c r="P32" s="7"/>
      <c r="Q32" s="50"/>
      <c r="R32" s="7"/>
      <c r="S32" s="50"/>
      <c r="T32" s="7"/>
      <c r="U32" s="50"/>
      <c r="W32" s="18"/>
      <c r="X32" s="18"/>
      <c r="Y32" s="18"/>
      <c r="Z32" s="18"/>
      <c r="AA32" s="18"/>
    </row>
    <row r="33" spans="1:27" ht="24" customHeight="1" x14ac:dyDescent="0.3">
      <c r="A33" s="233"/>
      <c r="B33" s="24" t="s">
        <v>94</v>
      </c>
      <c r="C33" s="32">
        <v>3</v>
      </c>
      <c r="D33" s="32"/>
      <c r="E33" s="54"/>
      <c r="F33" s="22"/>
      <c r="G33" s="25"/>
      <c r="H33" s="43"/>
      <c r="I33" s="50"/>
      <c r="J33" s="10"/>
      <c r="K33" s="50"/>
      <c r="L33" s="7"/>
      <c r="M33" s="50"/>
      <c r="N33" s="7"/>
      <c r="O33" s="50"/>
      <c r="P33" s="7"/>
      <c r="Q33" s="50"/>
      <c r="R33" s="7"/>
      <c r="S33" s="50"/>
      <c r="T33" s="7"/>
      <c r="U33" s="50"/>
      <c r="W33" s="18"/>
      <c r="X33" s="18"/>
      <c r="Y33" s="18"/>
      <c r="Z33" s="18"/>
      <c r="AA33" s="18"/>
    </row>
    <row r="34" spans="1:27" ht="24" customHeight="1" x14ac:dyDescent="0.3">
      <c r="A34" s="233"/>
      <c r="B34" s="24" t="s">
        <v>54</v>
      </c>
      <c r="C34" s="32"/>
      <c r="D34" s="32"/>
      <c r="E34" s="54"/>
      <c r="F34" s="22"/>
      <c r="G34" s="25"/>
      <c r="H34" s="10"/>
      <c r="I34" s="50"/>
      <c r="J34" s="10"/>
      <c r="K34" s="50"/>
      <c r="L34" s="7"/>
      <c r="M34" s="50"/>
      <c r="N34" s="7"/>
      <c r="O34" s="50"/>
      <c r="P34" s="7"/>
      <c r="Q34" s="76"/>
      <c r="R34" s="7"/>
      <c r="S34" s="50"/>
      <c r="T34" s="7"/>
      <c r="U34" s="50"/>
      <c r="W34" s="18"/>
      <c r="X34" s="18"/>
      <c r="Y34" s="18"/>
      <c r="Z34" s="18"/>
      <c r="AA34" s="18"/>
    </row>
    <row r="35" spans="1:27" ht="24" customHeight="1" x14ac:dyDescent="0.3">
      <c r="A35" s="233"/>
      <c r="B35" s="24" t="s">
        <v>56</v>
      </c>
      <c r="C35" s="32"/>
      <c r="D35" s="32"/>
      <c r="E35" s="54"/>
      <c r="F35" s="22"/>
      <c r="G35" s="25"/>
      <c r="H35" s="43"/>
      <c r="I35" s="50"/>
      <c r="J35" s="10"/>
      <c r="K35" s="50"/>
      <c r="L35" s="7"/>
      <c r="M35" s="50"/>
      <c r="N35" s="7"/>
      <c r="O35" s="50"/>
      <c r="P35" s="7"/>
      <c r="Q35" s="50"/>
      <c r="R35" s="7"/>
      <c r="S35" s="50"/>
      <c r="T35" s="7"/>
      <c r="U35" s="50"/>
      <c r="W35" s="18"/>
      <c r="X35" s="18"/>
      <c r="Y35" s="18"/>
      <c r="Z35" s="18"/>
      <c r="AA35" s="18"/>
    </row>
    <row r="36" spans="1:27" ht="24" customHeight="1" x14ac:dyDescent="0.3">
      <c r="A36" s="233"/>
      <c r="B36" s="24" t="s">
        <v>78</v>
      </c>
      <c r="C36" s="32"/>
      <c r="D36" s="32"/>
      <c r="E36" s="54"/>
      <c r="F36" s="22"/>
      <c r="G36" s="25"/>
      <c r="H36" s="43"/>
      <c r="I36" s="50"/>
      <c r="J36" s="10"/>
      <c r="K36" s="50"/>
      <c r="L36" s="7"/>
      <c r="M36" s="50"/>
      <c r="N36" s="7"/>
      <c r="O36" s="50"/>
      <c r="P36" s="7"/>
      <c r="Q36" s="50"/>
      <c r="R36" s="7"/>
      <c r="S36" s="50"/>
      <c r="T36" s="7"/>
      <c r="U36" s="50"/>
      <c r="W36" s="18"/>
      <c r="X36" s="18"/>
      <c r="Y36" s="18"/>
      <c r="Z36" s="18"/>
      <c r="AA36" s="18"/>
    </row>
    <row r="37" spans="1:27" ht="24" customHeight="1" x14ac:dyDescent="0.3">
      <c r="A37" s="233"/>
      <c r="B37" s="24" t="s">
        <v>53</v>
      </c>
      <c r="C37" s="32"/>
      <c r="D37" s="32"/>
      <c r="E37" s="54"/>
      <c r="F37" s="22"/>
      <c r="G37" s="25"/>
      <c r="H37" s="43"/>
      <c r="I37" s="50"/>
      <c r="J37" s="10"/>
      <c r="K37" s="50"/>
      <c r="L37" s="7"/>
      <c r="M37" s="50"/>
      <c r="N37" s="7"/>
      <c r="O37" s="50"/>
      <c r="P37" s="7"/>
      <c r="Q37" s="50"/>
      <c r="R37" s="7"/>
      <c r="S37" s="50"/>
      <c r="T37" s="7"/>
      <c r="U37" s="50"/>
      <c r="W37" s="18"/>
      <c r="X37" s="18"/>
      <c r="Y37" s="18"/>
      <c r="Z37" s="18"/>
      <c r="AA37" s="18"/>
    </row>
    <row r="38" spans="1:27" ht="24" customHeight="1" x14ac:dyDescent="0.3">
      <c r="A38" s="233"/>
      <c r="B38" s="24" t="s">
        <v>66</v>
      </c>
      <c r="C38" s="32"/>
      <c r="D38" s="32"/>
      <c r="E38" s="54"/>
      <c r="F38" s="22"/>
      <c r="G38" s="25"/>
      <c r="H38" s="43"/>
      <c r="I38" s="50"/>
      <c r="J38" s="10"/>
      <c r="K38" s="50"/>
      <c r="L38" s="7"/>
      <c r="M38" s="50"/>
      <c r="N38" s="7"/>
      <c r="O38" s="50"/>
      <c r="P38" s="7"/>
      <c r="Q38" s="50"/>
      <c r="R38" s="7"/>
      <c r="S38" s="50"/>
      <c r="T38" s="7"/>
      <c r="U38" s="50"/>
      <c r="W38" s="18"/>
      <c r="X38" s="18"/>
      <c r="Y38" s="18"/>
      <c r="Z38" s="18"/>
      <c r="AA38" s="18"/>
    </row>
    <row r="39" spans="1:27" ht="24" customHeight="1" x14ac:dyDescent="0.3">
      <c r="A39" s="233"/>
      <c r="B39" s="24" t="s">
        <v>70</v>
      </c>
      <c r="C39" s="32"/>
      <c r="D39" s="32"/>
      <c r="E39" s="54"/>
      <c r="F39" s="22"/>
      <c r="G39" s="25"/>
      <c r="H39" s="43"/>
      <c r="I39" s="50"/>
      <c r="J39" s="10"/>
      <c r="K39" s="50"/>
      <c r="L39" s="7"/>
      <c r="M39" s="50"/>
      <c r="N39" s="7"/>
      <c r="O39" s="50"/>
      <c r="P39" s="7"/>
      <c r="Q39" s="50"/>
      <c r="R39" s="7"/>
      <c r="S39" s="50"/>
      <c r="T39" s="7"/>
      <c r="U39" s="50"/>
      <c r="W39" s="18"/>
      <c r="X39" s="18"/>
      <c r="Y39" s="18"/>
      <c r="Z39" s="18"/>
      <c r="AA39" s="18"/>
    </row>
    <row r="40" spans="1:27" ht="24" customHeight="1" x14ac:dyDescent="0.3">
      <c r="A40" s="233"/>
      <c r="B40" s="24" t="s">
        <v>58</v>
      </c>
      <c r="C40" s="32"/>
      <c r="D40" s="32"/>
      <c r="E40" s="54"/>
      <c r="F40" s="22"/>
      <c r="G40" s="25"/>
      <c r="H40" s="7"/>
      <c r="I40" s="50"/>
      <c r="J40" s="10"/>
      <c r="K40" s="50"/>
      <c r="L40" s="7"/>
      <c r="M40" s="50"/>
      <c r="N40" s="7"/>
      <c r="O40" s="50"/>
      <c r="P40" s="7"/>
      <c r="Q40" s="50"/>
      <c r="R40" s="7"/>
      <c r="S40" s="50"/>
      <c r="T40" s="7"/>
      <c r="U40" s="50"/>
      <c r="W40" s="18"/>
      <c r="X40" s="18"/>
      <c r="Y40" s="18"/>
      <c r="Z40" s="18"/>
      <c r="AA40" s="18"/>
    </row>
    <row r="41" spans="1:27" ht="24" customHeight="1" x14ac:dyDescent="0.3">
      <c r="A41" s="233"/>
      <c r="B41" s="24" t="s">
        <v>71</v>
      </c>
      <c r="C41" s="32">
        <v>2</v>
      </c>
      <c r="D41" s="32"/>
      <c r="E41" s="54"/>
      <c r="F41" s="22"/>
      <c r="G41" s="25"/>
      <c r="H41" s="43"/>
      <c r="I41" s="50"/>
      <c r="J41" s="10"/>
      <c r="K41" s="50"/>
      <c r="L41" s="7"/>
      <c r="M41" s="50"/>
      <c r="N41" s="7"/>
      <c r="O41" s="50"/>
      <c r="P41" s="7"/>
      <c r="Q41" s="50"/>
      <c r="R41" s="7"/>
      <c r="S41" s="50"/>
      <c r="T41" s="7"/>
      <c r="U41" s="50"/>
      <c r="W41" s="18"/>
      <c r="X41" s="18"/>
      <c r="Y41" s="18"/>
      <c r="Z41" s="18"/>
      <c r="AA41" s="18"/>
    </row>
    <row r="42" spans="1:27" ht="24" customHeight="1" x14ac:dyDescent="0.3">
      <c r="A42" s="233"/>
      <c r="B42" s="24" t="s">
        <v>77</v>
      </c>
      <c r="C42" s="32">
        <v>1</v>
      </c>
      <c r="D42" s="32"/>
      <c r="E42" s="54"/>
      <c r="F42" s="22"/>
      <c r="G42" s="25"/>
      <c r="H42" s="7"/>
      <c r="I42" s="50"/>
      <c r="J42" s="10"/>
      <c r="K42" s="50"/>
      <c r="L42" s="7"/>
      <c r="M42" s="50"/>
      <c r="N42" s="7"/>
      <c r="O42" s="50"/>
      <c r="P42" s="7"/>
      <c r="Q42" s="50"/>
      <c r="R42" s="7"/>
      <c r="S42" s="50"/>
      <c r="T42" s="7"/>
      <c r="U42" s="50"/>
      <c r="W42" s="18"/>
      <c r="X42" s="18"/>
      <c r="Y42" s="18"/>
      <c r="Z42" s="18"/>
      <c r="AA42" s="18"/>
    </row>
    <row r="43" spans="1:27" ht="24" customHeight="1" x14ac:dyDescent="0.3">
      <c r="A43" s="233"/>
      <c r="B43" s="24" t="s">
        <v>57</v>
      </c>
      <c r="C43" s="32">
        <v>2</v>
      </c>
      <c r="D43" s="56"/>
      <c r="E43" s="54"/>
      <c r="F43" s="22"/>
      <c r="G43" s="25"/>
      <c r="H43" s="43"/>
      <c r="I43" s="50"/>
      <c r="J43" s="10"/>
      <c r="K43" s="50"/>
      <c r="L43" s="7"/>
      <c r="M43" s="50"/>
      <c r="N43" s="7"/>
      <c r="O43" s="50"/>
      <c r="P43" s="7"/>
      <c r="Q43" s="76"/>
      <c r="R43" s="7"/>
      <c r="S43" s="50"/>
      <c r="T43" s="7"/>
      <c r="U43" s="50"/>
      <c r="W43" s="18"/>
      <c r="X43" s="18"/>
      <c r="Y43" s="18"/>
      <c r="Z43" s="18"/>
      <c r="AA43" s="18"/>
    </row>
    <row r="44" spans="1:27" ht="24" customHeight="1" x14ac:dyDescent="0.3">
      <c r="A44" s="233"/>
      <c r="B44" s="24" t="s">
        <v>68</v>
      </c>
      <c r="C44" s="32"/>
      <c r="D44" s="32"/>
      <c r="E44" s="54"/>
      <c r="F44" s="22"/>
      <c r="G44" s="25"/>
      <c r="H44" s="43"/>
      <c r="I44" s="50"/>
      <c r="J44" s="10"/>
      <c r="K44" s="50"/>
      <c r="L44" s="7"/>
      <c r="M44" s="50"/>
      <c r="N44" s="7"/>
      <c r="O44" s="50"/>
      <c r="P44" s="7"/>
      <c r="Q44" s="50"/>
      <c r="R44" s="7"/>
      <c r="S44" s="50"/>
      <c r="T44" s="7"/>
      <c r="U44" s="50"/>
      <c r="W44" s="18"/>
      <c r="X44" s="18"/>
      <c r="Y44" s="18"/>
      <c r="Z44" s="18"/>
      <c r="AA44" s="18"/>
    </row>
    <row r="45" spans="1:27" ht="24" customHeight="1" x14ac:dyDescent="0.3">
      <c r="A45" s="233"/>
      <c r="B45" s="24" t="s">
        <v>65</v>
      </c>
      <c r="C45" s="32"/>
      <c r="D45" s="32"/>
      <c r="E45" s="101"/>
      <c r="F45" s="22"/>
      <c r="G45" s="25"/>
      <c r="H45" s="43"/>
      <c r="I45" s="50"/>
      <c r="J45" s="10"/>
      <c r="K45" s="50"/>
      <c r="L45" s="7"/>
      <c r="M45" s="50"/>
      <c r="N45" s="7"/>
      <c r="O45" s="50"/>
      <c r="P45" s="7"/>
      <c r="Q45" s="50"/>
      <c r="R45" s="7"/>
      <c r="S45" s="50"/>
      <c r="T45" s="7"/>
      <c r="U45" s="50"/>
      <c r="W45" s="18"/>
      <c r="X45" s="18"/>
      <c r="Y45" s="18"/>
      <c r="Z45" s="18"/>
      <c r="AA45" s="18"/>
    </row>
    <row r="46" spans="1:27" ht="24" customHeight="1" x14ac:dyDescent="0.3">
      <c r="A46" s="233"/>
      <c r="B46" s="24" t="s">
        <v>67</v>
      </c>
      <c r="C46" s="32"/>
      <c r="D46" s="32"/>
      <c r="E46" s="54"/>
      <c r="F46" s="22"/>
      <c r="G46" s="25"/>
      <c r="H46" s="43"/>
      <c r="I46" s="50"/>
      <c r="J46" s="10"/>
      <c r="K46" s="50"/>
      <c r="L46" s="7"/>
      <c r="M46" s="50"/>
      <c r="N46" s="7"/>
      <c r="O46" s="50"/>
      <c r="P46" s="7"/>
      <c r="Q46" s="50"/>
      <c r="R46" s="7"/>
      <c r="S46" s="50"/>
      <c r="T46" s="7"/>
      <c r="U46" s="50"/>
      <c r="W46" s="18"/>
      <c r="X46" s="18"/>
      <c r="Y46" s="18"/>
      <c r="Z46" s="18"/>
      <c r="AA46" s="18"/>
    </row>
    <row r="47" spans="1:27" ht="24" customHeight="1" x14ac:dyDescent="0.3">
      <c r="A47" s="233"/>
      <c r="B47" s="24" t="s">
        <v>69</v>
      </c>
      <c r="C47" s="32">
        <v>1</v>
      </c>
      <c r="D47" s="32"/>
      <c r="E47" s="54"/>
      <c r="F47" s="22"/>
      <c r="G47" s="25"/>
      <c r="H47" s="43"/>
      <c r="I47" s="50"/>
      <c r="J47" s="10"/>
      <c r="K47" s="50"/>
      <c r="L47" s="7"/>
      <c r="M47" s="50"/>
      <c r="N47" s="7"/>
      <c r="O47" s="50"/>
      <c r="P47" s="7"/>
      <c r="Q47" s="50"/>
      <c r="R47" s="7"/>
      <c r="S47" s="50"/>
      <c r="T47" s="7"/>
      <c r="U47" s="50"/>
      <c r="W47" s="18"/>
      <c r="X47" s="18"/>
      <c r="Y47" s="18"/>
      <c r="Z47" s="18"/>
      <c r="AA47" s="18"/>
    </row>
    <row r="48" spans="1:27" ht="24" customHeight="1" x14ac:dyDescent="0.3">
      <c r="A48" s="233"/>
      <c r="B48" s="24" t="s">
        <v>80</v>
      </c>
      <c r="C48" s="32">
        <v>10</v>
      </c>
      <c r="D48" s="32"/>
      <c r="E48" s="54"/>
      <c r="F48" s="22"/>
      <c r="G48" s="25"/>
      <c r="H48" s="7"/>
      <c r="I48" s="50"/>
      <c r="J48" s="10"/>
      <c r="K48" s="50"/>
      <c r="L48" s="7"/>
      <c r="M48" s="50"/>
      <c r="N48" s="7"/>
      <c r="O48" s="50"/>
      <c r="P48" s="7"/>
      <c r="Q48" s="50"/>
      <c r="R48" s="7"/>
      <c r="S48" s="50"/>
      <c r="T48" s="7"/>
      <c r="U48" s="50"/>
      <c r="W48" s="18"/>
      <c r="X48" s="18"/>
      <c r="Y48" s="18"/>
      <c r="Z48" s="18"/>
      <c r="AA48" s="18"/>
    </row>
    <row r="49" spans="1:27" ht="24" customHeight="1" x14ac:dyDescent="0.3">
      <c r="A49" s="233"/>
      <c r="B49" s="24" t="s">
        <v>64</v>
      </c>
      <c r="C49" s="32"/>
      <c r="D49" s="32"/>
      <c r="E49" s="54"/>
      <c r="F49" s="22"/>
      <c r="G49" s="25"/>
      <c r="H49" s="10"/>
      <c r="I49" s="50"/>
      <c r="J49" s="10"/>
      <c r="K49" s="50"/>
      <c r="L49" s="7"/>
      <c r="M49" s="50"/>
      <c r="N49" s="7"/>
      <c r="O49" s="50"/>
      <c r="P49" s="7"/>
      <c r="Q49" s="50"/>
      <c r="R49" s="7"/>
      <c r="S49" s="50"/>
      <c r="T49" s="7"/>
      <c r="U49" s="50"/>
      <c r="W49" s="18"/>
      <c r="X49" s="18"/>
      <c r="Y49" s="18"/>
      <c r="Z49" s="18"/>
      <c r="AA49" s="18"/>
    </row>
    <row r="50" spans="1:27" ht="24" customHeight="1" x14ac:dyDescent="0.3">
      <c r="A50" s="233"/>
      <c r="B50" s="24" t="s">
        <v>59</v>
      </c>
      <c r="C50" s="32"/>
      <c r="D50" s="32"/>
      <c r="E50" s="54"/>
      <c r="F50" s="22"/>
      <c r="G50" s="25"/>
      <c r="H50" s="10"/>
      <c r="I50" s="50"/>
      <c r="J50" s="10"/>
      <c r="K50" s="50"/>
      <c r="L50" s="7"/>
      <c r="M50" s="50"/>
      <c r="N50" s="7"/>
      <c r="O50" s="50"/>
      <c r="P50" s="7"/>
      <c r="Q50" s="50"/>
      <c r="R50" s="7"/>
      <c r="S50" s="50"/>
      <c r="T50" s="7"/>
      <c r="U50" s="50"/>
      <c r="W50" s="18"/>
      <c r="X50" s="18"/>
      <c r="Y50" s="18"/>
      <c r="Z50" s="18"/>
      <c r="AA50" s="18"/>
    </row>
    <row r="51" spans="1:27" ht="24" customHeight="1" x14ac:dyDescent="0.3">
      <c r="A51" s="233"/>
      <c r="B51" s="24" t="s">
        <v>79</v>
      </c>
      <c r="C51" s="32"/>
      <c r="D51" s="32"/>
      <c r="E51" s="54"/>
      <c r="F51" s="22"/>
      <c r="G51" s="25"/>
      <c r="H51" s="7"/>
      <c r="I51" s="50"/>
      <c r="J51" s="10"/>
      <c r="K51" s="50"/>
      <c r="L51" s="7"/>
      <c r="M51" s="50"/>
      <c r="N51" s="7"/>
      <c r="O51" s="50"/>
      <c r="P51" s="7"/>
      <c r="Q51" s="50"/>
      <c r="R51" s="7"/>
      <c r="S51" s="50"/>
      <c r="T51" s="7"/>
      <c r="U51" s="50"/>
      <c r="W51" s="18"/>
      <c r="X51" s="18"/>
      <c r="Y51" s="18"/>
      <c r="Z51" s="18"/>
      <c r="AA51" s="18"/>
    </row>
    <row r="52" spans="1:27" ht="24" customHeight="1" x14ac:dyDescent="0.3">
      <c r="A52" s="233"/>
      <c r="B52" s="24" t="s">
        <v>60</v>
      </c>
      <c r="C52" s="32"/>
      <c r="D52" s="32"/>
      <c r="E52" s="54"/>
      <c r="F52" s="22"/>
      <c r="G52" s="25"/>
      <c r="H52" s="7"/>
      <c r="I52" s="50"/>
      <c r="J52" s="10"/>
      <c r="K52" s="50"/>
      <c r="L52" s="7"/>
      <c r="M52" s="50"/>
      <c r="N52" s="7"/>
      <c r="O52" s="50"/>
      <c r="P52" s="7"/>
      <c r="Q52" s="50"/>
      <c r="R52" s="7"/>
      <c r="S52" s="50"/>
      <c r="T52" s="7"/>
      <c r="U52" s="50"/>
      <c r="W52" s="18"/>
      <c r="X52" s="18"/>
      <c r="Y52" s="18"/>
      <c r="Z52" s="18"/>
      <c r="AA52" s="18"/>
    </row>
    <row r="53" spans="1:27" ht="24" customHeight="1" x14ac:dyDescent="0.3">
      <c r="A53" s="233"/>
      <c r="B53" s="24" t="s">
        <v>61</v>
      </c>
      <c r="C53" s="32"/>
      <c r="D53" s="32"/>
      <c r="E53" s="54"/>
      <c r="F53" s="22"/>
      <c r="G53" s="25"/>
      <c r="H53" s="43"/>
      <c r="I53" s="50"/>
      <c r="J53" s="10"/>
      <c r="K53" s="50"/>
      <c r="L53" s="7"/>
      <c r="M53" s="50"/>
      <c r="N53" s="7"/>
      <c r="O53" s="50"/>
      <c r="P53" s="7"/>
      <c r="Q53" s="50"/>
      <c r="R53" s="7"/>
      <c r="S53" s="50"/>
      <c r="T53" s="7"/>
      <c r="U53" s="50"/>
      <c r="W53" s="18"/>
      <c r="X53" s="18"/>
      <c r="Y53" s="18"/>
      <c r="Z53" s="18"/>
      <c r="AA53" s="18"/>
    </row>
    <row r="54" spans="1:27" ht="24" customHeight="1" x14ac:dyDescent="0.3">
      <c r="A54" s="233"/>
      <c r="B54" s="24" t="s">
        <v>84</v>
      </c>
      <c r="C54" s="32">
        <v>3</v>
      </c>
      <c r="D54" s="32"/>
      <c r="E54" s="54"/>
      <c r="F54" s="22"/>
      <c r="G54" s="25"/>
      <c r="H54" s="7"/>
      <c r="I54" s="50"/>
      <c r="J54" s="10"/>
      <c r="K54" s="50"/>
      <c r="L54" s="7"/>
      <c r="M54" s="50"/>
      <c r="N54" s="7"/>
      <c r="O54" s="50"/>
      <c r="P54" s="7"/>
      <c r="Q54" s="50"/>
      <c r="R54" s="7"/>
      <c r="S54" s="50"/>
      <c r="T54" s="7"/>
      <c r="U54" s="50"/>
      <c r="W54" s="18"/>
      <c r="X54" s="18"/>
      <c r="Y54" s="18"/>
      <c r="Z54" s="18"/>
      <c r="AA54" s="18"/>
    </row>
    <row r="55" spans="1:27" ht="24" customHeight="1" x14ac:dyDescent="0.3">
      <c r="A55" s="233"/>
      <c r="B55" s="74" t="s">
        <v>47</v>
      </c>
      <c r="C55" s="32"/>
      <c r="D55" s="32"/>
      <c r="E55" s="54"/>
      <c r="F55" s="22"/>
      <c r="G55" s="25"/>
      <c r="H55" s="7"/>
      <c r="I55" s="50"/>
      <c r="J55" s="10"/>
      <c r="K55" s="50"/>
      <c r="L55" s="7"/>
      <c r="M55" s="50"/>
      <c r="N55" s="7"/>
      <c r="O55" s="50"/>
      <c r="P55" s="7"/>
      <c r="Q55" s="50"/>
      <c r="R55" s="7"/>
      <c r="S55" s="50"/>
      <c r="T55" s="7"/>
      <c r="U55" s="50"/>
      <c r="W55" s="18"/>
      <c r="X55" s="18"/>
      <c r="Y55" s="18"/>
      <c r="Z55" s="18"/>
      <c r="AA55" s="18"/>
    </row>
    <row r="56" spans="1:27" ht="24" customHeight="1" x14ac:dyDescent="0.3">
      <c r="A56" s="233"/>
      <c r="B56" s="74" t="s">
        <v>92</v>
      </c>
      <c r="C56" s="32"/>
      <c r="D56" s="32"/>
      <c r="E56" s="54"/>
      <c r="F56" s="22"/>
      <c r="G56" s="25"/>
      <c r="H56" s="7"/>
      <c r="I56" s="50"/>
      <c r="J56" s="10"/>
      <c r="K56" s="50"/>
      <c r="L56" s="7"/>
      <c r="M56" s="50"/>
      <c r="N56" s="7"/>
      <c r="O56" s="50"/>
      <c r="P56" s="7"/>
      <c r="Q56" s="50"/>
      <c r="R56" s="7"/>
      <c r="S56" s="50"/>
      <c r="T56" s="7"/>
      <c r="U56" s="50"/>
      <c r="W56" s="18"/>
      <c r="X56" s="18"/>
      <c r="Y56" s="18"/>
      <c r="Z56" s="18"/>
      <c r="AA56" s="18"/>
    </row>
    <row r="57" spans="1:27" ht="24" customHeight="1" x14ac:dyDescent="0.3">
      <c r="A57" s="233"/>
      <c r="B57" s="74" t="s">
        <v>45</v>
      </c>
      <c r="C57" s="32"/>
      <c r="D57" s="32"/>
      <c r="E57" s="54"/>
      <c r="F57" s="22"/>
      <c r="G57" s="25"/>
      <c r="H57" s="7"/>
      <c r="I57" s="50"/>
      <c r="J57" s="10"/>
      <c r="K57" s="50"/>
      <c r="L57" s="7"/>
      <c r="M57" s="50"/>
      <c r="N57" s="7"/>
      <c r="O57" s="50"/>
      <c r="P57" s="7"/>
      <c r="Q57" s="50"/>
      <c r="R57" s="7"/>
      <c r="S57" s="50"/>
      <c r="T57" s="7"/>
      <c r="U57" s="50"/>
      <c r="W57" s="18"/>
      <c r="X57" s="18"/>
      <c r="Y57" s="18"/>
      <c r="Z57" s="18"/>
      <c r="AA57" s="18"/>
    </row>
    <row r="58" spans="1:27" ht="27" thickBot="1" x14ac:dyDescent="0.35">
      <c r="A58" s="233"/>
      <c r="B58" s="26"/>
      <c r="C58" s="27">
        <f>SUM(C32:C57)</f>
        <v>22</v>
      </c>
      <c r="D58" s="27">
        <f>SUM(D32:D57)</f>
        <v>0</v>
      </c>
      <c r="E58" s="27">
        <f>SUM(E32:E57)</f>
        <v>0</v>
      </c>
      <c r="F58" s="27">
        <f>SUM(F32:F57)</f>
        <v>0</v>
      </c>
      <c r="G58" s="103"/>
      <c r="H58" s="2">
        <f t="shared" ref="H58:U58" si="2">SUM(H32:H57)</f>
        <v>0</v>
      </c>
      <c r="I58" s="2">
        <f t="shared" si="2"/>
        <v>0</v>
      </c>
      <c r="J58" s="2">
        <f t="shared" si="2"/>
        <v>0</v>
      </c>
      <c r="K58" s="2">
        <f t="shared" si="2"/>
        <v>0</v>
      </c>
      <c r="L58" s="2">
        <f t="shared" si="2"/>
        <v>0</v>
      </c>
      <c r="M58" s="2">
        <f t="shared" si="2"/>
        <v>0</v>
      </c>
      <c r="N58" s="2">
        <f t="shared" si="2"/>
        <v>0</v>
      </c>
      <c r="O58" s="2">
        <f t="shared" si="2"/>
        <v>0</v>
      </c>
      <c r="P58" s="2">
        <f t="shared" si="2"/>
        <v>0</v>
      </c>
      <c r="Q58" s="2">
        <f t="shared" si="2"/>
        <v>0</v>
      </c>
      <c r="R58" s="2">
        <f t="shared" si="2"/>
        <v>0</v>
      </c>
      <c r="S58" s="2">
        <f t="shared" si="2"/>
        <v>0</v>
      </c>
      <c r="T58" s="2">
        <f t="shared" si="2"/>
        <v>0</v>
      </c>
      <c r="U58" s="2">
        <f t="shared" si="2"/>
        <v>0</v>
      </c>
    </row>
    <row r="59" spans="1:27" ht="24" customHeight="1" thickTop="1" x14ac:dyDescent="0.3">
      <c r="A59" s="252" t="s">
        <v>13</v>
      </c>
      <c r="B59" s="3" t="s">
        <v>28</v>
      </c>
      <c r="C59" s="7"/>
      <c r="D59" s="7"/>
      <c r="E59" s="50"/>
      <c r="F59" s="50"/>
      <c r="G59" s="103"/>
      <c r="H59" s="7"/>
      <c r="I59" s="50"/>
      <c r="J59" s="10"/>
      <c r="K59" s="50"/>
      <c r="L59" s="7"/>
      <c r="M59" s="50"/>
      <c r="N59" s="7"/>
      <c r="O59" s="50"/>
      <c r="P59" s="7"/>
      <c r="Q59" s="50"/>
      <c r="R59" s="7"/>
      <c r="S59" s="50"/>
      <c r="T59" s="7"/>
      <c r="U59" s="50"/>
    </row>
    <row r="60" spans="1:27" ht="24" customHeight="1" x14ac:dyDescent="0.3">
      <c r="A60" s="252"/>
      <c r="B60" s="3" t="s">
        <v>29</v>
      </c>
      <c r="C60" s="7"/>
      <c r="D60" s="7"/>
      <c r="E60" s="50"/>
      <c r="F60" s="50"/>
      <c r="G60" s="103"/>
      <c r="H60" s="7"/>
      <c r="I60" s="50"/>
      <c r="J60" s="10"/>
      <c r="K60" s="50"/>
      <c r="L60" s="7"/>
      <c r="M60" s="50"/>
      <c r="N60" s="7"/>
      <c r="O60" s="50"/>
      <c r="P60" s="7"/>
      <c r="Q60" s="50"/>
      <c r="R60" s="7"/>
      <c r="S60" s="50"/>
      <c r="T60" s="7"/>
      <c r="U60" s="50"/>
    </row>
    <row r="61" spans="1:27" ht="24" customHeight="1" x14ac:dyDescent="0.3">
      <c r="A61" s="252"/>
      <c r="B61" s="3" t="s">
        <v>35</v>
      </c>
      <c r="C61" s="7"/>
      <c r="D61" s="7"/>
      <c r="E61" s="50"/>
      <c r="F61" s="50"/>
      <c r="G61" s="103"/>
      <c r="H61" s="7"/>
      <c r="I61" s="50"/>
      <c r="J61" s="10"/>
      <c r="K61" s="50"/>
      <c r="L61" s="7"/>
      <c r="M61" s="50"/>
      <c r="N61" s="7"/>
      <c r="O61" s="50"/>
      <c r="P61" s="7"/>
      <c r="Q61" s="50"/>
      <c r="R61" s="7"/>
      <c r="S61" s="50"/>
      <c r="T61" s="7"/>
      <c r="U61" s="50"/>
    </row>
    <row r="62" spans="1:27" ht="24" customHeight="1" x14ac:dyDescent="0.3">
      <c r="A62" s="252"/>
      <c r="B62" s="3" t="s">
        <v>33</v>
      </c>
      <c r="C62" s="7"/>
      <c r="D62" s="7"/>
      <c r="E62" s="50"/>
      <c r="F62" s="50"/>
      <c r="G62" s="103"/>
      <c r="H62" s="7"/>
      <c r="I62" s="50"/>
      <c r="J62" s="10"/>
      <c r="K62" s="50"/>
      <c r="L62" s="7"/>
      <c r="M62" s="50"/>
      <c r="N62" s="7"/>
      <c r="O62" s="50"/>
      <c r="P62" s="7"/>
      <c r="Q62" s="50"/>
      <c r="R62" s="7"/>
      <c r="S62" s="50"/>
      <c r="T62" s="7"/>
      <c r="U62" s="50"/>
    </row>
    <row r="63" spans="1:27" ht="24" customHeight="1" x14ac:dyDescent="0.3">
      <c r="A63" s="252"/>
      <c r="B63" s="3" t="s">
        <v>30</v>
      </c>
      <c r="C63" s="7"/>
      <c r="D63" s="7"/>
      <c r="E63" s="50"/>
      <c r="F63" s="50"/>
      <c r="G63" s="103"/>
      <c r="H63" s="7"/>
      <c r="I63" s="50"/>
      <c r="J63" s="10"/>
      <c r="K63" s="50"/>
      <c r="L63" s="7"/>
      <c r="M63" s="50"/>
      <c r="N63" s="7"/>
      <c r="O63" s="50"/>
      <c r="P63" s="7"/>
      <c r="Q63" s="50"/>
      <c r="R63" s="7"/>
      <c r="S63" s="50"/>
      <c r="T63" s="7"/>
      <c r="U63" s="50"/>
    </row>
    <row r="64" spans="1:27" ht="24" customHeight="1" x14ac:dyDescent="0.3">
      <c r="A64" s="252"/>
      <c r="B64" s="3" t="s">
        <v>31</v>
      </c>
      <c r="C64" s="7"/>
      <c r="D64" s="7"/>
      <c r="E64" s="50"/>
      <c r="F64" s="50"/>
      <c r="G64" s="103"/>
      <c r="H64" s="7"/>
      <c r="I64" s="50"/>
      <c r="J64" s="10"/>
      <c r="K64" s="50"/>
      <c r="L64" s="7"/>
      <c r="M64" s="50"/>
      <c r="N64" s="7"/>
      <c r="O64" s="50"/>
      <c r="P64" s="7"/>
      <c r="Q64" s="50"/>
      <c r="R64" s="7"/>
      <c r="S64" s="50"/>
      <c r="T64" s="7"/>
      <c r="U64" s="50"/>
    </row>
    <row r="65" spans="1:39" ht="24" customHeight="1" x14ac:dyDescent="0.3">
      <c r="A65" s="252"/>
      <c r="B65" s="3" t="s">
        <v>32</v>
      </c>
      <c r="C65" s="7"/>
      <c r="D65" s="7"/>
      <c r="E65" s="50"/>
      <c r="F65" s="50"/>
      <c r="G65" s="103"/>
      <c r="H65" s="7"/>
      <c r="I65" s="50"/>
      <c r="J65" s="10"/>
      <c r="K65" s="50"/>
      <c r="L65" s="7"/>
      <c r="M65" s="50"/>
      <c r="N65" s="7"/>
      <c r="O65" s="50"/>
      <c r="P65" s="7"/>
      <c r="Q65" s="50"/>
      <c r="R65" s="7"/>
      <c r="S65" s="50"/>
      <c r="T65" s="7"/>
      <c r="U65" s="50"/>
    </row>
    <row r="66" spans="1:39" ht="24" customHeight="1" x14ac:dyDescent="0.3">
      <c r="A66" s="252"/>
      <c r="B66" s="99" t="s">
        <v>93</v>
      </c>
      <c r="C66" s="7"/>
      <c r="D66" s="7"/>
      <c r="E66" s="50"/>
      <c r="F66" s="50"/>
      <c r="G66" s="103"/>
      <c r="H66" s="7"/>
      <c r="I66" s="50"/>
      <c r="J66" s="10"/>
      <c r="K66" s="50"/>
      <c r="L66" s="7"/>
      <c r="M66" s="50"/>
      <c r="N66" s="7"/>
      <c r="O66" s="50"/>
      <c r="P66" s="7"/>
      <c r="Q66" s="50"/>
      <c r="R66" s="7"/>
      <c r="S66" s="50"/>
      <c r="T66" s="7"/>
      <c r="U66" s="50"/>
    </row>
    <row r="67" spans="1:39" ht="26.25" x14ac:dyDescent="0.3">
      <c r="A67" s="253"/>
      <c r="B67" s="36"/>
      <c r="C67" s="17">
        <f>SUM(C59:C66)</f>
        <v>0</v>
      </c>
      <c r="D67" s="17">
        <f>SUM(D59:D66)</f>
        <v>0</v>
      </c>
      <c r="E67" s="17">
        <f>SUM(E59:E66)</f>
        <v>0</v>
      </c>
      <c r="F67" s="17">
        <f>SUM(F59:F66)</f>
        <v>0</v>
      </c>
      <c r="G67" s="103"/>
      <c r="H67" s="17">
        <f t="shared" ref="H67:S67" si="3">SUM(H59:H66)</f>
        <v>0</v>
      </c>
      <c r="I67" s="17">
        <f t="shared" si="3"/>
        <v>0</v>
      </c>
      <c r="J67" s="17">
        <f t="shared" si="3"/>
        <v>0</v>
      </c>
      <c r="K67" s="17">
        <f t="shared" si="3"/>
        <v>0</v>
      </c>
      <c r="L67" s="17">
        <f t="shared" si="3"/>
        <v>0</v>
      </c>
      <c r="M67" s="17">
        <f t="shared" si="3"/>
        <v>0</v>
      </c>
      <c r="N67" s="17">
        <f t="shared" si="3"/>
        <v>0</v>
      </c>
      <c r="O67" s="17">
        <f t="shared" si="3"/>
        <v>0</v>
      </c>
      <c r="P67" s="17">
        <f t="shared" si="3"/>
        <v>0</v>
      </c>
      <c r="Q67" s="17">
        <f t="shared" si="3"/>
        <v>0</v>
      </c>
      <c r="R67" s="17">
        <f t="shared" si="3"/>
        <v>0</v>
      </c>
      <c r="S67" s="17">
        <f t="shared" si="3"/>
        <v>0</v>
      </c>
      <c r="T67" s="17">
        <f>SUM(T59:T66)</f>
        <v>0</v>
      </c>
      <c r="U67" s="17">
        <f>SUM(U59:U66)</f>
        <v>0</v>
      </c>
      <c r="AA67" s="254"/>
      <c r="AB67" s="254"/>
      <c r="AC67" s="254"/>
      <c r="AD67" s="254"/>
      <c r="AF67" s="234"/>
      <c r="AG67" s="234"/>
      <c r="AH67" s="234"/>
      <c r="AI67" s="234"/>
      <c r="AJ67" s="234"/>
      <c r="AL67" s="234"/>
      <c r="AM67" s="234"/>
    </row>
    <row r="69" spans="1:39" ht="19.5" customHeight="1" x14ac:dyDescent="0.35">
      <c r="A69" s="235" t="s">
        <v>23</v>
      </c>
      <c r="B69" s="235"/>
      <c r="C69" s="20">
        <v>41000</v>
      </c>
      <c r="D69" s="20">
        <v>4100</v>
      </c>
      <c r="E69" s="20">
        <v>55000</v>
      </c>
      <c r="F69" s="20">
        <v>5500</v>
      </c>
      <c r="H69" s="19">
        <v>5500</v>
      </c>
      <c r="I69" s="19">
        <v>4100</v>
      </c>
      <c r="J69" s="19">
        <v>6800</v>
      </c>
      <c r="K69" s="20">
        <v>5200</v>
      </c>
      <c r="L69" s="20">
        <v>20700</v>
      </c>
      <c r="M69" s="20">
        <v>6400</v>
      </c>
      <c r="N69" s="19">
        <v>18700</v>
      </c>
      <c r="O69" s="20">
        <v>21700</v>
      </c>
      <c r="P69" s="106">
        <v>8300</v>
      </c>
      <c r="Q69" s="19">
        <v>15200</v>
      </c>
      <c r="R69" s="20">
        <v>13100</v>
      </c>
      <c r="S69" s="19">
        <v>8500</v>
      </c>
      <c r="T69" s="19">
        <v>8500</v>
      </c>
      <c r="U69" s="19">
        <v>8500</v>
      </c>
      <c r="W69" s="236">
        <f>P72*0.85</f>
        <v>804950</v>
      </c>
      <c r="X69" s="237"/>
      <c r="Y69" s="238"/>
      <c r="AA69" s="242">
        <f>P74-P72</f>
        <v>0</v>
      </c>
      <c r="AB69" s="243"/>
      <c r="AC69" s="243"/>
      <c r="AD69" s="243"/>
      <c r="AF69" s="234"/>
      <c r="AG69" s="234"/>
      <c r="AH69" s="234"/>
      <c r="AI69" s="234"/>
      <c r="AJ69" s="234"/>
      <c r="AL69" s="234"/>
      <c r="AM69" s="234"/>
    </row>
    <row r="70" spans="1:39" ht="19.5" customHeight="1" x14ac:dyDescent="0.35">
      <c r="A70" s="235" t="s">
        <v>24</v>
      </c>
      <c r="B70" s="235"/>
      <c r="C70" s="20">
        <f>C69*C3</f>
        <v>902000</v>
      </c>
      <c r="D70" s="20">
        <f>D69*D3</f>
        <v>0</v>
      </c>
      <c r="E70" s="20">
        <f>E69*E3</f>
        <v>0</v>
      </c>
      <c r="F70" s="20">
        <f>F69*F3</f>
        <v>0</v>
      </c>
      <c r="H70" s="20">
        <f t="shared" ref="H70:U70" si="4">H69*H3</f>
        <v>0</v>
      </c>
      <c r="I70" s="20">
        <f t="shared" si="4"/>
        <v>0</v>
      </c>
      <c r="J70" s="20">
        <f t="shared" si="4"/>
        <v>13600</v>
      </c>
      <c r="K70" s="20">
        <f t="shared" si="4"/>
        <v>5200</v>
      </c>
      <c r="L70" s="20">
        <f t="shared" si="4"/>
        <v>0</v>
      </c>
      <c r="M70" s="20">
        <f t="shared" si="4"/>
        <v>0</v>
      </c>
      <c r="N70" s="20">
        <f t="shared" si="4"/>
        <v>0</v>
      </c>
      <c r="O70" s="20">
        <f t="shared" si="4"/>
        <v>0</v>
      </c>
      <c r="P70" s="20">
        <f t="shared" si="4"/>
        <v>0</v>
      </c>
      <c r="Q70" s="20">
        <f t="shared" si="4"/>
        <v>0</v>
      </c>
      <c r="R70" s="20">
        <f t="shared" si="4"/>
        <v>26200</v>
      </c>
      <c r="S70" s="20">
        <f t="shared" si="4"/>
        <v>0</v>
      </c>
      <c r="T70" s="20">
        <f t="shared" si="4"/>
        <v>0</v>
      </c>
      <c r="U70" s="20">
        <f t="shared" si="4"/>
        <v>0</v>
      </c>
      <c r="W70" s="239"/>
      <c r="X70" s="240"/>
      <c r="Y70" s="241"/>
      <c r="AA70" s="243"/>
      <c r="AB70" s="243"/>
      <c r="AC70" s="243"/>
      <c r="AD70" s="243"/>
      <c r="AF70" s="234"/>
      <c r="AG70" s="234"/>
      <c r="AH70" s="234"/>
      <c r="AI70" s="234"/>
      <c r="AJ70" s="234"/>
      <c r="AL70" s="234"/>
      <c r="AM70" s="234"/>
    </row>
    <row r="72" spans="1:39" ht="26.25" x14ac:dyDescent="0.3">
      <c r="P72" s="259">
        <f>SUM(C70:U70)</f>
        <v>947000</v>
      </c>
      <c r="Q72" s="260"/>
      <c r="W72" s="247"/>
      <c r="X72" s="248"/>
      <c r="Y72" s="248"/>
      <c r="AA72" s="249"/>
      <c r="AB72" s="250"/>
      <c r="AC72" s="250"/>
      <c r="AD72" s="251"/>
    </row>
    <row r="74" spans="1:39" ht="26.25" x14ac:dyDescent="0.3">
      <c r="C74" s="244"/>
      <c r="D74" s="245"/>
      <c r="P74" s="246">
        <v>947000</v>
      </c>
      <c r="Q74" s="246"/>
      <c r="W74" s="247">
        <f>P74*0.85</f>
        <v>804950</v>
      </c>
      <c r="X74" s="248"/>
      <c r="Y74" s="248"/>
      <c r="AA74" s="249"/>
      <c r="AB74" s="250"/>
      <c r="AC74" s="250"/>
      <c r="AD74" s="251"/>
    </row>
    <row r="75" spans="1:39" x14ac:dyDescent="0.3">
      <c r="Q75" s="18"/>
      <c r="S75" s="18"/>
      <c r="U75" s="18"/>
      <c r="W75" s="245"/>
      <c r="X75" s="245"/>
      <c r="Y75" s="245"/>
      <c r="AA75" s="255"/>
      <c r="AB75" s="256"/>
      <c r="AC75" s="256"/>
      <c r="AD75" s="256"/>
    </row>
    <row r="76" spans="1:39" x14ac:dyDescent="0.3">
      <c r="P76" s="244"/>
      <c r="Q76" s="245"/>
      <c r="W76" s="245"/>
      <c r="X76" s="245"/>
      <c r="Y76" s="245"/>
      <c r="AA76" s="245"/>
      <c r="AB76" s="245"/>
      <c r="AC76" s="245"/>
      <c r="AD76" s="245"/>
    </row>
    <row r="77" spans="1:39" x14ac:dyDescent="0.3">
      <c r="P77" s="245"/>
      <c r="Q77" s="245"/>
      <c r="W77" s="245"/>
      <c r="X77" s="245"/>
      <c r="Y77" s="245"/>
      <c r="AA77" s="245"/>
      <c r="AB77" s="245"/>
      <c r="AC77" s="245"/>
      <c r="AD77" s="245"/>
    </row>
    <row r="78" spans="1:39" x14ac:dyDescent="0.3">
      <c r="P78" s="18"/>
      <c r="Q78" s="18"/>
      <c r="S78" s="18"/>
      <c r="U78" s="18"/>
      <c r="AA78" s="245"/>
      <c r="AB78" s="245"/>
      <c r="AC78" s="245"/>
      <c r="AD78" s="245"/>
    </row>
    <row r="79" spans="1:39" x14ac:dyDescent="0.3">
      <c r="C79">
        <f>C69*0.85</f>
        <v>34850</v>
      </c>
      <c r="D79">
        <f t="shared" ref="D79:R79" si="5">D69*0.85</f>
        <v>3485</v>
      </c>
      <c r="E79">
        <f t="shared" si="5"/>
        <v>46750</v>
      </c>
      <c r="F79">
        <f t="shared" si="5"/>
        <v>4675</v>
      </c>
      <c r="H79">
        <f t="shared" si="5"/>
        <v>4675</v>
      </c>
      <c r="I79">
        <f t="shared" si="5"/>
        <v>3485</v>
      </c>
      <c r="J79">
        <f t="shared" si="5"/>
        <v>5780</v>
      </c>
      <c r="K79">
        <f t="shared" si="5"/>
        <v>4420</v>
      </c>
      <c r="L79">
        <f t="shared" si="5"/>
        <v>17595</v>
      </c>
      <c r="M79">
        <f t="shared" si="5"/>
        <v>5440</v>
      </c>
      <c r="N79">
        <f t="shared" si="5"/>
        <v>15895</v>
      </c>
      <c r="O79">
        <f t="shared" si="5"/>
        <v>18445</v>
      </c>
      <c r="P79">
        <f t="shared" si="5"/>
        <v>7055</v>
      </c>
      <c r="Q79">
        <f t="shared" si="5"/>
        <v>12920</v>
      </c>
      <c r="R79">
        <f t="shared" si="5"/>
        <v>11135</v>
      </c>
      <c r="S79">
        <f>S69*0.85</f>
        <v>7225</v>
      </c>
      <c r="T79">
        <f>T69*0.85</f>
        <v>7225</v>
      </c>
      <c r="U79">
        <f>U69*0.85</f>
        <v>7225</v>
      </c>
    </row>
    <row r="80" spans="1:39" x14ac:dyDescent="0.3">
      <c r="C80">
        <v>29500</v>
      </c>
      <c r="D80">
        <v>2950</v>
      </c>
      <c r="E80">
        <v>51000</v>
      </c>
      <c r="F80">
        <v>5100</v>
      </c>
      <c r="H80">
        <v>3600</v>
      </c>
      <c r="I80">
        <v>2950</v>
      </c>
      <c r="J80">
        <v>4000</v>
      </c>
      <c r="K80">
        <v>4200</v>
      </c>
      <c r="L80">
        <v>15000</v>
      </c>
      <c r="M80">
        <v>4500</v>
      </c>
      <c r="N80">
        <v>9500</v>
      </c>
      <c r="O80">
        <v>12000</v>
      </c>
      <c r="P80">
        <v>8000</v>
      </c>
      <c r="Q80">
        <v>12000</v>
      </c>
      <c r="R80">
        <v>8500</v>
      </c>
    </row>
    <row r="81" spans="3:30" x14ac:dyDescent="0.3">
      <c r="C81">
        <f>C79-C80</f>
        <v>5350</v>
      </c>
      <c r="D81">
        <f t="shared" ref="D81:R81" si="6">D79-D80</f>
        <v>535</v>
      </c>
      <c r="E81">
        <f t="shared" si="6"/>
        <v>-4250</v>
      </c>
      <c r="F81">
        <f t="shared" si="6"/>
        <v>-425</v>
      </c>
      <c r="H81">
        <f t="shared" si="6"/>
        <v>1075</v>
      </c>
      <c r="I81">
        <f t="shared" si="6"/>
        <v>535</v>
      </c>
      <c r="J81">
        <f t="shared" si="6"/>
        <v>1780</v>
      </c>
      <c r="K81">
        <f t="shared" si="6"/>
        <v>220</v>
      </c>
      <c r="L81">
        <f t="shared" si="6"/>
        <v>2595</v>
      </c>
      <c r="M81">
        <f t="shared" si="6"/>
        <v>940</v>
      </c>
      <c r="N81">
        <f t="shared" si="6"/>
        <v>6395</v>
      </c>
      <c r="O81">
        <f t="shared" si="6"/>
        <v>6445</v>
      </c>
      <c r="P81">
        <f t="shared" si="6"/>
        <v>-945</v>
      </c>
      <c r="Q81">
        <f t="shared" si="6"/>
        <v>920</v>
      </c>
      <c r="R81">
        <f t="shared" si="6"/>
        <v>2635</v>
      </c>
    </row>
    <row r="82" spans="3:30" x14ac:dyDescent="0.3">
      <c r="C82">
        <f>C81*C3</f>
        <v>117700</v>
      </c>
      <c r="D82">
        <f t="shared" ref="D82:R82" si="7">D81*D3</f>
        <v>0</v>
      </c>
      <c r="E82">
        <f t="shared" si="7"/>
        <v>0</v>
      </c>
      <c r="F82">
        <f t="shared" si="7"/>
        <v>0</v>
      </c>
      <c r="G82">
        <f t="shared" si="7"/>
        <v>0</v>
      </c>
      <c r="H82">
        <f t="shared" si="7"/>
        <v>0</v>
      </c>
      <c r="I82">
        <f t="shared" si="7"/>
        <v>0</v>
      </c>
      <c r="J82">
        <f t="shared" si="7"/>
        <v>3560</v>
      </c>
      <c r="K82">
        <f t="shared" si="7"/>
        <v>220</v>
      </c>
      <c r="L82">
        <f t="shared" si="7"/>
        <v>0</v>
      </c>
      <c r="M82">
        <f t="shared" si="7"/>
        <v>0</v>
      </c>
      <c r="N82">
        <f t="shared" si="7"/>
        <v>0</v>
      </c>
      <c r="O82">
        <f t="shared" si="7"/>
        <v>0</v>
      </c>
      <c r="P82">
        <f t="shared" si="7"/>
        <v>0</v>
      </c>
      <c r="Q82">
        <f t="shared" si="7"/>
        <v>0</v>
      </c>
      <c r="R82">
        <f t="shared" si="7"/>
        <v>5270</v>
      </c>
      <c r="Z82" s="245"/>
      <c r="AA82" s="245"/>
      <c r="AB82" s="245"/>
      <c r="AC82" s="245"/>
      <c r="AD82" s="245"/>
    </row>
    <row r="83" spans="3:30" x14ac:dyDescent="0.3">
      <c r="Z83" s="245"/>
      <c r="AA83" s="245"/>
      <c r="AB83" s="245"/>
      <c r="AC83" s="245"/>
      <c r="AD83" s="245"/>
    </row>
    <row r="84" spans="3:30" ht="26.25" x14ac:dyDescent="0.3">
      <c r="P84" s="257">
        <f>SUM(C82:R82)</f>
        <v>126750</v>
      </c>
      <c r="Q84" s="258"/>
    </row>
  </sheetData>
  <mergeCells count="28">
    <mergeCell ref="W75:Y77"/>
    <mergeCell ref="AA75:AD78"/>
    <mergeCell ref="P76:Q77"/>
    <mergeCell ref="Z82:AD83"/>
    <mergeCell ref="P84:Q84"/>
    <mergeCell ref="P72:Q72"/>
    <mergeCell ref="W72:Y72"/>
    <mergeCell ref="AA72:AD72"/>
    <mergeCell ref="C74:D74"/>
    <mergeCell ref="P74:Q74"/>
    <mergeCell ref="W74:Y74"/>
    <mergeCell ref="AA74:AD74"/>
    <mergeCell ref="A59:A67"/>
    <mergeCell ref="AA67:AD67"/>
    <mergeCell ref="AF67:AJ67"/>
    <mergeCell ref="AL67:AM67"/>
    <mergeCell ref="A69:B69"/>
    <mergeCell ref="W69:Y70"/>
    <mergeCell ref="AA69:AD70"/>
    <mergeCell ref="AF69:AJ70"/>
    <mergeCell ref="AL69:AM70"/>
    <mergeCell ref="A70:B70"/>
    <mergeCell ref="A1:B2"/>
    <mergeCell ref="C1:D1"/>
    <mergeCell ref="E1:F1"/>
    <mergeCell ref="A4:A31"/>
    <mergeCell ref="X28:AB28"/>
    <mergeCell ref="A32:A58"/>
  </mergeCells>
  <phoneticPr fontId="30" type="noConversion"/>
  <conditionalFormatting sqref="B7:B11">
    <cfRule type="duplicateValues" dxfId="229" priority="2"/>
  </conditionalFormatting>
  <conditionalFormatting sqref="B59:B66">
    <cfRule type="duplicateValues" dxfId="228" priority="3"/>
  </conditionalFormatting>
  <conditionalFormatting sqref="B12">
    <cfRule type="duplicateValues" dxfId="227" priority="1"/>
  </conditionalFormatting>
  <conditionalFormatting sqref="B4:B6 B13:B30">
    <cfRule type="expression" dxfId="226" priority="5" stopIfTrue="1">
      <formula>AND(COUNTIF($B$4:$B$6, B4)+COUNTIF($B$13:$B$30, B4)&gt;1,NOT(ISBLANK(B4)))</formula>
    </cfRule>
  </conditionalFormatting>
  <conditionalFormatting sqref="B32:B57">
    <cfRule type="duplicateValues" dxfId="225" priority="4"/>
  </conditionalFormatting>
  <printOptions horizontalCentered="1" verticalCentered="1"/>
  <pageMargins left="0" right="0" top="7.874015748031496E-2" bottom="7.874015748031496E-2" header="0" footer="0"/>
  <pageSetup paperSize="9" scale="2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V17"/>
  <sheetViews>
    <sheetView zoomScale="70" zoomScaleNormal="70" workbookViewId="0">
      <pane ySplit="3" topLeftCell="A4" activePane="bottomLeft" state="frozen"/>
      <selection activeCell="Z6" sqref="Z6"/>
      <selection pane="bottomLeft" activeCell="Z6" sqref="Z6"/>
    </sheetView>
  </sheetViews>
  <sheetFormatPr defaultRowHeight="16.5" x14ac:dyDescent="0.3"/>
  <cols>
    <col min="1" max="1" width="32.875" customWidth="1"/>
    <col min="2" max="6" width="10" customWidth="1"/>
    <col min="7" max="7" width="5.75" customWidth="1"/>
    <col min="8" max="8" width="18.5" customWidth="1"/>
    <col min="9" max="22" width="10.875" customWidth="1"/>
  </cols>
  <sheetData>
    <row r="1" spans="1:22" ht="113.25" customHeight="1" x14ac:dyDescent="0.3">
      <c r="A1" s="222" t="s">
        <v>107</v>
      </c>
      <c r="B1" s="223"/>
      <c r="C1" s="267" t="s">
        <v>97</v>
      </c>
      <c r="D1" s="268"/>
      <c r="E1" s="228" t="s">
        <v>98</v>
      </c>
      <c r="F1" s="228"/>
      <c r="G1" s="8"/>
      <c r="H1" s="269" t="s">
        <v>18</v>
      </c>
      <c r="I1" s="72" t="s">
        <v>20</v>
      </c>
      <c r="J1" s="102" t="s">
        <v>21</v>
      </c>
      <c r="K1" s="5" t="s">
        <v>101</v>
      </c>
      <c r="L1" s="102" t="s">
        <v>100</v>
      </c>
      <c r="M1" s="5" t="s">
        <v>96</v>
      </c>
      <c r="N1" s="102" t="s">
        <v>99</v>
      </c>
      <c r="O1" s="5" t="s">
        <v>102</v>
      </c>
      <c r="P1" s="102" t="s">
        <v>103</v>
      </c>
      <c r="Q1" s="5" t="s">
        <v>104</v>
      </c>
      <c r="R1" s="102" t="s">
        <v>105</v>
      </c>
      <c r="S1" s="5" t="s">
        <v>106</v>
      </c>
      <c r="T1" s="102" t="s">
        <v>85</v>
      </c>
      <c r="U1" s="5" t="s">
        <v>86</v>
      </c>
      <c r="V1" s="102" t="s">
        <v>88</v>
      </c>
    </row>
    <row r="2" spans="1:22" ht="43.5" customHeight="1" x14ac:dyDescent="0.3">
      <c r="A2" s="224"/>
      <c r="B2" s="225"/>
      <c r="C2" s="73" t="s">
        <v>2</v>
      </c>
      <c r="D2" s="73" t="s">
        <v>22</v>
      </c>
      <c r="E2" s="1" t="s">
        <v>2</v>
      </c>
      <c r="F2" s="1" t="s">
        <v>1</v>
      </c>
      <c r="G2" s="9"/>
      <c r="H2" s="270"/>
      <c r="I2" s="6" t="s">
        <v>3</v>
      </c>
      <c r="J2" s="1" t="s">
        <v>1</v>
      </c>
      <c r="K2" s="6" t="s">
        <v>3</v>
      </c>
      <c r="L2" s="1" t="s">
        <v>1</v>
      </c>
      <c r="M2" s="6" t="s">
        <v>3</v>
      </c>
      <c r="N2" s="1" t="s">
        <v>1</v>
      </c>
      <c r="O2" s="6" t="s">
        <v>3</v>
      </c>
      <c r="P2" s="1" t="s">
        <v>1</v>
      </c>
      <c r="Q2" s="6" t="s">
        <v>3</v>
      </c>
      <c r="R2" s="1" t="s">
        <v>1</v>
      </c>
      <c r="S2" s="6" t="s">
        <v>3</v>
      </c>
      <c r="T2" s="1" t="s">
        <v>1</v>
      </c>
      <c r="U2" s="6" t="s">
        <v>3</v>
      </c>
      <c r="V2" s="1" t="s">
        <v>3</v>
      </c>
    </row>
    <row r="3" spans="1:22" ht="39" customHeight="1" thickBot="1" x14ac:dyDescent="0.35">
      <c r="A3" s="271" t="s">
        <v>10</v>
      </c>
      <c r="B3" s="272"/>
      <c r="C3" s="44">
        <f>SUM(C4:C19)</f>
        <v>22</v>
      </c>
      <c r="D3" s="44">
        <f>SUM(D4:D19)</f>
        <v>0</v>
      </c>
      <c r="E3" s="44">
        <f>SUM(E4:E19)</f>
        <v>0</v>
      </c>
      <c r="F3" s="44">
        <f>SUM(F4:F19)</f>
        <v>0</v>
      </c>
      <c r="G3" s="103"/>
      <c r="H3" s="13" t="s">
        <v>10</v>
      </c>
      <c r="I3" s="44">
        <f t="shared" ref="I3:V3" si="0">SUM(I4:I11)</f>
        <v>0</v>
      </c>
      <c r="J3" s="44">
        <f t="shared" si="0"/>
        <v>0</v>
      </c>
      <c r="K3" s="44">
        <f t="shared" si="0"/>
        <v>2</v>
      </c>
      <c r="L3" s="44">
        <f t="shared" si="0"/>
        <v>1</v>
      </c>
      <c r="M3" s="44">
        <f t="shared" si="0"/>
        <v>0</v>
      </c>
      <c r="N3" s="44">
        <f t="shared" si="0"/>
        <v>0</v>
      </c>
      <c r="O3" s="44">
        <f t="shared" si="0"/>
        <v>0</v>
      </c>
      <c r="P3" s="44">
        <f t="shared" si="0"/>
        <v>0</v>
      </c>
      <c r="Q3" s="44">
        <f t="shared" si="0"/>
        <v>0</v>
      </c>
      <c r="R3" s="44">
        <f t="shared" si="0"/>
        <v>0</v>
      </c>
      <c r="S3" s="44">
        <f t="shared" si="0"/>
        <v>2</v>
      </c>
      <c r="T3" s="44">
        <f t="shared" si="0"/>
        <v>0</v>
      </c>
      <c r="U3" s="44">
        <f t="shared" si="0"/>
        <v>0</v>
      </c>
      <c r="V3" s="93">
        <f t="shared" si="0"/>
        <v>0</v>
      </c>
    </row>
    <row r="4" spans="1:22" ht="82.7" customHeight="1" thickTop="1" x14ac:dyDescent="0.3">
      <c r="A4" s="273" t="s">
        <v>15</v>
      </c>
      <c r="B4" s="274"/>
      <c r="C4" s="57">
        <f>'학교별01.02'!C31</f>
        <v>0</v>
      </c>
      <c r="D4" s="57">
        <f>'학교별01.02'!D31</f>
        <v>0</v>
      </c>
      <c r="E4" s="58">
        <f>'학교별01.02'!E31</f>
        <v>0</v>
      </c>
      <c r="F4" s="59">
        <f>'학교별01.02'!F31</f>
        <v>0</v>
      </c>
      <c r="G4" s="103"/>
      <c r="H4" s="49" t="s">
        <v>15</v>
      </c>
      <c r="I4" s="47">
        <f>'학교별01.02'!H31</f>
        <v>0</v>
      </c>
      <c r="J4" s="45">
        <f>'학교별01.02'!I31</f>
        <v>0</v>
      </c>
      <c r="K4" s="47">
        <f>'학교별01.02'!J31</f>
        <v>2</v>
      </c>
      <c r="L4" s="45">
        <f>'학교별01.02'!K31</f>
        <v>1</v>
      </c>
      <c r="M4" s="47">
        <f>'학교별01.02'!L31</f>
        <v>0</v>
      </c>
      <c r="N4" s="45">
        <f>'학교별01.02'!M31</f>
        <v>0</v>
      </c>
      <c r="O4" s="47">
        <f>'학교별01.02'!N31</f>
        <v>0</v>
      </c>
      <c r="P4" s="45">
        <f>'학교별01.02'!O31</f>
        <v>0</v>
      </c>
      <c r="Q4" s="47">
        <f>'학교별01.02'!P31</f>
        <v>0</v>
      </c>
      <c r="R4" s="45">
        <f>'학교별01.02'!Q31</f>
        <v>0</v>
      </c>
      <c r="S4" s="47">
        <f>'학교별01.02'!R31</f>
        <v>2</v>
      </c>
      <c r="T4" s="45">
        <f>'학교별01.02'!S31</f>
        <v>0</v>
      </c>
      <c r="U4" s="47">
        <f>'학교별01.02'!T31</f>
        <v>0</v>
      </c>
      <c r="V4" s="87">
        <f>'학교별01.02'!U31</f>
        <v>0</v>
      </c>
    </row>
    <row r="5" spans="1:22" ht="82.7" customHeight="1" thickBot="1" x14ac:dyDescent="0.35">
      <c r="A5" s="275"/>
      <c r="B5" s="276"/>
      <c r="C5" s="79"/>
      <c r="D5" s="60"/>
      <c r="E5" s="62"/>
      <c r="F5" s="61"/>
      <c r="G5" s="103"/>
      <c r="H5" s="40"/>
      <c r="I5" s="83"/>
      <c r="J5" s="81"/>
      <c r="K5" s="95"/>
      <c r="L5" s="81"/>
      <c r="M5" s="84"/>
      <c r="N5" s="81"/>
      <c r="O5" s="83"/>
      <c r="P5" s="42"/>
      <c r="Q5" s="41"/>
      <c r="R5" s="42"/>
      <c r="S5" s="83"/>
      <c r="T5" s="42"/>
      <c r="U5" s="41"/>
      <c r="V5" s="94"/>
    </row>
    <row r="6" spans="1:22" ht="18" thickTop="1" thickBot="1" x14ac:dyDescent="0.35">
      <c r="H6" s="33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89"/>
    </row>
    <row r="7" spans="1:22" ht="82.7" customHeight="1" thickTop="1" x14ac:dyDescent="0.3">
      <c r="A7" s="277" t="s">
        <v>26</v>
      </c>
      <c r="B7" s="278"/>
      <c r="C7" s="47">
        <f>'학교별01.02'!C58</f>
        <v>22</v>
      </c>
      <c r="D7" s="47">
        <f>'학교별01.02'!D58</f>
        <v>0</v>
      </c>
      <c r="E7" s="45">
        <f>'학교별01.02'!E58</f>
        <v>0</v>
      </c>
      <c r="F7" s="45">
        <f>'학교별01.02'!F58</f>
        <v>0</v>
      </c>
      <c r="G7" s="37"/>
      <c r="H7" s="55" t="s">
        <v>17</v>
      </c>
      <c r="I7" s="48">
        <f>'학교별01.02'!H58</f>
        <v>0</v>
      </c>
      <c r="J7" s="46">
        <f>'학교별01.02'!I58</f>
        <v>0</v>
      </c>
      <c r="K7" s="48">
        <f>'학교별01.02'!J58</f>
        <v>0</v>
      </c>
      <c r="L7" s="46">
        <f>'학교별01.02'!K58</f>
        <v>0</v>
      </c>
      <c r="M7" s="48">
        <f>'학교별01.02'!L58</f>
        <v>0</v>
      </c>
      <c r="N7" s="46">
        <f>'학교별01.02'!M58</f>
        <v>0</v>
      </c>
      <c r="O7" s="48">
        <f>'학교별01.02'!N58</f>
        <v>0</v>
      </c>
      <c r="P7" s="46">
        <f>'학교별01.02'!O58</f>
        <v>0</v>
      </c>
      <c r="Q7" s="48">
        <f>'학교별01.02'!P58</f>
        <v>0</v>
      </c>
      <c r="R7" s="46">
        <f>'학교별01.02'!Q58</f>
        <v>0</v>
      </c>
      <c r="S7" s="48">
        <f>'학교별01.02'!R58</f>
        <v>0</v>
      </c>
      <c r="T7" s="46">
        <f>'학교별01.02'!S58</f>
        <v>0</v>
      </c>
      <c r="U7" s="48">
        <f>'학교별01.02'!T58</f>
        <v>0</v>
      </c>
      <c r="V7" s="90">
        <f>'학교별01.02'!U58</f>
        <v>0</v>
      </c>
    </row>
    <row r="8" spans="1:22" ht="82.7" customHeight="1" thickBot="1" x14ac:dyDescent="0.35">
      <c r="A8" s="261"/>
      <c r="B8" s="262"/>
      <c r="C8" s="75"/>
      <c r="D8" s="96"/>
      <c r="E8" s="78"/>
      <c r="F8" s="38"/>
      <c r="G8" s="39"/>
      <c r="H8" s="103"/>
      <c r="I8" s="41"/>
      <c r="J8" s="42"/>
      <c r="K8" s="41"/>
      <c r="L8" s="42"/>
      <c r="M8" s="41"/>
      <c r="N8" s="42"/>
      <c r="O8" s="41"/>
      <c r="P8" s="42"/>
      <c r="Q8" s="41"/>
      <c r="R8" s="98"/>
      <c r="S8" s="41"/>
      <c r="T8" s="42"/>
      <c r="U8" s="41"/>
      <c r="V8" s="88"/>
    </row>
    <row r="9" spans="1:22" ht="18" thickTop="1" thickBot="1" x14ac:dyDescent="0.35">
      <c r="H9" s="33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89"/>
    </row>
    <row r="10" spans="1:22" ht="82.7" customHeight="1" thickTop="1" x14ac:dyDescent="0.3">
      <c r="A10" s="263" t="s">
        <v>16</v>
      </c>
      <c r="B10" s="264"/>
      <c r="C10" s="65">
        <f>'학교별01.02'!C67</f>
        <v>0</v>
      </c>
      <c r="D10" s="65">
        <f>'학교별01.02'!D67</f>
        <v>0</v>
      </c>
      <c r="E10" s="66">
        <f>'학교별01.02'!E67</f>
        <v>0</v>
      </c>
      <c r="F10" s="67">
        <f>'학교별01.02'!F67</f>
        <v>0</v>
      </c>
      <c r="G10" s="103"/>
      <c r="H10" s="53" t="s">
        <v>25</v>
      </c>
      <c r="I10" s="52">
        <f>'학교별01.02'!H67</f>
        <v>0</v>
      </c>
      <c r="J10" s="51">
        <f>'학교별01.02'!I67</f>
        <v>0</v>
      </c>
      <c r="K10" s="52">
        <f>'학교별01.02'!J67</f>
        <v>0</v>
      </c>
      <c r="L10" s="51">
        <f>'학교별01.02'!K67</f>
        <v>0</v>
      </c>
      <c r="M10" s="52">
        <f>'학교별01.02'!L67</f>
        <v>0</v>
      </c>
      <c r="N10" s="51">
        <f>'학교별01.02'!M67</f>
        <v>0</v>
      </c>
      <c r="O10" s="52">
        <f>'학교별01.02'!N67</f>
        <v>0</v>
      </c>
      <c r="P10" s="51">
        <f>'학교별01.02'!O67</f>
        <v>0</v>
      </c>
      <c r="Q10" s="52">
        <f>'학교별01.02'!P67</f>
        <v>0</v>
      </c>
      <c r="R10" s="51">
        <f>'학교별01.02'!Q67</f>
        <v>0</v>
      </c>
      <c r="S10" s="52">
        <f>'학교별01.02'!R67</f>
        <v>0</v>
      </c>
      <c r="T10" s="51">
        <f>'학교별01.02'!S67</f>
        <v>0</v>
      </c>
      <c r="U10" s="52">
        <f>'학교별01.02'!T67</f>
        <v>0</v>
      </c>
      <c r="V10" s="91">
        <f>'학교별01.02'!U67</f>
        <v>0</v>
      </c>
    </row>
    <row r="11" spans="1:22" ht="82.7" customHeight="1" thickBot="1" x14ac:dyDescent="0.35">
      <c r="A11" s="265"/>
      <c r="B11" s="266"/>
      <c r="C11" s="68"/>
      <c r="D11" s="69"/>
      <c r="E11" s="70"/>
      <c r="F11" s="71"/>
      <c r="H11" s="64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92"/>
    </row>
    <row r="12" spans="1:22" ht="17.25" thickTop="1" x14ac:dyDescent="0.3"/>
    <row r="17" spans="8:8" x14ac:dyDescent="0.3">
      <c r="H17" t="s">
        <v>83</v>
      </c>
    </row>
  </sheetData>
  <mergeCells count="11">
    <mergeCell ref="H1:H2"/>
    <mergeCell ref="A3:B3"/>
    <mergeCell ref="A4:B4"/>
    <mergeCell ref="A5:B5"/>
    <mergeCell ref="A7:B7"/>
    <mergeCell ref="A8:B8"/>
    <mergeCell ref="A10:B10"/>
    <mergeCell ref="A11:B11"/>
    <mergeCell ref="A1:B2"/>
    <mergeCell ref="C1:D1"/>
    <mergeCell ref="E1:F1"/>
  </mergeCells>
  <phoneticPr fontId="30" type="noConversion"/>
  <conditionalFormatting sqref="A10">
    <cfRule type="duplicateValues" dxfId="224" priority="1"/>
  </conditionalFormatting>
  <conditionalFormatting sqref="A4:A5">
    <cfRule type="duplicateValues" dxfId="223" priority="2"/>
  </conditionalFormatting>
  <conditionalFormatting sqref="A7:A8">
    <cfRule type="duplicateValues" dxfId="222" priority="3"/>
  </conditionalFormatting>
  <printOptions horizontalCentered="1" verticalCentered="1"/>
  <pageMargins left="0" right="0" top="7.874015748031496E-2" bottom="7.874015748031496E-2" header="0" footer="0"/>
  <pageSetup paperSize="9" scale="5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84"/>
  <sheetViews>
    <sheetView zoomScale="70" zoomScaleNormal="70" workbookViewId="0">
      <pane ySplit="3" topLeftCell="A57" activePane="bottomLeft" state="frozen"/>
      <selection activeCell="A3" sqref="A3:B3"/>
      <selection pane="bottomLeft" activeCell="A3" sqref="A3:B3"/>
    </sheetView>
  </sheetViews>
  <sheetFormatPr defaultRowHeight="16.5" x14ac:dyDescent="0.3"/>
  <cols>
    <col min="1" max="1" width="9" customWidth="1"/>
    <col min="2" max="2" width="33.75" customWidth="1"/>
    <col min="3" max="3" width="10.75" customWidth="1"/>
    <col min="4" max="4" width="10" customWidth="1"/>
    <col min="5" max="5" width="10.5" customWidth="1"/>
    <col min="6" max="6" width="10" customWidth="1"/>
    <col min="7" max="7" width="4.125" customWidth="1"/>
    <col min="8" max="21" width="10.875" customWidth="1"/>
    <col min="22" max="22" width="5.5" customWidth="1"/>
    <col min="23" max="23" width="10.875" bestFit="1" customWidth="1"/>
  </cols>
  <sheetData>
    <row r="1" spans="1:25" ht="113.25" customHeight="1" x14ac:dyDescent="0.3">
      <c r="A1" s="222" t="s">
        <v>108</v>
      </c>
      <c r="B1" s="223"/>
      <c r="C1" s="226" t="s">
        <v>0</v>
      </c>
      <c r="D1" s="227"/>
      <c r="E1" s="228" t="s">
        <v>19</v>
      </c>
      <c r="F1" s="228"/>
      <c r="G1" s="8"/>
      <c r="H1" s="72" t="s">
        <v>20</v>
      </c>
      <c r="I1" s="104" t="s">
        <v>21</v>
      </c>
      <c r="J1" s="5" t="s">
        <v>7</v>
      </c>
      <c r="K1" s="104" t="s">
        <v>4</v>
      </c>
      <c r="L1" s="5" t="s">
        <v>6</v>
      </c>
      <c r="M1" s="104" t="s">
        <v>5</v>
      </c>
      <c r="N1" s="5" t="s">
        <v>9</v>
      </c>
      <c r="O1" s="104" t="s">
        <v>11</v>
      </c>
      <c r="P1" s="5" t="s">
        <v>8</v>
      </c>
      <c r="Q1" s="104" t="s">
        <v>12</v>
      </c>
      <c r="R1" s="5" t="s">
        <v>95</v>
      </c>
      <c r="S1" s="104" t="s">
        <v>85</v>
      </c>
      <c r="T1" s="5" t="s">
        <v>86</v>
      </c>
      <c r="U1" s="104" t="s">
        <v>87</v>
      </c>
    </row>
    <row r="2" spans="1:25" ht="43.5" customHeight="1" x14ac:dyDescent="0.3">
      <c r="A2" s="224"/>
      <c r="B2" s="225"/>
      <c r="C2" s="73" t="s">
        <v>2</v>
      </c>
      <c r="D2" s="21" t="s">
        <v>1</v>
      </c>
      <c r="E2" s="1" t="s">
        <v>2</v>
      </c>
      <c r="F2" s="1" t="s">
        <v>1</v>
      </c>
      <c r="G2" s="9"/>
      <c r="H2" s="6" t="s">
        <v>3</v>
      </c>
      <c r="I2" s="1" t="s">
        <v>1</v>
      </c>
      <c r="J2" s="6" t="s">
        <v>3</v>
      </c>
      <c r="K2" s="1" t="s">
        <v>1</v>
      </c>
      <c r="L2" s="6" t="s">
        <v>3</v>
      </c>
      <c r="M2" s="1" t="s">
        <v>1</v>
      </c>
      <c r="N2" s="6" t="s">
        <v>3</v>
      </c>
      <c r="O2" s="1" t="s">
        <v>1</v>
      </c>
      <c r="P2" s="6" t="s">
        <v>3</v>
      </c>
      <c r="Q2" s="1" t="s">
        <v>1</v>
      </c>
      <c r="R2" s="6" t="s">
        <v>3</v>
      </c>
      <c r="S2" s="1" t="s">
        <v>1</v>
      </c>
      <c r="T2" s="6" t="s">
        <v>3</v>
      </c>
      <c r="U2" s="1" t="s">
        <v>1</v>
      </c>
    </row>
    <row r="3" spans="1:25" ht="26.25" x14ac:dyDescent="0.3">
      <c r="A3" s="97" t="s">
        <v>14</v>
      </c>
      <c r="B3" s="12" t="s">
        <v>10</v>
      </c>
      <c r="C3" s="29">
        <f>C31+C58+C67</f>
        <v>5</v>
      </c>
      <c r="D3" s="30">
        <f>D31+D58+D67</f>
        <v>0</v>
      </c>
      <c r="E3" s="30">
        <f>E31+E58+E67</f>
        <v>0</v>
      </c>
      <c r="F3" s="14">
        <f>F31+F58+F67</f>
        <v>0</v>
      </c>
      <c r="G3" s="105"/>
      <c r="H3" s="2">
        <f t="shared" ref="H3:U3" si="0">H31+H58+H67</f>
        <v>0</v>
      </c>
      <c r="I3" s="2">
        <f t="shared" si="0"/>
        <v>0</v>
      </c>
      <c r="J3" s="85">
        <f t="shared" si="0"/>
        <v>0</v>
      </c>
      <c r="K3" s="2">
        <f t="shared" si="0"/>
        <v>0</v>
      </c>
      <c r="L3" s="2">
        <f t="shared" si="0"/>
        <v>0</v>
      </c>
      <c r="M3" s="2">
        <f t="shared" si="0"/>
        <v>0</v>
      </c>
      <c r="N3" s="2">
        <f t="shared" si="0"/>
        <v>0</v>
      </c>
      <c r="O3" s="2">
        <f t="shared" si="0"/>
        <v>0</v>
      </c>
      <c r="P3" s="2">
        <f t="shared" si="0"/>
        <v>0</v>
      </c>
      <c r="Q3" s="2">
        <f t="shared" si="0"/>
        <v>0</v>
      </c>
      <c r="R3" s="2">
        <f t="shared" si="0"/>
        <v>1</v>
      </c>
      <c r="S3" s="2">
        <f t="shared" si="0"/>
        <v>0</v>
      </c>
      <c r="T3" s="2">
        <f t="shared" si="0"/>
        <v>0</v>
      </c>
      <c r="U3" s="2">
        <f t="shared" si="0"/>
        <v>0</v>
      </c>
      <c r="V3" s="4">
        <f>D3*10</f>
        <v>0</v>
      </c>
      <c r="W3">
        <f>F3*10+E3</f>
        <v>0</v>
      </c>
      <c r="X3" s="4">
        <f>SUM(H3:Q3)</f>
        <v>0</v>
      </c>
      <c r="Y3" s="11">
        <f>SUM(V3:X3)</f>
        <v>0</v>
      </c>
    </row>
    <row r="4" spans="1:25" ht="24" customHeight="1" x14ac:dyDescent="0.3">
      <c r="A4" s="229" t="s">
        <v>34</v>
      </c>
      <c r="B4" s="3" t="s">
        <v>36</v>
      </c>
      <c r="C4" s="7"/>
      <c r="D4" s="7"/>
      <c r="E4" s="50"/>
      <c r="F4" s="50"/>
      <c r="G4" s="105"/>
      <c r="H4" s="7"/>
      <c r="I4" s="50"/>
      <c r="J4" s="10"/>
      <c r="K4" s="50"/>
      <c r="L4" s="7"/>
      <c r="M4" s="50"/>
      <c r="N4" s="10"/>
      <c r="O4" s="50"/>
      <c r="P4" s="7"/>
      <c r="Q4" s="50"/>
      <c r="R4" s="7"/>
      <c r="S4" s="50"/>
      <c r="T4" s="7"/>
      <c r="U4" s="50"/>
    </row>
    <row r="5" spans="1:25" ht="24" customHeight="1" x14ac:dyDescent="0.3">
      <c r="A5" s="230"/>
      <c r="B5" s="3" t="s">
        <v>82</v>
      </c>
      <c r="C5" s="7"/>
      <c r="D5" s="7"/>
      <c r="E5" s="50"/>
      <c r="F5" s="50"/>
      <c r="G5" s="105"/>
      <c r="H5" s="7"/>
      <c r="I5" s="50"/>
      <c r="J5" s="10"/>
      <c r="K5" s="50"/>
      <c r="L5" s="7"/>
      <c r="M5" s="50"/>
      <c r="N5" s="10"/>
      <c r="O5" s="50"/>
      <c r="P5" s="7"/>
      <c r="Q5" s="50"/>
      <c r="R5" s="7"/>
      <c r="S5" s="50"/>
      <c r="T5" s="7"/>
      <c r="U5" s="50"/>
    </row>
    <row r="6" spans="1:25" ht="24" customHeight="1" x14ac:dyDescent="0.3">
      <c r="A6" s="230"/>
      <c r="B6" s="3" t="s">
        <v>37</v>
      </c>
      <c r="C6" s="7"/>
      <c r="D6" s="7"/>
      <c r="E6" s="50"/>
      <c r="F6" s="50"/>
      <c r="G6" s="105"/>
      <c r="H6" s="7"/>
      <c r="I6" s="50"/>
      <c r="J6" s="10"/>
      <c r="K6" s="50"/>
      <c r="L6" s="7"/>
      <c r="M6" s="50"/>
      <c r="N6" s="10"/>
      <c r="O6" s="50"/>
      <c r="P6" s="7"/>
      <c r="Q6" s="50"/>
      <c r="R6" s="7"/>
      <c r="S6" s="50"/>
      <c r="T6" s="7"/>
      <c r="U6" s="50"/>
    </row>
    <row r="7" spans="1:25" ht="24" customHeight="1" x14ac:dyDescent="0.3">
      <c r="A7" s="230"/>
      <c r="B7" s="3" t="s">
        <v>38</v>
      </c>
      <c r="C7" s="7"/>
      <c r="D7" s="7"/>
      <c r="E7" s="50"/>
      <c r="F7" s="50"/>
      <c r="G7" s="105"/>
      <c r="H7" s="7"/>
      <c r="I7" s="50"/>
      <c r="J7" s="10"/>
      <c r="K7" s="50"/>
      <c r="L7" s="7"/>
      <c r="M7" s="50"/>
      <c r="N7" s="10"/>
      <c r="O7" s="50"/>
      <c r="P7" s="7"/>
      <c r="Q7" s="50"/>
      <c r="R7" s="7"/>
      <c r="S7" s="50"/>
      <c r="T7" s="7"/>
      <c r="U7" s="50"/>
    </row>
    <row r="8" spans="1:25" ht="24" customHeight="1" x14ac:dyDescent="0.3">
      <c r="A8" s="230"/>
      <c r="B8" s="3" t="s">
        <v>50</v>
      </c>
      <c r="C8" s="77"/>
      <c r="D8" s="7"/>
      <c r="E8" s="50"/>
      <c r="F8" s="50"/>
      <c r="G8" s="63"/>
      <c r="H8" s="7"/>
      <c r="I8" s="50"/>
      <c r="J8" s="10"/>
      <c r="K8" s="50"/>
      <c r="L8" s="7"/>
      <c r="M8" s="50"/>
      <c r="N8" s="10"/>
      <c r="O8" s="50"/>
      <c r="P8" s="7"/>
      <c r="Q8" s="50"/>
      <c r="R8" s="7"/>
      <c r="S8" s="50"/>
      <c r="T8" s="7"/>
      <c r="U8" s="50"/>
    </row>
    <row r="9" spans="1:25" ht="24" customHeight="1" x14ac:dyDescent="0.3">
      <c r="A9" s="230"/>
      <c r="B9" s="3" t="s">
        <v>72</v>
      </c>
      <c r="C9" s="7"/>
      <c r="D9" s="7"/>
      <c r="E9" s="50"/>
      <c r="F9" s="50"/>
      <c r="G9" s="105"/>
      <c r="H9" s="7"/>
      <c r="I9" s="50"/>
      <c r="J9" s="10"/>
      <c r="K9" s="50"/>
      <c r="L9" s="7"/>
      <c r="M9" s="50"/>
      <c r="N9" s="10"/>
      <c r="O9" s="50"/>
      <c r="P9" s="7"/>
      <c r="Q9" s="50"/>
      <c r="R9" s="7"/>
      <c r="S9" s="50"/>
      <c r="T9" s="7"/>
      <c r="U9" s="50"/>
    </row>
    <row r="10" spans="1:25" ht="24" customHeight="1" x14ac:dyDescent="0.3">
      <c r="A10" s="230"/>
      <c r="B10" s="3" t="s">
        <v>52</v>
      </c>
      <c r="C10" s="7"/>
      <c r="D10" s="7"/>
      <c r="E10" s="50"/>
      <c r="F10" s="50"/>
      <c r="G10" s="105"/>
      <c r="H10" s="7"/>
      <c r="I10" s="50"/>
      <c r="J10" s="10"/>
      <c r="K10" s="50"/>
      <c r="L10" s="7"/>
      <c r="M10" s="50"/>
      <c r="N10" s="10"/>
      <c r="O10" s="50"/>
      <c r="P10" s="7"/>
      <c r="Q10" s="50"/>
      <c r="R10" s="7"/>
      <c r="S10" s="50"/>
      <c r="T10" s="7"/>
      <c r="U10" s="50"/>
    </row>
    <row r="11" spans="1:25" ht="24" customHeight="1" x14ac:dyDescent="0.3">
      <c r="A11" s="230"/>
      <c r="B11" s="3" t="s">
        <v>39</v>
      </c>
      <c r="C11" s="7"/>
      <c r="D11" s="7"/>
      <c r="E11" s="50"/>
      <c r="F11" s="50"/>
      <c r="G11" s="105"/>
      <c r="H11" s="7"/>
      <c r="I11" s="50"/>
      <c r="J11" s="10"/>
      <c r="K11" s="50"/>
      <c r="L11" s="7"/>
      <c r="M11" s="50"/>
      <c r="N11" s="10"/>
      <c r="O11" s="50"/>
      <c r="P11" s="7"/>
      <c r="Q11" s="50"/>
      <c r="R11" s="7"/>
      <c r="S11" s="50"/>
      <c r="T11" s="7"/>
      <c r="U11" s="50"/>
    </row>
    <row r="12" spans="1:25" ht="24" customHeight="1" x14ac:dyDescent="0.3">
      <c r="A12" s="230"/>
      <c r="B12" s="3" t="s">
        <v>40</v>
      </c>
      <c r="C12" s="7"/>
      <c r="D12" s="77"/>
      <c r="E12" s="76"/>
      <c r="F12" s="50"/>
      <c r="G12" s="80"/>
      <c r="H12" s="7"/>
      <c r="I12" s="76"/>
      <c r="J12" s="7"/>
      <c r="K12" s="50"/>
      <c r="L12" s="7"/>
      <c r="M12" s="76"/>
      <c r="N12" s="10"/>
      <c r="O12" s="76"/>
      <c r="P12" s="7"/>
      <c r="Q12" s="76"/>
      <c r="R12" s="10"/>
      <c r="S12" s="76"/>
      <c r="T12" s="77"/>
      <c r="U12" s="76"/>
    </row>
    <row r="13" spans="1:25" ht="24" customHeight="1" x14ac:dyDescent="0.3">
      <c r="A13" s="230"/>
      <c r="B13" s="3" t="s">
        <v>41</v>
      </c>
      <c r="C13" s="7"/>
      <c r="D13" s="7"/>
      <c r="E13" s="50"/>
      <c r="F13" s="50"/>
      <c r="G13" s="105"/>
      <c r="H13" s="7"/>
      <c r="I13" s="50"/>
      <c r="J13" s="10"/>
      <c r="K13" s="50"/>
      <c r="L13" s="7"/>
      <c r="M13" s="50"/>
      <c r="N13" s="10"/>
      <c r="O13" s="50"/>
      <c r="P13" s="7"/>
      <c r="Q13" s="50"/>
      <c r="R13" s="7"/>
      <c r="S13" s="50"/>
      <c r="T13" s="7"/>
      <c r="U13" s="50"/>
    </row>
    <row r="14" spans="1:25" ht="24" customHeight="1" x14ac:dyDescent="0.3">
      <c r="A14" s="230"/>
      <c r="B14" s="3" t="s">
        <v>42</v>
      </c>
      <c r="C14" s="7"/>
      <c r="D14" s="7"/>
      <c r="E14" s="50"/>
      <c r="F14" s="50"/>
      <c r="G14" s="105"/>
      <c r="H14" s="7"/>
      <c r="I14" s="50"/>
      <c r="J14" s="10"/>
      <c r="K14" s="50"/>
      <c r="L14" s="7"/>
      <c r="M14" s="50"/>
      <c r="N14" s="10"/>
      <c r="O14" s="50"/>
      <c r="P14" s="7"/>
      <c r="Q14" s="50"/>
      <c r="R14" s="7"/>
      <c r="S14" s="50"/>
      <c r="T14" s="7"/>
      <c r="U14" s="50"/>
    </row>
    <row r="15" spans="1:25" ht="24" customHeight="1" x14ac:dyDescent="0.3">
      <c r="A15" s="230"/>
      <c r="B15" s="3" t="s">
        <v>43</v>
      </c>
      <c r="C15" s="7"/>
      <c r="D15" s="7"/>
      <c r="E15" s="50"/>
      <c r="F15" s="50"/>
      <c r="G15" s="105"/>
      <c r="H15" s="7"/>
      <c r="I15" s="50"/>
      <c r="J15" s="10"/>
      <c r="K15" s="50"/>
      <c r="L15" s="7"/>
      <c r="M15" s="50"/>
      <c r="N15" s="10"/>
      <c r="O15" s="50"/>
      <c r="P15" s="7"/>
      <c r="Q15" s="50"/>
      <c r="R15" s="7"/>
      <c r="S15" s="50"/>
      <c r="T15" s="7"/>
      <c r="U15" s="50"/>
    </row>
    <row r="16" spans="1:25" ht="24" customHeight="1" x14ac:dyDescent="0.3">
      <c r="A16" s="230"/>
      <c r="B16" s="3" t="s">
        <v>51</v>
      </c>
      <c r="C16" s="7"/>
      <c r="D16" s="7"/>
      <c r="E16" s="50"/>
      <c r="F16" s="50"/>
      <c r="G16" s="105"/>
      <c r="H16" s="7"/>
      <c r="I16" s="50"/>
      <c r="J16" s="10"/>
      <c r="K16" s="50"/>
      <c r="L16" s="7"/>
      <c r="M16" s="50"/>
      <c r="N16" s="10"/>
      <c r="O16" s="50"/>
      <c r="P16" s="7"/>
      <c r="Q16" s="50"/>
      <c r="R16" s="7"/>
      <c r="S16" s="50"/>
      <c r="T16" s="7"/>
      <c r="U16" s="50"/>
    </row>
    <row r="17" spans="1:28" ht="24" customHeight="1" x14ac:dyDescent="0.3">
      <c r="A17" s="230"/>
      <c r="B17" s="3" t="s">
        <v>44</v>
      </c>
      <c r="C17" s="7"/>
      <c r="D17" s="7"/>
      <c r="E17" s="50"/>
      <c r="F17" s="50"/>
      <c r="G17" s="105"/>
      <c r="H17" s="7"/>
      <c r="I17" s="50"/>
      <c r="J17" s="10"/>
      <c r="K17" s="50"/>
      <c r="L17" s="7"/>
      <c r="M17" s="50"/>
      <c r="N17" s="10"/>
      <c r="O17" s="50"/>
      <c r="P17" s="7"/>
      <c r="Q17" s="50"/>
      <c r="R17" s="7"/>
      <c r="S17" s="50"/>
      <c r="T17" s="7"/>
      <c r="U17" s="50"/>
    </row>
    <row r="18" spans="1:28" ht="24" customHeight="1" x14ac:dyDescent="0.3">
      <c r="A18" s="230"/>
      <c r="B18" s="100" t="s">
        <v>91</v>
      </c>
      <c r="C18" s="7"/>
      <c r="D18" s="7"/>
      <c r="E18" s="50"/>
      <c r="F18" s="50"/>
      <c r="G18" s="105"/>
      <c r="H18" s="7"/>
      <c r="I18" s="50"/>
      <c r="J18" s="10"/>
      <c r="K18" s="50"/>
      <c r="L18" s="7"/>
      <c r="M18" s="50"/>
      <c r="N18" s="10"/>
      <c r="O18" s="50"/>
      <c r="P18" s="7"/>
      <c r="Q18" s="50"/>
      <c r="R18" s="7"/>
      <c r="S18" s="50"/>
      <c r="T18" s="7"/>
      <c r="U18" s="50"/>
    </row>
    <row r="19" spans="1:28" ht="24" customHeight="1" x14ac:dyDescent="0.3">
      <c r="A19" s="230"/>
      <c r="B19" s="100" t="s">
        <v>46</v>
      </c>
      <c r="C19" s="7"/>
      <c r="D19" s="7"/>
      <c r="E19" s="50"/>
      <c r="F19" s="50"/>
      <c r="G19" s="105"/>
      <c r="H19" s="7"/>
      <c r="I19" s="50"/>
      <c r="J19" s="10"/>
      <c r="K19" s="50"/>
      <c r="L19" s="7"/>
      <c r="M19" s="50"/>
      <c r="N19" s="10"/>
      <c r="O19" s="50"/>
      <c r="P19" s="7"/>
      <c r="Q19" s="50"/>
      <c r="R19" s="7"/>
      <c r="S19" s="50"/>
      <c r="T19" s="7"/>
      <c r="U19" s="76"/>
    </row>
    <row r="20" spans="1:28" ht="24" customHeight="1" x14ac:dyDescent="0.3">
      <c r="A20" s="230"/>
      <c r="B20" s="100" t="s">
        <v>48</v>
      </c>
      <c r="C20" s="7"/>
      <c r="D20" s="7"/>
      <c r="E20" s="50"/>
      <c r="F20" s="50"/>
      <c r="G20" s="105"/>
      <c r="H20" s="7"/>
      <c r="I20" s="50"/>
      <c r="J20" s="10"/>
      <c r="K20" s="50"/>
      <c r="L20" s="7"/>
      <c r="M20" s="50"/>
      <c r="N20" s="10"/>
      <c r="O20" s="50"/>
      <c r="P20" s="7"/>
      <c r="Q20" s="50"/>
      <c r="R20" s="7">
        <v>1</v>
      </c>
      <c r="S20" s="50"/>
      <c r="T20" s="7"/>
      <c r="U20" s="50"/>
    </row>
    <row r="21" spans="1:28" ht="24" customHeight="1" x14ac:dyDescent="0.3">
      <c r="A21" s="230"/>
      <c r="B21" s="3" t="s">
        <v>75</v>
      </c>
      <c r="C21" s="7"/>
      <c r="D21" s="7"/>
      <c r="E21" s="50"/>
      <c r="F21" s="50"/>
      <c r="G21" s="105"/>
      <c r="H21" s="7"/>
      <c r="I21" s="50"/>
      <c r="J21" s="10"/>
      <c r="K21" s="50"/>
      <c r="L21" s="7"/>
      <c r="M21" s="50"/>
      <c r="N21" s="10"/>
      <c r="O21" s="50"/>
      <c r="P21" s="7"/>
      <c r="Q21" s="50"/>
      <c r="R21" s="7"/>
      <c r="S21" s="50"/>
      <c r="T21" s="7"/>
      <c r="U21" s="50"/>
    </row>
    <row r="22" spans="1:28" ht="24" customHeight="1" x14ac:dyDescent="0.3">
      <c r="A22" s="230"/>
      <c r="B22" s="3" t="s">
        <v>73</v>
      </c>
      <c r="C22" s="7"/>
      <c r="D22" s="7"/>
      <c r="E22" s="50"/>
      <c r="F22" s="50"/>
      <c r="G22" s="105"/>
      <c r="H22" s="7"/>
      <c r="I22" s="50"/>
      <c r="J22" s="10"/>
      <c r="K22" s="50"/>
      <c r="L22" s="7"/>
      <c r="M22" s="50"/>
      <c r="N22" s="10"/>
      <c r="O22" s="50"/>
      <c r="P22" s="7"/>
      <c r="Q22" s="50"/>
      <c r="R22" s="7"/>
      <c r="S22" s="50"/>
      <c r="T22" s="7"/>
      <c r="U22" s="50"/>
    </row>
    <row r="23" spans="1:28" ht="24" customHeight="1" x14ac:dyDescent="0.3">
      <c r="A23" s="230"/>
      <c r="B23" s="3" t="s">
        <v>62</v>
      </c>
      <c r="C23" s="7"/>
      <c r="D23" s="7"/>
      <c r="E23" s="50"/>
      <c r="F23" s="50"/>
      <c r="G23" s="105"/>
      <c r="H23" s="7"/>
      <c r="I23" s="50"/>
      <c r="J23" s="10"/>
      <c r="K23" s="50"/>
      <c r="L23" s="7"/>
      <c r="M23" s="50"/>
      <c r="N23" s="10"/>
      <c r="O23" s="50"/>
      <c r="P23" s="7"/>
      <c r="Q23" s="50"/>
      <c r="R23" s="7"/>
      <c r="S23" s="50"/>
      <c r="T23" s="7"/>
      <c r="U23" s="50"/>
    </row>
    <row r="24" spans="1:28" ht="24" customHeight="1" x14ac:dyDescent="0.3">
      <c r="A24" s="230"/>
      <c r="B24" s="3" t="s">
        <v>81</v>
      </c>
      <c r="C24" s="7"/>
      <c r="D24" s="77"/>
      <c r="E24" s="76"/>
      <c r="F24" s="50"/>
      <c r="G24" s="80"/>
      <c r="H24" s="7"/>
      <c r="I24" s="76"/>
      <c r="J24" s="10"/>
      <c r="K24" s="50"/>
      <c r="L24" s="7"/>
      <c r="M24" s="50"/>
      <c r="N24" s="10"/>
      <c r="O24" s="50"/>
      <c r="P24" s="7"/>
      <c r="Q24" s="50"/>
      <c r="R24" s="7"/>
      <c r="S24" s="50"/>
      <c r="T24" s="7"/>
      <c r="U24" s="50"/>
    </row>
    <row r="25" spans="1:28" ht="24" customHeight="1" x14ac:dyDescent="0.3">
      <c r="A25" s="230"/>
      <c r="B25" s="3" t="s">
        <v>76</v>
      </c>
      <c r="C25" s="7"/>
      <c r="D25" s="7"/>
      <c r="E25" s="50"/>
      <c r="F25" s="50"/>
      <c r="G25" s="105"/>
      <c r="H25" s="7"/>
      <c r="I25" s="50"/>
      <c r="J25" s="10"/>
      <c r="K25" s="50"/>
      <c r="L25" s="7"/>
      <c r="M25" s="50"/>
      <c r="N25" s="10"/>
      <c r="O25" s="50"/>
      <c r="P25" s="7"/>
      <c r="Q25" s="50"/>
      <c r="R25" s="7"/>
      <c r="S25" s="50"/>
      <c r="T25" s="7"/>
      <c r="U25" s="50"/>
      <c r="Y25" s="82"/>
    </row>
    <row r="26" spans="1:28" ht="24" customHeight="1" x14ac:dyDescent="0.3">
      <c r="A26" s="230"/>
      <c r="B26" s="3" t="s">
        <v>89</v>
      </c>
      <c r="C26" s="7"/>
      <c r="D26" s="7"/>
      <c r="E26" s="50"/>
      <c r="F26" s="50"/>
      <c r="G26" s="105"/>
      <c r="H26" s="7"/>
      <c r="I26" s="50"/>
      <c r="J26" s="10"/>
      <c r="K26" s="50"/>
      <c r="L26" s="7"/>
      <c r="M26" s="50"/>
      <c r="N26" s="10"/>
      <c r="O26" s="50"/>
      <c r="P26" s="7"/>
      <c r="Q26" s="50"/>
      <c r="R26" s="7"/>
      <c r="S26" s="50"/>
      <c r="T26" s="7"/>
      <c r="U26" s="50"/>
      <c r="Y26" s="82"/>
    </row>
    <row r="27" spans="1:28" ht="24" customHeight="1" x14ac:dyDescent="0.3">
      <c r="A27" s="230"/>
      <c r="B27" s="3" t="s">
        <v>90</v>
      </c>
      <c r="C27" s="7"/>
      <c r="D27" s="7"/>
      <c r="E27" s="50"/>
      <c r="F27" s="50"/>
      <c r="G27" s="105"/>
      <c r="H27" s="7"/>
      <c r="I27" s="50"/>
      <c r="J27" s="10"/>
      <c r="K27" s="50"/>
      <c r="L27" s="7"/>
      <c r="M27" s="50"/>
      <c r="N27" s="10"/>
      <c r="O27" s="50"/>
      <c r="P27" s="7"/>
      <c r="Q27" s="50"/>
      <c r="R27" s="7"/>
      <c r="S27" s="50"/>
      <c r="T27" s="7"/>
      <c r="U27" s="50"/>
      <c r="Y27" s="82"/>
    </row>
    <row r="28" spans="1:28" ht="24" customHeight="1" x14ac:dyDescent="0.3">
      <c r="A28" s="230"/>
      <c r="B28" s="3" t="s">
        <v>49</v>
      </c>
      <c r="C28" s="7"/>
      <c r="D28" s="7"/>
      <c r="E28" s="50"/>
      <c r="F28" s="50"/>
      <c r="G28" s="105"/>
      <c r="H28" s="7"/>
      <c r="I28" s="50"/>
      <c r="J28" s="86"/>
      <c r="K28" s="50"/>
      <c r="L28" s="7"/>
      <c r="M28" s="50"/>
      <c r="N28" s="10"/>
      <c r="O28" s="50"/>
      <c r="P28" s="7"/>
      <c r="Q28" s="50"/>
      <c r="R28" s="7"/>
      <c r="S28" s="50"/>
      <c r="T28" s="7"/>
      <c r="U28" s="50"/>
      <c r="X28" s="232"/>
      <c r="Y28" s="232"/>
      <c r="Z28" s="232"/>
      <c r="AA28" s="232"/>
      <c r="AB28" s="232"/>
    </row>
    <row r="29" spans="1:28" ht="24" customHeight="1" x14ac:dyDescent="0.3">
      <c r="A29" s="230"/>
      <c r="B29" s="3" t="s">
        <v>74</v>
      </c>
      <c r="C29" s="7"/>
      <c r="D29" s="7"/>
      <c r="E29" s="50"/>
      <c r="F29" s="50"/>
      <c r="H29" s="7"/>
      <c r="I29" s="50"/>
      <c r="J29" s="10"/>
      <c r="K29" s="50"/>
      <c r="L29" s="7"/>
      <c r="M29" s="50"/>
      <c r="N29" s="10"/>
      <c r="O29" s="50"/>
      <c r="P29" s="7"/>
      <c r="Q29" s="50"/>
      <c r="R29" s="7"/>
      <c r="S29" s="50"/>
      <c r="T29" s="7"/>
      <c r="U29" s="50"/>
    </row>
    <row r="30" spans="1:28" ht="24" customHeight="1" x14ac:dyDescent="0.3">
      <c r="A30" s="230"/>
      <c r="B30" s="3" t="s">
        <v>55</v>
      </c>
      <c r="C30" s="7"/>
      <c r="D30" s="7"/>
      <c r="E30" s="50"/>
      <c r="F30" s="50"/>
      <c r="G30" s="105"/>
      <c r="H30" s="7"/>
      <c r="I30" s="50"/>
      <c r="J30" s="10"/>
      <c r="K30" s="50"/>
      <c r="L30" s="7"/>
      <c r="M30" s="50"/>
      <c r="N30" s="10"/>
      <c r="O30" s="50"/>
      <c r="P30" s="7"/>
      <c r="Q30" s="50"/>
      <c r="R30" s="7"/>
      <c r="S30" s="50"/>
      <c r="T30" s="7"/>
      <c r="U30" s="50"/>
    </row>
    <row r="31" spans="1:28" ht="27" thickBot="1" x14ac:dyDescent="0.35">
      <c r="A31" s="231"/>
      <c r="B31" s="31"/>
      <c r="C31" s="31">
        <f>SUM(C4:C30)</f>
        <v>0</v>
      </c>
      <c r="D31" s="31">
        <f>SUM(D4:D30)</f>
        <v>0</v>
      </c>
      <c r="E31" s="31">
        <f>SUM(E4:E30)</f>
        <v>0</v>
      </c>
      <c r="F31" s="31">
        <f>SUM(F4:F30)</f>
        <v>0</v>
      </c>
      <c r="G31" s="105"/>
      <c r="H31" s="2">
        <f t="shared" ref="H31:U31" si="1">SUM(H4:H30)</f>
        <v>0</v>
      </c>
      <c r="I31" s="2">
        <f t="shared" si="1"/>
        <v>0</v>
      </c>
      <c r="J31" s="2">
        <f t="shared" si="1"/>
        <v>0</v>
      </c>
      <c r="K31" s="2">
        <f t="shared" si="1"/>
        <v>0</v>
      </c>
      <c r="L31" s="2">
        <f t="shared" si="1"/>
        <v>0</v>
      </c>
      <c r="M31" s="2">
        <f t="shared" si="1"/>
        <v>0</v>
      </c>
      <c r="N31" s="2">
        <f t="shared" si="1"/>
        <v>0</v>
      </c>
      <c r="O31" s="2">
        <f t="shared" si="1"/>
        <v>0</v>
      </c>
      <c r="P31" s="2">
        <f t="shared" si="1"/>
        <v>0</v>
      </c>
      <c r="Q31" s="2">
        <f t="shared" si="1"/>
        <v>0</v>
      </c>
      <c r="R31" s="2">
        <f t="shared" si="1"/>
        <v>1</v>
      </c>
      <c r="S31" s="2">
        <f t="shared" si="1"/>
        <v>0</v>
      </c>
      <c r="T31" s="2">
        <f t="shared" si="1"/>
        <v>0</v>
      </c>
      <c r="U31" s="2">
        <f t="shared" si="1"/>
        <v>0</v>
      </c>
      <c r="W31" s="35"/>
      <c r="X31" s="18"/>
      <c r="Y31" s="18"/>
    </row>
    <row r="32" spans="1:28" ht="24" customHeight="1" thickTop="1" x14ac:dyDescent="0.3">
      <c r="A32" s="233" t="s">
        <v>27</v>
      </c>
      <c r="B32" s="23" t="s">
        <v>63</v>
      </c>
      <c r="C32" s="28"/>
      <c r="D32" s="28"/>
      <c r="E32" s="15"/>
      <c r="F32" s="16"/>
      <c r="G32" s="25"/>
      <c r="H32" s="43"/>
      <c r="I32" s="50"/>
      <c r="J32" s="10"/>
      <c r="K32" s="50"/>
      <c r="L32" s="7"/>
      <c r="M32" s="50"/>
      <c r="N32" s="7"/>
      <c r="O32" s="50"/>
      <c r="P32" s="7"/>
      <c r="Q32" s="50"/>
      <c r="R32" s="7"/>
      <c r="S32" s="50"/>
      <c r="T32" s="7"/>
      <c r="U32" s="50"/>
      <c r="W32" s="18"/>
      <c r="X32" s="18"/>
      <c r="Y32" s="18"/>
      <c r="Z32" s="18"/>
      <c r="AA32" s="18"/>
    </row>
    <row r="33" spans="1:27" ht="24" customHeight="1" x14ac:dyDescent="0.3">
      <c r="A33" s="233"/>
      <c r="B33" s="24" t="s">
        <v>94</v>
      </c>
      <c r="C33" s="32"/>
      <c r="D33" s="32"/>
      <c r="E33" s="54"/>
      <c r="F33" s="22"/>
      <c r="G33" s="25"/>
      <c r="H33" s="43"/>
      <c r="I33" s="50"/>
      <c r="J33" s="10"/>
      <c r="K33" s="50"/>
      <c r="L33" s="7"/>
      <c r="M33" s="50"/>
      <c r="N33" s="7"/>
      <c r="O33" s="50"/>
      <c r="P33" s="7"/>
      <c r="Q33" s="50"/>
      <c r="R33" s="7"/>
      <c r="S33" s="50"/>
      <c r="T33" s="7"/>
      <c r="U33" s="50"/>
      <c r="W33" s="18"/>
      <c r="X33" s="18"/>
      <c r="Y33" s="18"/>
      <c r="Z33" s="18"/>
      <c r="AA33" s="18"/>
    </row>
    <row r="34" spans="1:27" ht="24" customHeight="1" x14ac:dyDescent="0.3">
      <c r="A34" s="233"/>
      <c r="B34" s="24" t="s">
        <v>54</v>
      </c>
      <c r="C34" s="32"/>
      <c r="D34" s="32"/>
      <c r="E34" s="54"/>
      <c r="F34" s="22"/>
      <c r="G34" s="25"/>
      <c r="H34" s="10"/>
      <c r="I34" s="50"/>
      <c r="J34" s="10"/>
      <c r="K34" s="50"/>
      <c r="L34" s="7"/>
      <c r="M34" s="50"/>
      <c r="N34" s="7"/>
      <c r="O34" s="50"/>
      <c r="P34" s="7"/>
      <c r="Q34" s="76"/>
      <c r="R34" s="7"/>
      <c r="S34" s="50"/>
      <c r="T34" s="7"/>
      <c r="U34" s="50"/>
      <c r="W34" s="18"/>
      <c r="X34" s="18"/>
      <c r="Y34" s="18"/>
      <c r="Z34" s="18"/>
      <c r="AA34" s="18"/>
    </row>
    <row r="35" spans="1:27" ht="24" customHeight="1" x14ac:dyDescent="0.3">
      <c r="A35" s="233"/>
      <c r="B35" s="24" t="s">
        <v>56</v>
      </c>
      <c r="C35" s="32"/>
      <c r="D35" s="32"/>
      <c r="E35" s="54"/>
      <c r="F35" s="22"/>
      <c r="G35" s="25"/>
      <c r="H35" s="43"/>
      <c r="I35" s="50"/>
      <c r="J35" s="10"/>
      <c r="K35" s="50"/>
      <c r="L35" s="7"/>
      <c r="M35" s="50"/>
      <c r="N35" s="7"/>
      <c r="O35" s="50"/>
      <c r="P35" s="7"/>
      <c r="Q35" s="50"/>
      <c r="R35" s="7"/>
      <c r="S35" s="50"/>
      <c r="T35" s="7"/>
      <c r="U35" s="50"/>
      <c r="W35" s="18"/>
      <c r="X35" s="18"/>
      <c r="Y35" s="18"/>
      <c r="Z35" s="18"/>
      <c r="AA35" s="18"/>
    </row>
    <row r="36" spans="1:27" ht="24" customHeight="1" x14ac:dyDescent="0.3">
      <c r="A36" s="233"/>
      <c r="B36" s="24" t="s">
        <v>78</v>
      </c>
      <c r="C36" s="32"/>
      <c r="D36" s="32"/>
      <c r="E36" s="54"/>
      <c r="F36" s="22"/>
      <c r="G36" s="25"/>
      <c r="H36" s="43"/>
      <c r="I36" s="50"/>
      <c r="J36" s="10"/>
      <c r="K36" s="50"/>
      <c r="L36" s="7"/>
      <c r="M36" s="50"/>
      <c r="N36" s="7"/>
      <c r="O36" s="50"/>
      <c r="P36" s="7"/>
      <c r="Q36" s="50"/>
      <c r="R36" s="7"/>
      <c r="S36" s="50"/>
      <c r="T36" s="7"/>
      <c r="U36" s="50"/>
      <c r="W36" s="18"/>
      <c r="X36" s="18"/>
      <c r="Y36" s="18"/>
      <c r="Z36" s="18"/>
      <c r="AA36" s="18"/>
    </row>
    <row r="37" spans="1:27" ht="24" customHeight="1" x14ac:dyDescent="0.3">
      <c r="A37" s="233"/>
      <c r="B37" s="24" t="s">
        <v>53</v>
      </c>
      <c r="C37" s="32"/>
      <c r="D37" s="32"/>
      <c r="E37" s="54"/>
      <c r="F37" s="22"/>
      <c r="G37" s="25"/>
      <c r="H37" s="43"/>
      <c r="I37" s="50"/>
      <c r="J37" s="10"/>
      <c r="K37" s="50"/>
      <c r="L37" s="7"/>
      <c r="M37" s="50"/>
      <c r="N37" s="7"/>
      <c r="O37" s="50"/>
      <c r="P37" s="7"/>
      <c r="Q37" s="50"/>
      <c r="R37" s="7"/>
      <c r="S37" s="50"/>
      <c r="T37" s="7"/>
      <c r="U37" s="50"/>
      <c r="W37" s="18"/>
      <c r="X37" s="18"/>
      <c r="Y37" s="18"/>
      <c r="Z37" s="18"/>
      <c r="AA37" s="18"/>
    </row>
    <row r="38" spans="1:27" ht="24" customHeight="1" x14ac:dyDescent="0.3">
      <c r="A38" s="233"/>
      <c r="B38" s="24" t="s">
        <v>66</v>
      </c>
      <c r="C38" s="32"/>
      <c r="D38" s="32"/>
      <c r="E38" s="54"/>
      <c r="F38" s="22"/>
      <c r="G38" s="25"/>
      <c r="H38" s="43"/>
      <c r="I38" s="50"/>
      <c r="J38" s="10"/>
      <c r="K38" s="50"/>
      <c r="L38" s="7"/>
      <c r="M38" s="50"/>
      <c r="N38" s="7"/>
      <c r="O38" s="50"/>
      <c r="P38" s="7"/>
      <c r="Q38" s="50"/>
      <c r="R38" s="7"/>
      <c r="S38" s="50"/>
      <c r="T38" s="7"/>
      <c r="U38" s="50"/>
      <c r="W38" s="18"/>
      <c r="X38" s="18"/>
      <c r="Y38" s="18"/>
      <c r="Z38" s="18"/>
      <c r="AA38" s="18"/>
    </row>
    <row r="39" spans="1:27" ht="24" customHeight="1" x14ac:dyDescent="0.3">
      <c r="A39" s="233"/>
      <c r="B39" s="24" t="s">
        <v>70</v>
      </c>
      <c r="C39" s="32"/>
      <c r="D39" s="32"/>
      <c r="E39" s="54"/>
      <c r="F39" s="22"/>
      <c r="G39" s="25"/>
      <c r="H39" s="43"/>
      <c r="I39" s="50"/>
      <c r="J39" s="10"/>
      <c r="K39" s="50"/>
      <c r="L39" s="7"/>
      <c r="M39" s="50"/>
      <c r="N39" s="7"/>
      <c r="O39" s="50"/>
      <c r="P39" s="7"/>
      <c r="Q39" s="50"/>
      <c r="R39" s="7"/>
      <c r="S39" s="50"/>
      <c r="T39" s="7"/>
      <c r="U39" s="50"/>
      <c r="W39" s="18"/>
      <c r="X39" s="18"/>
      <c r="Y39" s="18"/>
      <c r="Z39" s="18"/>
      <c r="AA39" s="18"/>
    </row>
    <row r="40" spans="1:27" ht="24" customHeight="1" x14ac:dyDescent="0.3">
      <c r="A40" s="233"/>
      <c r="B40" s="24" t="s">
        <v>58</v>
      </c>
      <c r="C40" s="32"/>
      <c r="D40" s="32"/>
      <c r="E40" s="54"/>
      <c r="F40" s="22"/>
      <c r="G40" s="25"/>
      <c r="H40" s="7"/>
      <c r="I40" s="50"/>
      <c r="J40" s="10"/>
      <c r="K40" s="50"/>
      <c r="L40" s="7"/>
      <c r="M40" s="50"/>
      <c r="N40" s="7"/>
      <c r="O40" s="50"/>
      <c r="P40" s="7"/>
      <c r="Q40" s="50"/>
      <c r="R40" s="7"/>
      <c r="S40" s="50"/>
      <c r="T40" s="7"/>
      <c r="U40" s="50"/>
      <c r="W40" s="18"/>
      <c r="X40" s="18"/>
      <c r="Y40" s="18"/>
      <c r="Z40" s="18"/>
      <c r="AA40" s="18"/>
    </row>
    <row r="41" spans="1:27" ht="24" customHeight="1" x14ac:dyDescent="0.3">
      <c r="A41" s="233"/>
      <c r="B41" s="24" t="s">
        <v>71</v>
      </c>
      <c r="C41" s="32">
        <v>1</v>
      </c>
      <c r="D41" s="32"/>
      <c r="E41" s="54"/>
      <c r="F41" s="22"/>
      <c r="G41" s="25"/>
      <c r="H41" s="43"/>
      <c r="I41" s="50"/>
      <c r="J41" s="10"/>
      <c r="K41" s="50"/>
      <c r="L41" s="7"/>
      <c r="M41" s="50"/>
      <c r="N41" s="7"/>
      <c r="O41" s="50"/>
      <c r="P41" s="7"/>
      <c r="Q41" s="50"/>
      <c r="R41" s="7"/>
      <c r="S41" s="50"/>
      <c r="T41" s="7"/>
      <c r="U41" s="50"/>
      <c r="W41" s="18"/>
      <c r="X41" s="18"/>
      <c r="Y41" s="18"/>
      <c r="Z41" s="18"/>
      <c r="AA41" s="18"/>
    </row>
    <row r="42" spans="1:27" ht="24" customHeight="1" x14ac:dyDescent="0.3">
      <c r="A42" s="233"/>
      <c r="B42" s="24" t="s">
        <v>77</v>
      </c>
      <c r="C42" s="32">
        <v>1</v>
      </c>
      <c r="D42" s="32"/>
      <c r="E42" s="54"/>
      <c r="F42" s="22"/>
      <c r="G42" s="25"/>
      <c r="H42" s="7"/>
      <c r="I42" s="50"/>
      <c r="J42" s="10"/>
      <c r="K42" s="50"/>
      <c r="L42" s="7"/>
      <c r="M42" s="50"/>
      <c r="N42" s="7"/>
      <c r="O42" s="50"/>
      <c r="P42" s="7"/>
      <c r="Q42" s="50"/>
      <c r="R42" s="7"/>
      <c r="S42" s="50"/>
      <c r="T42" s="7"/>
      <c r="U42" s="50"/>
      <c r="W42" s="18"/>
      <c r="X42" s="18"/>
      <c r="Y42" s="18"/>
      <c r="Z42" s="18"/>
      <c r="AA42" s="18"/>
    </row>
    <row r="43" spans="1:27" ht="24" customHeight="1" x14ac:dyDescent="0.3">
      <c r="A43" s="233"/>
      <c r="B43" s="24" t="s">
        <v>57</v>
      </c>
      <c r="C43" s="32">
        <v>2</v>
      </c>
      <c r="D43" s="56"/>
      <c r="E43" s="54"/>
      <c r="F43" s="22"/>
      <c r="G43" s="25"/>
      <c r="H43" s="43"/>
      <c r="I43" s="50"/>
      <c r="J43" s="10"/>
      <c r="K43" s="50"/>
      <c r="L43" s="7"/>
      <c r="M43" s="50"/>
      <c r="N43" s="7"/>
      <c r="O43" s="50"/>
      <c r="P43" s="7"/>
      <c r="Q43" s="76"/>
      <c r="R43" s="7"/>
      <c r="S43" s="50"/>
      <c r="T43" s="7"/>
      <c r="U43" s="50"/>
      <c r="W43" s="18"/>
      <c r="X43" s="18"/>
      <c r="Y43" s="18"/>
      <c r="Z43" s="18"/>
      <c r="AA43" s="18"/>
    </row>
    <row r="44" spans="1:27" ht="24" customHeight="1" x14ac:dyDescent="0.3">
      <c r="A44" s="233"/>
      <c r="B44" s="24" t="s">
        <v>68</v>
      </c>
      <c r="C44" s="32"/>
      <c r="D44" s="32"/>
      <c r="E44" s="54"/>
      <c r="F44" s="22"/>
      <c r="G44" s="25"/>
      <c r="H44" s="43"/>
      <c r="I44" s="50"/>
      <c r="J44" s="10"/>
      <c r="K44" s="50"/>
      <c r="L44" s="7"/>
      <c r="M44" s="50"/>
      <c r="N44" s="7"/>
      <c r="O44" s="50"/>
      <c r="P44" s="7"/>
      <c r="Q44" s="50"/>
      <c r="R44" s="7"/>
      <c r="S44" s="50"/>
      <c r="T44" s="7"/>
      <c r="U44" s="50"/>
      <c r="W44" s="18"/>
      <c r="X44" s="18"/>
      <c r="Y44" s="18"/>
      <c r="Z44" s="18"/>
      <c r="AA44" s="18"/>
    </row>
    <row r="45" spans="1:27" ht="24" customHeight="1" x14ac:dyDescent="0.3">
      <c r="A45" s="233"/>
      <c r="B45" s="24" t="s">
        <v>65</v>
      </c>
      <c r="C45" s="32"/>
      <c r="D45" s="32"/>
      <c r="E45" s="101"/>
      <c r="F45" s="22"/>
      <c r="G45" s="25"/>
      <c r="H45" s="43"/>
      <c r="I45" s="50"/>
      <c r="J45" s="10"/>
      <c r="K45" s="50"/>
      <c r="L45" s="7"/>
      <c r="M45" s="50"/>
      <c r="N45" s="7"/>
      <c r="O45" s="50"/>
      <c r="P45" s="7"/>
      <c r="Q45" s="50"/>
      <c r="R45" s="7"/>
      <c r="S45" s="50"/>
      <c r="T45" s="7"/>
      <c r="U45" s="50"/>
      <c r="W45" s="18"/>
      <c r="X45" s="18"/>
      <c r="Y45" s="18"/>
      <c r="Z45" s="18"/>
      <c r="AA45" s="18"/>
    </row>
    <row r="46" spans="1:27" ht="24" customHeight="1" x14ac:dyDescent="0.3">
      <c r="A46" s="233"/>
      <c r="B46" s="24" t="s">
        <v>67</v>
      </c>
      <c r="C46" s="32"/>
      <c r="D46" s="32"/>
      <c r="E46" s="54"/>
      <c r="F46" s="22"/>
      <c r="G46" s="25"/>
      <c r="H46" s="43"/>
      <c r="I46" s="50"/>
      <c r="J46" s="10"/>
      <c r="K46" s="50"/>
      <c r="L46" s="7"/>
      <c r="M46" s="50"/>
      <c r="N46" s="7"/>
      <c r="O46" s="50"/>
      <c r="P46" s="7"/>
      <c r="Q46" s="50"/>
      <c r="R46" s="7"/>
      <c r="S46" s="50"/>
      <c r="T46" s="7"/>
      <c r="U46" s="50"/>
      <c r="W46" s="18"/>
      <c r="X46" s="18"/>
      <c r="Y46" s="18"/>
      <c r="Z46" s="18"/>
      <c r="AA46" s="18"/>
    </row>
    <row r="47" spans="1:27" ht="24" customHeight="1" x14ac:dyDescent="0.3">
      <c r="A47" s="233"/>
      <c r="B47" s="24" t="s">
        <v>69</v>
      </c>
      <c r="C47" s="32">
        <v>1</v>
      </c>
      <c r="D47" s="32"/>
      <c r="E47" s="54"/>
      <c r="F47" s="22"/>
      <c r="G47" s="25"/>
      <c r="H47" s="43"/>
      <c r="I47" s="50"/>
      <c r="J47" s="10"/>
      <c r="K47" s="50"/>
      <c r="L47" s="7"/>
      <c r="M47" s="50"/>
      <c r="N47" s="7"/>
      <c r="O47" s="50"/>
      <c r="P47" s="7"/>
      <c r="Q47" s="50"/>
      <c r="R47" s="7"/>
      <c r="S47" s="50"/>
      <c r="T47" s="7"/>
      <c r="U47" s="50"/>
      <c r="W47" s="18"/>
      <c r="X47" s="18"/>
      <c r="Y47" s="18"/>
      <c r="Z47" s="18"/>
      <c r="AA47" s="18"/>
    </row>
    <row r="48" spans="1:27" ht="24" customHeight="1" x14ac:dyDescent="0.3">
      <c r="A48" s="233"/>
      <c r="B48" s="24" t="s">
        <v>80</v>
      </c>
      <c r="C48" s="32"/>
      <c r="D48" s="32"/>
      <c r="E48" s="54"/>
      <c r="F48" s="22"/>
      <c r="G48" s="25"/>
      <c r="H48" s="7"/>
      <c r="I48" s="50"/>
      <c r="J48" s="10"/>
      <c r="K48" s="50"/>
      <c r="L48" s="7"/>
      <c r="M48" s="50"/>
      <c r="N48" s="7"/>
      <c r="O48" s="50"/>
      <c r="P48" s="7"/>
      <c r="Q48" s="50"/>
      <c r="R48" s="7"/>
      <c r="S48" s="50"/>
      <c r="T48" s="7"/>
      <c r="U48" s="50"/>
      <c r="W48" s="18"/>
      <c r="X48" s="18"/>
      <c r="Y48" s="18"/>
      <c r="Z48" s="18"/>
      <c r="AA48" s="18"/>
    </row>
    <row r="49" spans="1:27" ht="24" customHeight="1" x14ac:dyDescent="0.3">
      <c r="A49" s="233"/>
      <c r="B49" s="24" t="s">
        <v>64</v>
      </c>
      <c r="C49" s="32"/>
      <c r="D49" s="32"/>
      <c r="E49" s="54"/>
      <c r="F49" s="22"/>
      <c r="G49" s="25"/>
      <c r="H49" s="10"/>
      <c r="I49" s="50"/>
      <c r="J49" s="10"/>
      <c r="K49" s="50"/>
      <c r="L49" s="7"/>
      <c r="M49" s="50"/>
      <c r="N49" s="7"/>
      <c r="O49" s="50"/>
      <c r="P49" s="7"/>
      <c r="Q49" s="50"/>
      <c r="R49" s="7"/>
      <c r="S49" s="50"/>
      <c r="T49" s="7"/>
      <c r="U49" s="50"/>
      <c r="W49" s="18"/>
      <c r="X49" s="18"/>
      <c r="Y49" s="18"/>
      <c r="Z49" s="18"/>
      <c r="AA49" s="18"/>
    </row>
    <row r="50" spans="1:27" ht="24" customHeight="1" x14ac:dyDescent="0.3">
      <c r="A50" s="233"/>
      <c r="B50" s="24" t="s">
        <v>59</v>
      </c>
      <c r="C50" s="32"/>
      <c r="D50" s="32"/>
      <c r="E50" s="54"/>
      <c r="F50" s="22"/>
      <c r="G50" s="25"/>
      <c r="H50" s="10"/>
      <c r="I50" s="50"/>
      <c r="J50" s="10"/>
      <c r="K50" s="50"/>
      <c r="L50" s="7"/>
      <c r="M50" s="50"/>
      <c r="N50" s="7"/>
      <c r="O50" s="50"/>
      <c r="P50" s="7"/>
      <c r="Q50" s="50"/>
      <c r="R50" s="7"/>
      <c r="S50" s="50"/>
      <c r="T50" s="7"/>
      <c r="U50" s="50"/>
      <c r="W50" s="18"/>
      <c r="X50" s="18"/>
      <c r="Y50" s="18"/>
      <c r="Z50" s="18"/>
      <c r="AA50" s="18"/>
    </row>
    <row r="51" spans="1:27" ht="24" customHeight="1" x14ac:dyDescent="0.3">
      <c r="A51" s="233"/>
      <c r="B51" s="24" t="s">
        <v>79</v>
      </c>
      <c r="C51" s="32"/>
      <c r="D51" s="32"/>
      <c r="E51" s="54"/>
      <c r="F51" s="22"/>
      <c r="G51" s="25"/>
      <c r="H51" s="7"/>
      <c r="I51" s="50"/>
      <c r="J51" s="10"/>
      <c r="K51" s="50"/>
      <c r="L51" s="7"/>
      <c r="M51" s="50"/>
      <c r="N51" s="7"/>
      <c r="O51" s="50"/>
      <c r="P51" s="7"/>
      <c r="Q51" s="50"/>
      <c r="R51" s="7"/>
      <c r="S51" s="50"/>
      <c r="T51" s="7"/>
      <c r="U51" s="50"/>
      <c r="W51" s="18"/>
      <c r="X51" s="18"/>
      <c r="Y51" s="18"/>
      <c r="Z51" s="18"/>
      <c r="AA51" s="18"/>
    </row>
    <row r="52" spans="1:27" ht="24" customHeight="1" x14ac:dyDescent="0.3">
      <c r="A52" s="233"/>
      <c r="B52" s="24" t="s">
        <v>60</v>
      </c>
      <c r="C52" s="32"/>
      <c r="D52" s="32"/>
      <c r="E52" s="54"/>
      <c r="F52" s="22"/>
      <c r="G52" s="25"/>
      <c r="H52" s="7"/>
      <c r="I52" s="50"/>
      <c r="J52" s="10"/>
      <c r="K52" s="50"/>
      <c r="L52" s="7"/>
      <c r="M52" s="50"/>
      <c r="N52" s="7"/>
      <c r="O52" s="50"/>
      <c r="P52" s="7"/>
      <c r="Q52" s="50"/>
      <c r="R52" s="7"/>
      <c r="S52" s="50"/>
      <c r="T52" s="7"/>
      <c r="U52" s="50"/>
      <c r="W52" s="18"/>
      <c r="X52" s="18"/>
      <c r="Y52" s="18"/>
      <c r="Z52" s="18"/>
      <c r="AA52" s="18"/>
    </row>
    <row r="53" spans="1:27" ht="24" customHeight="1" x14ac:dyDescent="0.3">
      <c r="A53" s="233"/>
      <c r="B53" s="24" t="s">
        <v>61</v>
      </c>
      <c r="C53" s="32"/>
      <c r="D53" s="32"/>
      <c r="E53" s="54"/>
      <c r="F53" s="22"/>
      <c r="G53" s="25"/>
      <c r="H53" s="43"/>
      <c r="I53" s="50"/>
      <c r="J53" s="10"/>
      <c r="K53" s="50"/>
      <c r="L53" s="7"/>
      <c r="M53" s="50"/>
      <c r="N53" s="7"/>
      <c r="O53" s="50"/>
      <c r="P53" s="7"/>
      <c r="Q53" s="50"/>
      <c r="R53" s="7"/>
      <c r="S53" s="50"/>
      <c r="T53" s="7"/>
      <c r="U53" s="50"/>
      <c r="W53" s="18"/>
      <c r="X53" s="18"/>
      <c r="Y53" s="18"/>
      <c r="Z53" s="18"/>
      <c r="AA53" s="18"/>
    </row>
    <row r="54" spans="1:27" ht="24" customHeight="1" x14ac:dyDescent="0.3">
      <c r="A54" s="233"/>
      <c r="B54" s="24" t="s">
        <v>84</v>
      </c>
      <c r="C54" s="32"/>
      <c r="D54" s="32"/>
      <c r="E54" s="54"/>
      <c r="F54" s="22"/>
      <c r="G54" s="25"/>
      <c r="H54" s="7"/>
      <c r="I54" s="50"/>
      <c r="J54" s="10"/>
      <c r="K54" s="50"/>
      <c r="L54" s="7"/>
      <c r="M54" s="50"/>
      <c r="N54" s="7"/>
      <c r="O54" s="50"/>
      <c r="P54" s="7"/>
      <c r="Q54" s="50"/>
      <c r="R54" s="7"/>
      <c r="S54" s="50"/>
      <c r="T54" s="7"/>
      <c r="U54" s="50"/>
      <c r="W54" s="18"/>
      <c r="X54" s="18"/>
      <c r="Y54" s="18"/>
      <c r="Z54" s="18"/>
      <c r="AA54" s="18"/>
    </row>
    <row r="55" spans="1:27" ht="24" customHeight="1" x14ac:dyDescent="0.3">
      <c r="A55" s="233"/>
      <c r="B55" s="74" t="s">
        <v>47</v>
      </c>
      <c r="C55" s="32"/>
      <c r="D55" s="32"/>
      <c r="E55" s="54"/>
      <c r="F55" s="22"/>
      <c r="G55" s="25"/>
      <c r="H55" s="7"/>
      <c r="I55" s="50"/>
      <c r="J55" s="10"/>
      <c r="K55" s="50"/>
      <c r="L55" s="7"/>
      <c r="M55" s="50"/>
      <c r="N55" s="7"/>
      <c r="O55" s="50"/>
      <c r="P55" s="7"/>
      <c r="Q55" s="50"/>
      <c r="R55" s="7"/>
      <c r="S55" s="50"/>
      <c r="T55" s="7"/>
      <c r="U55" s="50"/>
      <c r="W55" s="18"/>
      <c r="X55" s="18"/>
      <c r="Y55" s="18"/>
      <c r="Z55" s="18"/>
      <c r="AA55" s="18"/>
    </row>
    <row r="56" spans="1:27" ht="24" customHeight="1" x14ac:dyDescent="0.3">
      <c r="A56" s="233"/>
      <c r="B56" s="74" t="s">
        <v>92</v>
      </c>
      <c r="C56" s="32"/>
      <c r="D56" s="32"/>
      <c r="E56" s="54"/>
      <c r="F56" s="22"/>
      <c r="G56" s="25"/>
      <c r="H56" s="7"/>
      <c r="I56" s="50"/>
      <c r="J56" s="10"/>
      <c r="K56" s="50"/>
      <c r="L56" s="7"/>
      <c r="M56" s="50"/>
      <c r="N56" s="7"/>
      <c r="O56" s="50"/>
      <c r="P56" s="7"/>
      <c r="Q56" s="50"/>
      <c r="R56" s="7"/>
      <c r="S56" s="50"/>
      <c r="T56" s="7"/>
      <c r="U56" s="50"/>
      <c r="W56" s="18"/>
      <c r="X56" s="18"/>
      <c r="Y56" s="18"/>
      <c r="Z56" s="18"/>
      <c r="AA56" s="18"/>
    </row>
    <row r="57" spans="1:27" ht="24" customHeight="1" x14ac:dyDescent="0.3">
      <c r="A57" s="233"/>
      <c r="B57" s="74" t="s">
        <v>45</v>
      </c>
      <c r="C57" s="32"/>
      <c r="D57" s="32"/>
      <c r="E57" s="54"/>
      <c r="F57" s="22"/>
      <c r="G57" s="25"/>
      <c r="H57" s="7"/>
      <c r="I57" s="50"/>
      <c r="J57" s="10"/>
      <c r="K57" s="50"/>
      <c r="L57" s="7"/>
      <c r="M57" s="50"/>
      <c r="N57" s="7"/>
      <c r="O57" s="50"/>
      <c r="P57" s="7"/>
      <c r="Q57" s="50"/>
      <c r="R57" s="7"/>
      <c r="S57" s="50"/>
      <c r="T57" s="7"/>
      <c r="U57" s="50"/>
      <c r="W57" s="18"/>
      <c r="X57" s="18"/>
      <c r="Y57" s="18"/>
      <c r="Z57" s="18"/>
      <c r="AA57" s="18"/>
    </row>
    <row r="58" spans="1:27" ht="27" thickBot="1" x14ac:dyDescent="0.35">
      <c r="A58" s="233"/>
      <c r="B58" s="26"/>
      <c r="C58" s="27">
        <f>SUM(C32:C57)</f>
        <v>5</v>
      </c>
      <c r="D58" s="27">
        <f>SUM(D32:D57)</f>
        <v>0</v>
      </c>
      <c r="E58" s="27">
        <f>SUM(E32:E57)</f>
        <v>0</v>
      </c>
      <c r="F58" s="27">
        <f>SUM(F32:F57)</f>
        <v>0</v>
      </c>
      <c r="G58" s="105"/>
      <c r="H58" s="2">
        <f t="shared" ref="H58:U58" si="2">SUM(H32:H57)</f>
        <v>0</v>
      </c>
      <c r="I58" s="2">
        <f t="shared" si="2"/>
        <v>0</v>
      </c>
      <c r="J58" s="2">
        <f t="shared" si="2"/>
        <v>0</v>
      </c>
      <c r="K58" s="2">
        <f t="shared" si="2"/>
        <v>0</v>
      </c>
      <c r="L58" s="2">
        <f t="shared" si="2"/>
        <v>0</v>
      </c>
      <c r="M58" s="2">
        <f t="shared" si="2"/>
        <v>0</v>
      </c>
      <c r="N58" s="2">
        <f t="shared" si="2"/>
        <v>0</v>
      </c>
      <c r="O58" s="2">
        <f t="shared" si="2"/>
        <v>0</v>
      </c>
      <c r="P58" s="2">
        <f t="shared" si="2"/>
        <v>0</v>
      </c>
      <c r="Q58" s="2">
        <f t="shared" si="2"/>
        <v>0</v>
      </c>
      <c r="R58" s="2">
        <f t="shared" si="2"/>
        <v>0</v>
      </c>
      <c r="S58" s="2">
        <f t="shared" si="2"/>
        <v>0</v>
      </c>
      <c r="T58" s="2">
        <f t="shared" si="2"/>
        <v>0</v>
      </c>
      <c r="U58" s="2">
        <f t="shared" si="2"/>
        <v>0</v>
      </c>
    </row>
    <row r="59" spans="1:27" ht="24" customHeight="1" thickTop="1" x14ac:dyDescent="0.3">
      <c r="A59" s="252" t="s">
        <v>13</v>
      </c>
      <c r="B59" s="3" t="s">
        <v>28</v>
      </c>
      <c r="C59" s="7"/>
      <c r="D59" s="7"/>
      <c r="E59" s="50"/>
      <c r="F59" s="50"/>
      <c r="G59" s="105"/>
      <c r="H59" s="7"/>
      <c r="I59" s="50"/>
      <c r="J59" s="10"/>
      <c r="K59" s="50"/>
      <c r="L59" s="7"/>
      <c r="M59" s="50"/>
      <c r="N59" s="7"/>
      <c r="O59" s="50"/>
      <c r="P59" s="7"/>
      <c r="Q59" s="50"/>
      <c r="R59" s="7"/>
      <c r="S59" s="50"/>
      <c r="T59" s="7"/>
      <c r="U59" s="50"/>
    </row>
    <row r="60" spans="1:27" ht="24" customHeight="1" x14ac:dyDescent="0.3">
      <c r="A60" s="252"/>
      <c r="B60" s="3" t="s">
        <v>29</v>
      </c>
      <c r="C60" s="7"/>
      <c r="D60" s="7"/>
      <c r="E60" s="50"/>
      <c r="F60" s="50"/>
      <c r="G60" s="105"/>
      <c r="H60" s="7"/>
      <c r="I60" s="50"/>
      <c r="J60" s="10"/>
      <c r="K60" s="50"/>
      <c r="L60" s="7"/>
      <c r="M60" s="50"/>
      <c r="N60" s="7"/>
      <c r="O60" s="50"/>
      <c r="P60" s="7"/>
      <c r="Q60" s="50"/>
      <c r="R60" s="7"/>
      <c r="S60" s="50"/>
      <c r="T60" s="7"/>
      <c r="U60" s="50"/>
    </row>
    <row r="61" spans="1:27" ht="24" customHeight="1" x14ac:dyDescent="0.3">
      <c r="A61" s="252"/>
      <c r="B61" s="3" t="s">
        <v>35</v>
      </c>
      <c r="C61" s="7"/>
      <c r="D61" s="7"/>
      <c r="E61" s="50"/>
      <c r="F61" s="50"/>
      <c r="G61" s="105"/>
      <c r="H61" s="7"/>
      <c r="I61" s="50"/>
      <c r="J61" s="10"/>
      <c r="K61" s="50"/>
      <c r="L61" s="7"/>
      <c r="M61" s="50"/>
      <c r="N61" s="7"/>
      <c r="O61" s="50"/>
      <c r="P61" s="7"/>
      <c r="Q61" s="50"/>
      <c r="R61" s="7"/>
      <c r="S61" s="50"/>
      <c r="T61" s="7"/>
      <c r="U61" s="50"/>
    </row>
    <row r="62" spans="1:27" ht="24" customHeight="1" x14ac:dyDescent="0.3">
      <c r="A62" s="252"/>
      <c r="B62" s="3" t="s">
        <v>33</v>
      </c>
      <c r="C62" s="7"/>
      <c r="D62" s="7"/>
      <c r="E62" s="50"/>
      <c r="F62" s="50"/>
      <c r="G62" s="105"/>
      <c r="H62" s="7"/>
      <c r="I62" s="50"/>
      <c r="J62" s="10"/>
      <c r="K62" s="50"/>
      <c r="L62" s="7"/>
      <c r="M62" s="50"/>
      <c r="N62" s="7"/>
      <c r="O62" s="50"/>
      <c r="P62" s="7"/>
      <c r="Q62" s="50"/>
      <c r="R62" s="7"/>
      <c r="S62" s="50"/>
      <c r="T62" s="7"/>
      <c r="U62" s="50"/>
    </row>
    <row r="63" spans="1:27" ht="24" customHeight="1" x14ac:dyDescent="0.3">
      <c r="A63" s="252"/>
      <c r="B63" s="3" t="s">
        <v>30</v>
      </c>
      <c r="C63" s="7"/>
      <c r="D63" s="7"/>
      <c r="E63" s="50"/>
      <c r="F63" s="50"/>
      <c r="G63" s="105"/>
      <c r="H63" s="7"/>
      <c r="I63" s="50"/>
      <c r="J63" s="10"/>
      <c r="K63" s="50"/>
      <c r="L63" s="7"/>
      <c r="M63" s="50"/>
      <c r="N63" s="7"/>
      <c r="O63" s="50"/>
      <c r="P63" s="7"/>
      <c r="Q63" s="50"/>
      <c r="R63" s="7"/>
      <c r="S63" s="50"/>
      <c r="T63" s="7"/>
      <c r="U63" s="50"/>
    </row>
    <row r="64" spans="1:27" ht="24" customHeight="1" x14ac:dyDescent="0.3">
      <c r="A64" s="252"/>
      <c r="B64" s="3" t="s">
        <v>31</v>
      </c>
      <c r="C64" s="7"/>
      <c r="D64" s="7"/>
      <c r="E64" s="50"/>
      <c r="F64" s="50"/>
      <c r="G64" s="105"/>
      <c r="H64" s="7"/>
      <c r="I64" s="50"/>
      <c r="J64" s="10"/>
      <c r="K64" s="50"/>
      <c r="L64" s="7"/>
      <c r="M64" s="50"/>
      <c r="N64" s="7"/>
      <c r="O64" s="50"/>
      <c r="P64" s="7"/>
      <c r="Q64" s="50"/>
      <c r="R64" s="7"/>
      <c r="S64" s="50"/>
      <c r="T64" s="7"/>
      <c r="U64" s="50"/>
    </row>
    <row r="65" spans="1:39" ht="24" customHeight="1" x14ac:dyDescent="0.3">
      <c r="A65" s="252"/>
      <c r="B65" s="3" t="s">
        <v>32</v>
      </c>
      <c r="C65" s="7"/>
      <c r="D65" s="7"/>
      <c r="E65" s="50"/>
      <c r="F65" s="50"/>
      <c r="G65" s="105"/>
      <c r="H65" s="7"/>
      <c r="I65" s="50"/>
      <c r="J65" s="10"/>
      <c r="K65" s="50"/>
      <c r="L65" s="7"/>
      <c r="M65" s="50"/>
      <c r="N65" s="7"/>
      <c r="O65" s="50"/>
      <c r="P65" s="7"/>
      <c r="Q65" s="50"/>
      <c r="R65" s="7"/>
      <c r="S65" s="50"/>
      <c r="T65" s="7"/>
      <c r="U65" s="50"/>
    </row>
    <row r="66" spans="1:39" ht="24" customHeight="1" x14ac:dyDescent="0.3">
      <c r="A66" s="252"/>
      <c r="B66" s="99" t="s">
        <v>93</v>
      </c>
      <c r="C66" s="7"/>
      <c r="D66" s="7"/>
      <c r="E66" s="50"/>
      <c r="F66" s="50"/>
      <c r="G66" s="105"/>
      <c r="H66" s="7"/>
      <c r="I66" s="50"/>
      <c r="J66" s="10"/>
      <c r="K66" s="50"/>
      <c r="L66" s="7"/>
      <c r="M66" s="50"/>
      <c r="N66" s="7"/>
      <c r="O66" s="50"/>
      <c r="P66" s="7"/>
      <c r="Q66" s="50"/>
      <c r="R66" s="7"/>
      <c r="S66" s="50"/>
      <c r="T66" s="7"/>
      <c r="U66" s="50"/>
    </row>
    <row r="67" spans="1:39" ht="26.25" x14ac:dyDescent="0.3">
      <c r="A67" s="253"/>
      <c r="B67" s="36"/>
      <c r="C67" s="17">
        <f>SUM(C59:C66)</f>
        <v>0</v>
      </c>
      <c r="D67" s="17">
        <f>SUM(D59:D66)</f>
        <v>0</v>
      </c>
      <c r="E67" s="17">
        <f>SUM(E59:E66)</f>
        <v>0</v>
      </c>
      <c r="F67" s="17">
        <f>SUM(F59:F66)</f>
        <v>0</v>
      </c>
      <c r="G67" s="105"/>
      <c r="H67" s="17">
        <f t="shared" ref="H67:S67" si="3">SUM(H59:H66)</f>
        <v>0</v>
      </c>
      <c r="I67" s="17">
        <f t="shared" si="3"/>
        <v>0</v>
      </c>
      <c r="J67" s="17">
        <f t="shared" si="3"/>
        <v>0</v>
      </c>
      <c r="K67" s="17">
        <f t="shared" si="3"/>
        <v>0</v>
      </c>
      <c r="L67" s="17">
        <f t="shared" si="3"/>
        <v>0</v>
      </c>
      <c r="M67" s="17">
        <f t="shared" si="3"/>
        <v>0</v>
      </c>
      <c r="N67" s="17">
        <f t="shared" si="3"/>
        <v>0</v>
      </c>
      <c r="O67" s="17">
        <f t="shared" si="3"/>
        <v>0</v>
      </c>
      <c r="P67" s="17">
        <f t="shared" si="3"/>
        <v>0</v>
      </c>
      <c r="Q67" s="17">
        <f t="shared" si="3"/>
        <v>0</v>
      </c>
      <c r="R67" s="17">
        <f t="shared" si="3"/>
        <v>0</v>
      </c>
      <c r="S67" s="17">
        <f t="shared" si="3"/>
        <v>0</v>
      </c>
      <c r="T67" s="17">
        <f>SUM(T59:T66)</f>
        <v>0</v>
      </c>
      <c r="U67" s="17">
        <f>SUM(U59:U66)</f>
        <v>0</v>
      </c>
      <c r="AA67" s="254"/>
      <c r="AB67" s="254"/>
      <c r="AC67" s="254"/>
      <c r="AD67" s="254"/>
      <c r="AF67" s="234"/>
      <c r="AG67" s="234"/>
      <c r="AH67" s="234"/>
      <c r="AI67" s="234"/>
      <c r="AJ67" s="234"/>
      <c r="AL67" s="234"/>
      <c r="AM67" s="234"/>
    </row>
    <row r="69" spans="1:39" ht="19.5" customHeight="1" x14ac:dyDescent="0.35">
      <c r="A69" s="235" t="s">
        <v>23</v>
      </c>
      <c r="B69" s="235"/>
      <c r="C69" s="20">
        <v>41000</v>
      </c>
      <c r="D69" s="20">
        <v>4100</v>
      </c>
      <c r="E69" s="20">
        <v>55000</v>
      </c>
      <c r="F69" s="20">
        <v>5500</v>
      </c>
      <c r="H69" s="19">
        <v>5500</v>
      </c>
      <c r="I69" s="19">
        <v>4100</v>
      </c>
      <c r="J69" s="19">
        <v>6800</v>
      </c>
      <c r="K69" s="20">
        <v>5200</v>
      </c>
      <c r="L69" s="20">
        <v>20700</v>
      </c>
      <c r="M69" s="20">
        <v>6400</v>
      </c>
      <c r="N69" s="19">
        <v>18700</v>
      </c>
      <c r="O69" s="20">
        <v>21700</v>
      </c>
      <c r="P69" s="106">
        <v>8300</v>
      </c>
      <c r="Q69" s="19">
        <v>15200</v>
      </c>
      <c r="R69" s="20">
        <v>13100</v>
      </c>
      <c r="S69" s="19">
        <v>8500</v>
      </c>
      <c r="T69" s="19">
        <v>8500</v>
      </c>
      <c r="U69" s="19">
        <v>8500</v>
      </c>
      <c r="W69" s="236">
        <f>P72*0.85</f>
        <v>185385</v>
      </c>
      <c r="X69" s="237"/>
      <c r="Y69" s="238"/>
      <c r="AA69" s="242">
        <f>P74-P72</f>
        <v>0</v>
      </c>
      <c r="AB69" s="243"/>
      <c r="AC69" s="243"/>
      <c r="AD69" s="243"/>
      <c r="AF69" s="234"/>
      <c r="AG69" s="234"/>
      <c r="AH69" s="234"/>
      <c r="AI69" s="234"/>
      <c r="AJ69" s="234"/>
      <c r="AL69" s="234"/>
      <c r="AM69" s="234"/>
    </row>
    <row r="70" spans="1:39" ht="19.5" customHeight="1" x14ac:dyDescent="0.35">
      <c r="A70" s="235" t="s">
        <v>24</v>
      </c>
      <c r="B70" s="235"/>
      <c r="C70" s="20">
        <f>C69*C3</f>
        <v>205000</v>
      </c>
      <c r="D70" s="20">
        <f>D69*D3</f>
        <v>0</v>
      </c>
      <c r="E70" s="20">
        <f>E69*E3</f>
        <v>0</v>
      </c>
      <c r="F70" s="20">
        <f>F69*F3</f>
        <v>0</v>
      </c>
      <c r="H70" s="20">
        <f t="shared" ref="H70:U70" si="4">H69*H3</f>
        <v>0</v>
      </c>
      <c r="I70" s="20">
        <f t="shared" si="4"/>
        <v>0</v>
      </c>
      <c r="J70" s="20">
        <f t="shared" si="4"/>
        <v>0</v>
      </c>
      <c r="K70" s="20">
        <f t="shared" si="4"/>
        <v>0</v>
      </c>
      <c r="L70" s="20">
        <f t="shared" si="4"/>
        <v>0</v>
      </c>
      <c r="M70" s="20">
        <f t="shared" si="4"/>
        <v>0</v>
      </c>
      <c r="N70" s="20">
        <f t="shared" si="4"/>
        <v>0</v>
      </c>
      <c r="O70" s="20">
        <f t="shared" si="4"/>
        <v>0</v>
      </c>
      <c r="P70" s="20">
        <f t="shared" si="4"/>
        <v>0</v>
      </c>
      <c r="Q70" s="20">
        <f t="shared" si="4"/>
        <v>0</v>
      </c>
      <c r="R70" s="20">
        <f t="shared" si="4"/>
        <v>13100</v>
      </c>
      <c r="S70" s="20">
        <f t="shared" si="4"/>
        <v>0</v>
      </c>
      <c r="T70" s="20">
        <f t="shared" si="4"/>
        <v>0</v>
      </c>
      <c r="U70" s="20">
        <f t="shared" si="4"/>
        <v>0</v>
      </c>
      <c r="W70" s="239"/>
      <c r="X70" s="240"/>
      <c r="Y70" s="241"/>
      <c r="AA70" s="243"/>
      <c r="AB70" s="243"/>
      <c r="AC70" s="243"/>
      <c r="AD70" s="243"/>
      <c r="AF70" s="234"/>
      <c r="AG70" s="234"/>
      <c r="AH70" s="234"/>
      <c r="AI70" s="234"/>
      <c r="AJ70" s="234"/>
      <c r="AL70" s="234"/>
      <c r="AM70" s="234"/>
    </row>
    <row r="72" spans="1:39" ht="26.25" x14ac:dyDescent="0.3">
      <c r="P72" s="259">
        <f>SUM(C70:U70)</f>
        <v>218100</v>
      </c>
      <c r="Q72" s="260"/>
      <c r="W72" s="247"/>
      <c r="X72" s="248"/>
      <c r="Y72" s="248"/>
      <c r="AA72" s="249"/>
      <c r="AB72" s="250"/>
      <c r="AC72" s="250"/>
      <c r="AD72" s="251"/>
    </row>
    <row r="74" spans="1:39" ht="26.25" x14ac:dyDescent="0.3">
      <c r="C74" s="244"/>
      <c r="D74" s="245"/>
      <c r="P74" s="246">
        <v>218100</v>
      </c>
      <c r="Q74" s="246"/>
      <c r="W74" s="247">
        <f>P74*0.85</f>
        <v>185385</v>
      </c>
      <c r="X74" s="248"/>
      <c r="Y74" s="248"/>
      <c r="AA74" s="249"/>
      <c r="AB74" s="250"/>
      <c r="AC74" s="250"/>
      <c r="AD74" s="251"/>
    </row>
    <row r="75" spans="1:39" x14ac:dyDescent="0.3">
      <c r="Q75" s="18"/>
      <c r="S75" s="18"/>
      <c r="U75" s="18"/>
      <c r="W75" s="245"/>
      <c r="X75" s="245"/>
      <c r="Y75" s="245"/>
      <c r="AA75" s="255"/>
      <c r="AB75" s="256"/>
      <c r="AC75" s="256"/>
      <c r="AD75" s="256"/>
    </row>
    <row r="76" spans="1:39" x14ac:dyDescent="0.3">
      <c r="P76" s="244"/>
      <c r="Q76" s="245"/>
      <c r="W76" s="245"/>
      <c r="X76" s="245"/>
      <c r="Y76" s="245"/>
      <c r="AA76" s="245"/>
      <c r="AB76" s="245"/>
      <c r="AC76" s="245"/>
      <c r="AD76" s="245"/>
    </row>
    <row r="77" spans="1:39" x14ac:dyDescent="0.3">
      <c r="P77" s="245"/>
      <c r="Q77" s="245"/>
      <c r="W77" s="245"/>
      <c r="X77" s="245"/>
      <c r="Y77" s="245"/>
      <c r="AA77" s="245"/>
      <c r="AB77" s="245"/>
      <c r="AC77" s="245"/>
      <c r="AD77" s="245"/>
    </row>
    <row r="78" spans="1:39" x14ac:dyDescent="0.3">
      <c r="P78" s="18"/>
      <c r="Q78" s="18"/>
      <c r="S78" s="18"/>
      <c r="U78" s="18"/>
      <c r="AA78" s="245"/>
      <c r="AB78" s="245"/>
      <c r="AC78" s="245"/>
      <c r="AD78" s="245"/>
    </row>
    <row r="79" spans="1:39" x14ac:dyDescent="0.3">
      <c r="C79">
        <f>C69*0.85</f>
        <v>34850</v>
      </c>
      <c r="D79">
        <f t="shared" ref="D79:R79" si="5">D69*0.85</f>
        <v>3485</v>
      </c>
      <c r="E79">
        <f t="shared" si="5"/>
        <v>46750</v>
      </c>
      <c r="F79">
        <f t="shared" si="5"/>
        <v>4675</v>
      </c>
      <c r="H79">
        <f t="shared" si="5"/>
        <v>4675</v>
      </c>
      <c r="I79">
        <f t="shared" si="5"/>
        <v>3485</v>
      </c>
      <c r="J79">
        <f t="shared" si="5"/>
        <v>5780</v>
      </c>
      <c r="K79">
        <f t="shared" si="5"/>
        <v>4420</v>
      </c>
      <c r="L79">
        <f t="shared" si="5"/>
        <v>17595</v>
      </c>
      <c r="M79">
        <f t="shared" si="5"/>
        <v>5440</v>
      </c>
      <c r="N79">
        <f t="shared" si="5"/>
        <v>15895</v>
      </c>
      <c r="O79">
        <f t="shared" si="5"/>
        <v>18445</v>
      </c>
      <c r="P79">
        <f t="shared" si="5"/>
        <v>7055</v>
      </c>
      <c r="Q79">
        <f t="shared" si="5"/>
        <v>12920</v>
      </c>
      <c r="R79">
        <f t="shared" si="5"/>
        <v>11135</v>
      </c>
      <c r="S79">
        <f>S69*0.85</f>
        <v>7225</v>
      </c>
      <c r="T79">
        <f>T69*0.85</f>
        <v>7225</v>
      </c>
      <c r="U79">
        <f>U69*0.85</f>
        <v>7225</v>
      </c>
    </row>
    <row r="80" spans="1:39" x14ac:dyDescent="0.3">
      <c r="C80">
        <v>29500</v>
      </c>
      <c r="D80">
        <v>2950</v>
      </c>
      <c r="E80">
        <v>51000</v>
      </c>
      <c r="F80">
        <v>5100</v>
      </c>
      <c r="H80">
        <v>3600</v>
      </c>
      <c r="I80">
        <v>2950</v>
      </c>
      <c r="J80">
        <v>4000</v>
      </c>
      <c r="K80">
        <v>4200</v>
      </c>
      <c r="L80">
        <v>15000</v>
      </c>
      <c r="M80">
        <v>4500</v>
      </c>
      <c r="N80">
        <v>9500</v>
      </c>
      <c r="O80">
        <v>12000</v>
      </c>
      <c r="P80">
        <v>8000</v>
      </c>
      <c r="Q80">
        <v>12000</v>
      </c>
      <c r="R80">
        <v>8500</v>
      </c>
    </row>
    <row r="81" spans="3:30" x14ac:dyDescent="0.3">
      <c r="C81">
        <f>C79-C80</f>
        <v>5350</v>
      </c>
      <c r="D81">
        <f t="shared" ref="D81:R81" si="6">D79-D80</f>
        <v>535</v>
      </c>
      <c r="E81">
        <f t="shared" si="6"/>
        <v>-4250</v>
      </c>
      <c r="F81">
        <f t="shared" si="6"/>
        <v>-425</v>
      </c>
      <c r="H81">
        <f t="shared" si="6"/>
        <v>1075</v>
      </c>
      <c r="I81">
        <f t="shared" si="6"/>
        <v>535</v>
      </c>
      <c r="J81">
        <f t="shared" si="6"/>
        <v>1780</v>
      </c>
      <c r="K81">
        <f t="shared" si="6"/>
        <v>220</v>
      </c>
      <c r="L81">
        <f t="shared" si="6"/>
        <v>2595</v>
      </c>
      <c r="M81">
        <f t="shared" si="6"/>
        <v>940</v>
      </c>
      <c r="N81">
        <f t="shared" si="6"/>
        <v>6395</v>
      </c>
      <c r="O81">
        <f t="shared" si="6"/>
        <v>6445</v>
      </c>
      <c r="P81">
        <f t="shared" si="6"/>
        <v>-945</v>
      </c>
      <c r="Q81">
        <f t="shared" si="6"/>
        <v>920</v>
      </c>
      <c r="R81">
        <f t="shared" si="6"/>
        <v>2635</v>
      </c>
    </row>
    <row r="82" spans="3:30" x14ac:dyDescent="0.3">
      <c r="C82">
        <f>C81*C3</f>
        <v>26750</v>
      </c>
      <c r="D82">
        <f t="shared" ref="D82:R82" si="7">D81*D3</f>
        <v>0</v>
      </c>
      <c r="E82">
        <f t="shared" si="7"/>
        <v>0</v>
      </c>
      <c r="F82">
        <f t="shared" si="7"/>
        <v>0</v>
      </c>
      <c r="G82">
        <f t="shared" si="7"/>
        <v>0</v>
      </c>
      <c r="H82">
        <f t="shared" si="7"/>
        <v>0</v>
      </c>
      <c r="I82">
        <f t="shared" si="7"/>
        <v>0</v>
      </c>
      <c r="J82">
        <f t="shared" si="7"/>
        <v>0</v>
      </c>
      <c r="K82">
        <f t="shared" si="7"/>
        <v>0</v>
      </c>
      <c r="L82">
        <f t="shared" si="7"/>
        <v>0</v>
      </c>
      <c r="M82">
        <f t="shared" si="7"/>
        <v>0</v>
      </c>
      <c r="N82">
        <f t="shared" si="7"/>
        <v>0</v>
      </c>
      <c r="O82">
        <f t="shared" si="7"/>
        <v>0</v>
      </c>
      <c r="P82">
        <f t="shared" si="7"/>
        <v>0</v>
      </c>
      <c r="Q82">
        <f t="shared" si="7"/>
        <v>0</v>
      </c>
      <c r="R82">
        <f t="shared" si="7"/>
        <v>2635</v>
      </c>
      <c r="Z82" s="245"/>
      <c r="AA82" s="245"/>
      <c r="AB82" s="245"/>
      <c r="AC82" s="245"/>
      <c r="AD82" s="245"/>
    </row>
    <row r="83" spans="3:30" x14ac:dyDescent="0.3">
      <c r="Z83" s="245"/>
      <c r="AA83" s="245"/>
      <c r="AB83" s="245"/>
      <c r="AC83" s="245"/>
      <c r="AD83" s="245"/>
    </row>
    <row r="84" spans="3:30" ht="26.25" x14ac:dyDescent="0.3">
      <c r="P84" s="257">
        <f>SUM(C82:R82)</f>
        <v>29385</v>
      </c>
      <c r="Q84" s="258"/>
    </row>
  </sheetData>
  <mergeCells count="28">
    <mergeCell ref="W75:Y77"/>
    <mergeCell ref="AA75:AD78"/>
    <mergeCell ref="P76:Q77"/>
    <mergeCell ref="Z82:AD83"/>
    <mergeCell ref="P84:Q84"/>
    <mergeCell ref="P72:Q72"/>
    <mergeCell ref="W72:Y72"/>
    <mergeCell ref="AA72:AD72"/>
    <mergeCell ref="C74:D74"/>
    <mergeCell ref="P74:Q74"/>
    <mergeCell ref="W74:Y74"/>
    <mergeCell ref="AA74:AD74"/>
    <mergeCell ref="A59:A67"/>
    <mergeCell ref="AA67:AD67"/>
    <mergeCell ref="AF67:AJ67"/>
    <mergeCell ref="AL67:AM67"/>
    <mergeCell ref="A69:B69"/>
    <mergeCell ref="W69:Y70"/>
    <mergeCell ref="AA69:AD70"/>
    <mergeCell ref="AF69:AJ70"/>
    <mergeCell ref="AL69:AM70"/>
    <mergeCell ref="A70:B70"/>
    <mergeCell ref="A1:B2"/>
    <mergeCell ref="C1:D1"/>
    <mergeCell ref="E1:F1"/>
    <mergeCell ref="A4:A31"/>
    <mergeCell ref="X28:AB28"/>
    <mergeCell ref="A32:A58"/>
  </mergeCells>
  <phoneticPr fontId="31" type="noConversion"/>
  <conditionalFormatting sqref="B7:B11">
    <cfRule type="duplicateValues" dxfId="221" priority="2"/>
  </conditionalFormatting>
  <conditionalFormatting sqref="B59:B66">
    <cfRule type="duplicateValues" dxfId="220" priority="3"/>
  </conditionalFormatting>
  <conditionalFormatting sqref="B12">
    <cfRule type="duplicateValues" dxfId="219" priority="1"/>
  </conditionalFormatting>
  <conditionalFormatting sqref="B4:B6 B13:B30">
    <cfRule type="expression" dxfId="218" priority="5" stopIfTrue="1">
      <formula>AND(COUNTIF($B$4:$B$6, B4)+COUNTIF($B$13:$B$30, B4)&gt;1,NOT(ISBLANK(B4)))</formula>
    </cfRule>
  </conditionalFormatting>
  <conditionalFormatting sqref="B32:B57">
    <cfRule type="duplicateValues" dxfId="217" priority="4"/>
  </conditionalFormatting>
  <printOptions horizontalCentered="1" verticalCentered="1"/>
  <pageMargins left="0" right="0" top="7.874015748031496E-2" bottom="7.874015748031496E-2" header="0" footer="0"/>
  <pageSetup paperSize="9" scale="2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V17"/>
  <sheetViews>
    <sheetView zoomScale="70" zoomScaleNormal="70" workbookViewId="0">
      <pane ySplit="3" topLeftCell="A4" activePane="bottomLeft" state="frozen"/>
      <selection activeCell="A3" sqref="A3:B3"/>
      <selection pane="bottomLeft" activeCell="A3" sqref="A3:B3"/>
    </sheetView>
  </sheetViews>
  <sheetFormatPr defaultRowHeight="16.5" x14ac:dyDescent="0.3"/>
  <cols>
    <col min="1" max="1" width="32.875" customWidth="1"/>
    <col min="2" max="6" width="10" customWidth="1"/>
    <col min="7" max="7" width="5.75" customWidth="1"/>
    <col min="8" max="8" width="18.5" customWidth="1"/>
    <col min="9" max="22" width="10.875" customWidth="1"/>
  </cols>
  <sheetData>
    <row r="1" spans="1:22" ht="113.25" customHeight="1" x14ac:dyDescent="0.3">
      <c r="A1" s="222" t="s">
        <v>108</v>
      </c>
      <c r="B1" s="223"/>
      <c r="C1" s="267" t="s">
        <v>97</v>
      </c>
      <c r="D1" s="268"/>
      <c r="E1" s="228" t="s">
        <v>98</v>
      </c>
      <c r="F1" s="228"/>
      <c r="G1" s="8"/>
      <c r="H1" s="269" t="s">
        <v>18</v>
      </c>
      <c r="I1" s="72" t="s">
        <v>20</v>
      </c>
      <c r="J1" s="104" t="s">
        <v>21</v>
      </c>
      <c r="K1" s="5" t="s">
        <v>101</v>
      </c>
      <c r="L1" s="104" t="s">
        <v>100</v>
      </c>
      <c r="M1" s="5" t="s">
        <v>96</v>
      </c>
      <c r="N1" s="104" t="s">
        <v>99</v>
      </c>
      <c r="O1" s="5" t="s">
        <v>102</v>
      </c>
      <c r="P1" s="104" t="s">
        <v>103</v>
      </c>
      <c r="Q1" s="5" t="s">
        <v>104</v>
      </c>
      <c r="R1" s="104" t="s">
        <v>105</v>
      </c>
      <c r="S1" s="5" t="s">
        <v>106</v>
      </c>
      <c r="T1" s="104" t="s">
        <v>85</v>
      </c>
      <c r="U1" s="5" t="s">
        <v>86</v>
      </c>
      <c r="V1" s="104" t="s">
        <v>88</v>
      </c>
    </row>
    <row r="2" spans="1:22" ht="43.5" customHeight="1" x14ac:dyDescent="0.3">
      <c r="A2" s="224"/>
      <c r="B2" s="225"/>
      <c r="C2" s="73" t="s">
        <v>2</v>
      </c>
      <c r="D2" s="73" t="s">
        <v>22</v>
      </c>
      <c r="E2" s="1" t="s">
        <v>2</v>
      </c>
      <c r="F2" s="1" t="s">
        <v>1</v>
      </c>
      <c r="G2" s="9"/>
      <c r="H2" s="270"/>
      <c r="I2" s="6" t="s">
        <v>3</v>
      </c>
      <c r="J2" s="1" t="s">
        <v>1</v>
      </c>
      <c r="K2" s="6" t="s">
        <v>3</v>
      </c>
      <c r="L2" s="1" t="s">
        <v>1</v>
      </c>
      <c r="M2" s="6" t="s">
        <v>3</v>
      </c>
      <c r="N2" s="1" t="s">
        <v>1</v>
      </c>
      <c r="O2" s="6" t="s">
        <v>3</v>
      </c>
      <c r="P2" s="1" t="s">
        <v>1</v>
      </c>
      <c r="Q2" s="6" t="s">
        <v>3</v>
      </c>
      <c r="R2" s="1" t="s">
        <v>1</v>
      </c>
      <c r="S2" s="6" t="s">
        <v>3</v>
      </c>
      <c r="T2" s="1" t="s">
        <v>1</v>
      </c>
      <c r="U2" s="6" t="s">
        <v>3</v>
      </c>
      <c r="V2" s="1" t="s">
        <v>3</v>
      </c>
    </row>
    <row r="3" spans="1:22" ht="39" customHeight="1" thickBot="1" x14ac:dyDescent="0.35">
      <c r="A3" s="271" t="s">
        <v>10</v>
      </c>
      <c r="B3" s="272"/>
      <c r="C3" s="44">
        <f>SUM(C4:C19)</f>
        <v>5</v>
      </c>
      <c r="D3" s="44">
        <f>SUM(D4:D19)</f>
        <v>0</v>
      </c>
      <c r="E3" s="44">
        <f>SUM(E4:E19)</f>
        <v>0</v>
      </c>
      <c r="F3" s="44">
        <f>SUM(F4:F19)</f>
        <v>0</v>
      </c>
      <c r="G3" s="105"/>
      <c r="H3" s="13" t="s">
        <v>10</v>
      </c>
      <c r="I3" s="44">
        <f t="shared" ref="I3:V3" si="0">SUM(I4:I11)</f>
        <v>0</v>
      </c>
      <c r="J3" s="44">
        <f t="shared" si="0"/>
        <v>0</v>
      </c>
      <c r="K3" s="44">
        <f t="shared" si="0"/>
        <v>0</v>
      </c>
      <c r="L3" s="44">
        <f t="shared" si="0"/>
        <v>0</v>
      </c>
      <c r="M3" s="44">
        <f t="shared" si="0"/>
        <v>0</v>
      </c>
      <c r="N3" s="44">
        <f t="shared" si="0"/>
        <v>0</v>
      </c>
      <c r="O3" s="44">
        <f t="shared" si="0"/>
        <v>0</v>
      </c>
      <c r="P3" s="44">
        <f t="shared" si="0"/>
        <v>0</v>
      </c>
      <c r="Q3" s="44">
        <f t="shared" si="0"/>
        <v>0</v>
      </c>
      <c r="R3" s="44">
        <f t="shared" si="0"/>
        <v>0</v>
      </c>
      <c r="S3" s="44">
        <f t="shared" si="0"/>
        <v>1</v>
      </c>
      <c r="T3" s="44">
        <f t="shared" si="0"/>
        <v>0</v>
      </c>
      <c r="U3" s="44">
        <f t="shared" si="0"/>
        <v>0</v>
      </c>
      <c r="V3" s="93">
        <f t="shared" si="0"/>
        <v>0</v>
      </c>
    </row>
    <row r="4" spans="1:22" ht="82.7" customHeight="1" thickTop="1" x14ac:dyDescent="0.3">
      <c r="A4" s="273" t="s">
        <v>15</v>
      </c>
      <c r="B4" s="274"/>
      <c r="C4" s="57">
        <f>'학교별01.09'!C31</f>
        <v>0</v>
      </c>
      <c r="D4" s="57">
        <f>'학교별01.09'!D31</f>
        <v>0</v>
      </c>
      <c r="E4" s="58">
        <f>'학교별01.09'!E31</f>
        <v>0</v>
      </c>
      <c r="F4" s="59">
        <f>'학교별01.09'!F31</f>
        <v>0</v>
      </c>
      <c r="G4" s="105"/>
      <c r="H4" s="49" t="s">
        <v>15</v>
      </c>
      <c r="I4" s="47">
        <f>'학교별01.09'!H31</f>
        <v>0</v>
      </c>
      <c r="J4" s="45">
        <f>'학교별01.09'!I31</f>
        <v>0</v>
      </c>
      <c r="K4" s="47">
        <f>'학교별01.09'!J31</f>
        <v>0</v>
      </c>
      <c r="L4" s="45">
        <f>'학교별01.09'!K31</f>
        <v>0</v>
      </c>
      <c r="M4" s="47">
        <f>'학교별01.09'!L31</f>
        <v>0</v>
      </c>
      <c r="N4" s="45">
        <f>'학교별01.09'!M31</f>
        <v>0</v>
      </c>
      <c r="O4" s="47">
        <f>'학교별01.09'!N31</f>
        <v>0</v>
      </c>
      <c r="P4" s="45">
        <f>'학교별01.09'!O31</f>
        <v>0</v>
      </c>
      <c r="Q4" s="47">
        <f>'학교별01.09'!P31</f>
        <v>0</v>
      </c>
      <c r="R4" s="45">
        <f>'학교별01.09'!Q31</f>
        <v>0</v>
      </c>
      <c r="S4" s="47">
        <f>'학교별01.09'!R31</f>
        <v>1</v>
      </c>
      <c r="T4" s="45">
        <f>'학교별01.09'!S31</f>
        <v>0</v>
      </c>
      <c r="U4" s="47">
        <f>'학교별01.09'!T31</f>
        <v>0</v>
      </c>
      <c r="V4" s="87">
        <f>'학교별01.09'!U31</f>
        <v>0</v>
      </c>
    </row>
    <row r="5" spans="1:22" ht="82.7" customHeight="1" thickBot="1" x14ac:dyDescent="0.35">
      <c r="A5" s="275"/>
      <c r="B5" s="276"/>
      <c r="C5" s="79"/>
      <c r="D5" s="60"/>
      <c r="E5" s="62"/>
      <c r="F5" s="61"/>
      <c r="G5" s="105"/>
      <c r="H5" s="40"/>
      <c r="I5" s="83"/>
      <c r="J5" s="81"/>
      <c r="K5" s="95"/>
      <c r="L5" s="81"/>
      <c r="M5" s="84"/>
      <c r="N5" s="81"/>
      <c r="O5" s="83"/>
      <c r="P5" s="42"/>
      <c r="Q5" s="41"/>
      <c r="R5" s="42"/>
      <c r="S5" s="83"/>
      <c r="T5" s="42"/>
      <c r="U5" s="41"/>
      <c r="V5" s="94"/>
    </row>
    <row r="6" spans="1:22" ht="18" thickTop="1" thickBot="1" x14ac:dyDescent="0.35">
      <c r="H6" s="33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89"/>
    </row>
    <row r="7" spans="1:22" ht="82.7" customHeight="1" thickTop="1" x14ac:dyDescent="0.3">
      <c r="A7" s="277" t="s">
        <v>26</v>
      </c>
      <c r="B7" s="278"/>
      <c r="C7" s="47">
        <f>'학교별01.09'!C58</f>
        <v>5</v>
      </c>
      <c r="D7" s="47">
        <f>'학교별01.09'!D58</f>
        <v>0</v>
      </c>
      <c r="E7" s="45">
        <f>'학교별01.09'!E58</f>
        <v>0</v>
      </c>
      <c r="F7" s="45">
        <f>'학교별01.09'!F58</f>
        <v>0</v>
      </c>
      <c r="G7" s="37"/>
      <c r="H7" s="55" t="s">
        <v>17</v>
      </c>
      <c r="I7" s="48">
        <f>'학교별01.09'!H58</f>
        <v>0</v>
      </c>
      <c r="J7" s="46">
        <f>'학교별01.09'!I58</f>
        <v>0</v>
      </c>
      <c r="K7" s="48">
        <f>'학교별01.09'!J58</f>
        <v>0</v>
      </c>
      <c r="L7" s="46">
        <f>'학교별01.09'!K58</f>
        <v>0</v>
      </c>
      <c r="M7" s="48">
        <f>'학교별01.09'!L58</f>
        <v>0</v>
      </c>
      <c r="N7" s="46">
        <f>'학교별01.09'!M58</f>
        <v>0</v>
      </c>
      <c r="O7" s="48">
        <f>'학교별01.09'!N58</f>
        <v>0</v>
      </c>
      <c r="P7" s="46">
        <f>'학교별01.09'!O58</f>
        <v>0</v>
      </c>
      <c r="Q7" s="48">
        <f>'학교별01.09'!P58</f>
        <v>0</v>
      </c>
      <c r="R7" s="46">
        <f>'학교별01.09'!Q58</f>
        <v>0</v>
      </c>
      <c r="S7" s="48">
        <f>'학교별01.09'!R58</f>
        <v>0</v>
      </c>
      <c r="T7" s="46">
        <f>'학교별01.09'!S58</f>
        <v>0</v>
      </c>
      <c r="U7" s="48">
        <f>'학교별01.09'!T58</f>
        <v>0</v>
      </c>
      <c r="V7" s="90">
        <f>'학교별01.09'!U58</f>
        <v>0</v>
      </c>
    </row>
    <row r="8" spans="1:22" ht="82.7" customHeight="1" thickBot="1" x14ac:dyDescent="0.35">
      <c r="A8" s="261"/>
      <c r="B8" s="262"/>
      <c r="C8" s="75"/>
      <c r="D8" s="96"/>
      <c r="E8" s="78"/>
      <c r="F8" s="38"/>
      <c r="G8" s="39"/>
      <c r="H8" s="105"/>
      <c r="I8" s="41"/>
      <c r="J8" s="42"/>
      <c r="K8" s="41"/>
      <c r="L8" s="42"/>
      <c r="M8" s="41"/>
      <c r="N8" s="42"/>
      <c r="O8" s="41"/>
      <c r="P8" s="42"/>
      <c r="Q8" s="41"/>
      <c r="R8" s="98"/>
      <c r="S8" s="41"/>
      <c r="T8" s="42"/>
      <c r="U8" s="41"/>
      <c r="V8" s="88"/>
    </row>
    <row r="9" spans="1:22" ht="18" thickTop="1" thickBot="1" x14ac:dyDescent="0.35">
      <c r="H9" s="33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89"/>
    </row>
    <row r="10" spans="1:22" ht="82.7" customHeight="1" thickTop="1" x14ac:dyDescent="0.3">
      <c r="A10" s="263" t="s">
        <v>16</v>
      </c>
      <c r="B10" s="264"/>
      <c r="C10" s="65">
        <f>'학교별01.09'!C67</f>
        <v>0</v>
      </c>
      <c r="D10" s="65">
        <f>'학교별01.09'!D67</f>
        <v>0</v>
      </c>
      <c r="E10" s="66">
        <f>'학교별01.09'!E67</f>
        <v>0</v>
      </c>
      <c r="F10" s="67">
        <f>'학교별01.09'!F67</f>
        <v>0</v>
      </c>
      <c r="G10" s="105"/>
      <c r="H10" s="53" t="s">
        <v>25</v>
      </c>
      <c r="I10" s="52">
        <f>'학교별01.09'!H67</f>
        <v>0</v>
      </c>
      <c r="J10" s="51">
        <f>'학교별01.09'!I67</f>
        <v>0</v>
      </c>
      <c r="K10" s="52">
        <f>'학교별01.09'!J67</f>
        <v>0</v>
      </c>
      <c r="L10" s="51">
        <f>'학교별01.09'!K67</f>
        <v>0</v>
      </c>
      <c r="M10" s="52">
        <f>'학교별01.09'!L67</f>
        <v>0</v>
      </c>
      <c r="N10" s="51">
        <f>'학교별01.09'!M67</f>
        <v>0</v>
      </c>
      <c r="O10" s="52">
        <f>'학교별01.09'!N67</f>
        <v>0</v>
      </c>
      <c r="P10" s="51">
        <f>'학교별01.09'!O67</f>
        <v>0</v>
      </c>
      <c r="Q10" s="52">
        <f>'학교별01.09'!P67</f>
        <v>0</v>
      </c>
      <c r="R10" s="51">
        <f>'학교별01.09'!Q67</f>
        <v>0</v>
      </c>
      <c r="S10" s="52">
        <f>'학교별01.09'!R67</f>
        <v>0</v>
      </c>
      <c r="T10" s="51">
        <f>'학교별01.09'!S67</f>
        <v>0</v>
      </c>
      <c r="U10" s="52">
        <f>'학교별01.09'!T67</f>
        <v>0</v>
      </c>
      <c r="V10" s="91">
        <f>'학교별01.09'!U67</f>
        <v>0</v>
      </c>
    </row>
    <row r="11" spans="1:22" ht="82.7" customHeight="1" thickBot="1" x14ac:dyDescent="0.35">
      <c r="A11" s="265"/>
      <c r="B11" s="266"/>
      <c r="C11" s="68"/>
      <c r="D11" s="69"/>
      <c r="E11" s="70"/>
      <c r="F11" s="71"/>
      <c r="H11" s="64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92"/>
    </row>
    <row r="12" spans="1:22" ht="17.25" thickTop="1" x14ac:dyDescent="0.3"/>
    <row r="17" spans="8:8" x14ac:dyDescent="0.3">
      <c r="H17" t="s">
        <v>83</v>
      </c>
    </row>
  </sheetData>
  <mergeCells count="11">
    <mergeCell ref="A8:B8"/>
    <mergeCell ref="A10:B10"/>
    <mergeCell ref="A11:B11"/>
    <mergeCell ref="A1:B2"/>
    <mergeCell ref="C1:D1"/>
    <mergeCell ref="E1:F1"/>
    <mergeCell ref="H1:H2"/>
    <mergeCell ref="A3:B3"/>
    <mergeCell ref="A4:B4"/>
    <mergeCell ref="A5:B5"/>
    <mergeCell ref="A7:B7"/>
  </mergeCells>
  <phoneticPr fontId="31" type="noConversion"/>
  <conditionalFormatting sqref="A10">
    <cfRule type="duplicateValues" dxfId="216" priority="1"/>
  </conditionalFormatting>
  <conditionalFormatting sqref="A4:A5">
    <cfRule type="duplicateValues" dxfId="215" priority="2"/>
  </conditionalFormatting>
  <conditionalFormatting sqref="A7:A8">
    <cfRule type="duplicateValues" dxfId="214" priority="3"/>
  </conditionalFormatting>
  <printOptions horizontalCentered="1" verticalCentered="1"/>
  <pageMargins left="0" right="0" top="7.874015748031496E-2" bottom="7.874015748031496E-2" header="0" footer="0"/>
  <pageSetup paperSize="9" scale="5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84"/>
  <sheetViews>
    <sheetView zoomScale="70" zoomScaleNormal="70" workbookViewId="0">
      <pane ySplit="3" topLeftCell="A58" activePane="bottomLeft" state="frozen"/>
      <selection activeCell="X4" sqref="X4"/>
      <selection pane="bottomLeft" activeCell="X4" sqref="X4"/>
    </sheetView>
  </sheetViews>
  <sheetFormatPr defaultRowHeight="16.5" x14ac:dyDescent="0.3"/>
  <cols>
    <col min="1" max="1" width="9" customWidth="1"/>
    <col min="2" max="2" width="33.75" customWidth="1"/>
    <col min="3" max="3" width="10.75" customWidth="1"/>
    <col min="4" max="4" width="10" customWidth="1"/>
    <col min="5" max="5" width="10.5" customWidth="1"/>
    <col min="6" max="6" width="10" customWidth="1"/>
    <col min="7" max="7" width="4.125" customWidth="1"/>
    <col min="8" max="21" width="10.875" customWidth="1"/>
    <col min="22" max="22" width="5.5" customWidth="1"/>
    <col min="23" max="23" width="10.875" bestFit="1" customWidth="1"/>
  </cols>
  <sheetData>
    <row r="1" spans="1:25" ht="113.25" customHeight="1" x14ac:dyDescent="0.3">
      <c r="A1" s="222" t="s">
        <v>109</v>
      </c>
      <c r="B1" s="223"/>
      <c r="C1" s="226" t="s">
        <v>0</v>
      </c>
      <c r="D1" s="227"/>
      <c r="E1" s="228" t="s">
        <v>19</v>
      </c>
      <c r="F1" s="228"/>
      <c r="G1" s="8"/>
      <c r="H1" s="72" t="s">
        <v>20</v>
      </c>
      <c r="I1" s="107" t="s">
        <v>21</v>
      </c>
      <c r="J1" s="5" t="s">
        <v>7</v>
      </c>
      <c r="K1" s="107" t="s">
        <v>4</v>
      </c>
      <c r="L1" s="5" t="s">
        <v>6</v>
      </c>
      <c r="M1" s="107" t="s">
        <v>5</v>
      </c>
      <c r="N1" s="5" t="s">
        <v>9</v>
      </c>
      <c r="O1" s="107" t="s">
        <v>11</v>
      </c>
      <c r="P1" s="5" t="s">
        <v>8</v>
      </c>
      <c r="Q1" s="107" t="s">
        <v>12</v>
      </c>
      <c r="R1" s="5" t="s">
        <v>95</v>
      </c>
      <c r="S1" s="107" t="s">
        <v>85</v>
      </c>
      <c r="T1" s="5" t="s">
        <v>86</v>
      </c>
      <c r="U1" s="107" t="s">
        <v>87</v>
      </c>
    </row>
    <row r="2" spans="1:25" ht="43.5" customHeight="1" x14ac:dyDescent="0.3">
      <c r="A2" s="224"/>
      <c r="B2" s="225"/>
      <c r="C2" s="73" t="s">
        <v>2</v>
      </c>
      <c r="D2" s="21" t="s">
        <v>1</v>
      </c>
      <c r="E2" s="1" t="s">
        <v>2</v>
      </c>
      <c r="F2" s="1" t="s">
        <v>1</v>
      </c>
      <c r="G2" s="9"/>
      <c r="H2" s="6" t="s">
        <v>3</v>
      </c>
      <c r="I2" s="1" t="s">
        <v>1</v>
      </c>
      <c r="J2" s="6" t="s">
        <v>3</v>
      </c>
      <c r="K2" s="1" t="s">
        <v>1</v>
      </c>
      <c r="L2" s="6" t="s">
        <v>3</v>
      </c>
      <c r="M2" s="1" t="s">
        <v>1</v>
      </c>
      <c r="N2" s="6" t="s">
        <v>3</v>
      </c>
      <c r="O2" s="1" t="s">
        <v>1</v>
      </c>
      <c r="P2" s="6" t="s">
        <v>3</v>
      </c>
      <c r="Q2" s="1" t="s">
        <v>1</v>
      </c>
      <c r="R2" s="6" t="s">
        <v>3</v>
      </c>
      <c r="S2" s="1" t="s">
        <v>1</v>
      </c>
      <c r="T2" s="6" t="s">
        <v>3</v>
      </c>
      <c r="U2" s="1" t="s">
        <v>1</v>
      </c>
    </row>
    <row r="3" spans="1:25" ht="26.25" x14ac:dyDescent="0.3">
      <c r="A3" s="97" t="s">
        <v>14</v>
      </c>
      <c r="B3" s="12" t="s">
        <v>10</v>
      </c>
      <c r="C3" s="29">
        <f>C31+C58+C67</f>
        <v>9</v>
      </c>
      <c r="D3" s="30">
        <f>D31+D58+D67</f>
        <v>0</v>
      </c>
      <c r="E3" s="30">
        <f>E31+E58+E67</f>
        <v>0</v>
      </c>
      <c r="F3" s="14">
        <f>F31+F58+F67</f>
        <v>0</v>
      </c>
      <c r="G3" s="108"/>
      <c r="H3" s="2">
        <f t="shared" ref="H3:U3" si="0">H31+H58+H67</f>
        <v>0</v>
      </c>
      <c r="I3" s="2">
        <f t="shared" si="0"/>
        <v>0</v>
      </c>
      <c r="J3" s="85">
        <f t="shared" si="0"/>
        <v>0</v>
      </c>
      <c r="K3" s="2">
        <f t="shared" si="0"/>
        <v>1</v>
      </c>
      <c r="L3" s="2">
        <f t="shared" si="0"/>
        <v>0</v>
      </c>
      <c r="M3" s="2">
        <f t="shared" si="0"/>
        <v>0</v>
      </c>
      <c r="N3" s="2">
        <f t="shared" si="0"/>
        <v>0</v>
      </c>
      <c r="O3" s="2">
        <f t="shared" si="0"/>
        <v>0</v>
      </c>
      <c r="P3" s="2">
        <f t="shared" si="0"/>
        <v>0</v>
      </c>
      <c r="Q3" s="2">
        <f t="shared" si="0"/>
        <v>0</v>
      </c>
      <c r="R3" s="2">
        <f t="shared" si="0"/>
        <v>0</v>
      </c>
      <c r="S3" s="2">
        <f t="shared" si="0"/>
        <v>0</v>
      </c>
      <c r="T3" s="2">
        <f t="shared" si="0"/>
        <v>0</v>
      </c>
      <c r="U3" s="2">
        <f t="shared" si="0"/>
        <v>0</v>
      </c>
      <c r="V3" s="4">
        <f>D3*10</f>
        <v>0</v>
      </c>
      <c r="W3">
        <f>F3*10+E3</f>
        <v>0</v>
      </c>
      <c r="X3" s="4">
        <f>SUM(H3:Q3)</f>
        <v>1</v>
      </c>
      <c r="Y3" s="11">
        <f>SUM(V3:X3)</f>
        <v>1</v>
      </c>
    </row>
    <row r="4" spans="1:25" ht="24" customHeight="1" x14ac:dyDescent="0.3">
      <c r="A4" s="229" t="s">
        <v>34</v>
      </c>
      <c r="B4" s="3" t="s">
        <v>36</v>
      </c>
      <c r="C4" s="7"/>
      <c r="D4" s="7"/>
      <c r="E4" s="50"/>
      <c r="F4" s="50"/>
      <c r="G4" s="108"/>
      <c r="H4" s="7"/>
      <c r="I4" s="50"/>
      <c r="J4" s="10"/>
      <c r="K4" s="50"/>
      <c r="L4" s="7"/>
      <c r="M4" s="50"/>
      <c r="N4" s="10"/>
      <c r="O4" s="50"/>
      <c r="P4" s="7"/>
      <c r="Q4" s="50"/>
      <c r="R4" s="7"/>
      <c r="S4" s="50"/>
      <c r="T4" s="7"/>
      <c r="U4" s="50"/>
    </row>
    <row r="5" spans="1:25" ht="24" customHeight="1" x14ac:dyDescent="0.3">
      <c r="A5" s="230"/>
      <c r="B5" s="3" t="s">
        <v>82</v>
      </c>
      <c r="C5" s="7"/>
      <c r="D5" s="7"/>
      <c r="E5" s="50"/>
      <c r="F5" s="50"/>
      <c r="G5" s="108"/>
      <c r="H5" s="7"/>
      <c r="I5" s="50"/>
      <c r="J5" s="10"/>
      <c r="K5" s="50"/>
      <c r="L5" s="7"/>
      <c r="M5" s="50"/>
      <c r="N5" s="10"/>
      <c r="O5" s="50"/>
      <c r="P5" s="7"/>
      <c r="Q5" s="50"/>
      <c r="R5" s="7"/>
      <c r="S5" s="50"/>
      <c r="T5" s="7"/>
      <c r="U5" s="50"/>
    </row>
    <row r="6" spans="1:25" ht="24" customHeight="1" x14ac:dyDescent="0.3">
      <c r="A6" s="230"/>
      <c r="B6" s="3" t="s">
        <v>37</v>
      </c>
      <c r="C6" s="7"/>
      <c r="D6" s="7"/>
      <c r="E6" s="50"/>
      <c r="F6" s="50"/>
      <c r="G6" s="108"/>
      <c r="H6" s="7"/>
      <c r="I6" s="50"/>
      <c r="J6" s="10"/>
      <c r="K6" s="50"/>
      <c r="L6" s="7"/>
      <c r="M6" s="50"/>
      <c r="N6" s="10"/>
      <c r="O6" s="50"/>
      <c r="P6" s="7"/>
      <c r="Q6" s="50"/>
      <c r="R6" s="7"/>
      <c r="S6" s="50"/>
      <c r="T6" s="7"/>
      <c r="U6" s="50"/>
    </row>
    <row r="7" spans="1:25" ht="24" customHeight="1" x14ac:dyDescent="0.3">
      <c r="A7" s="230"/>
      <c r="B7" s="3" t="s">
        <v>38</v>
      </c>
      <c r="C7" s="7"/>
      <c r="D7" s="7"/>
      <c r="E7" s="50"/>
      <c r="F7" s="50"/>
      <c r="G7" s="108"/>
      <c r="H7" s="7"/>
      <c r="I7" s="50"/>
      <c r="J7" s="10"/>
      <c r="K7" s="50"/>
      <c r="L7" s="7"/>
      <c r="M7" s="50"/>
      <c r="N7" s="10"/>
      <c r="O7" s="50"/>
      <c r="P7" s="7"/>
      <c r="Q7" s="50"/>
      <c r="R7" s="7"/>
      <c r="S7" s="50"/>
      <c r="T7" s="7"/>
      <c r="U7" s="50"/>
    </row>
    <row r="8" spans="1:25" ht="24" customHeight="1" x14ac:dyDescent="0.3">
      <c r="A8" s="230"/>
      <c r="B8" s="3" t="s">
        <v>50</v>
      </c>
      <c r="C8" s="77"/>
      <c r="D8" s="7"/>
      <c r="E8" s="50"/>
      <c r="F8" s="50"/>
      <c r="G8" s="63"/>
      <c r="H8" s="7"/>
      <c r="I8" s="50"/>
      <c r="J8" s="10"/>
      <c r="K8" s="50"/>
      <c r="L8" s="7"/>
      <c r="M8" s="50"/>
      <c r="N8" s="10"/>
      <c r="O8" s="50"/>
      <c r="P8" s="7"/>
      <c r="Q8" s="50"/>
      <c r="R8" s="7"/>
      <c r="S8" s="50"/>
      <c r="T8" s="7"/>
      <c r="U8" s="50"/>
    </row>
    <row r="9" spans="1:25" ht="24" customHeight="1" x14ac:dyDescent="0.3">
      <c r="A9" s="230"/>
      <c r="B9" s="3" t="s">
        <v>72</v>
      </c>
      <c r="C9" s="7"/>
      <c r="D9" s="7"/>
      <c r="E9" s="50"/>
      <c r="F9" s="50"/>
      <c r="G9" s="108"/>
      <c r="H9" s="7"/>
      <c r="I9" s="50"/>
      <c r="J9" s="10"/>
      <c r="K9" s="50"/>
      <c r="L9" s="7"/>
      <c r="M9" s="50"/>
      <c r="N9" s="10"/>
      <c r="O9" s="50"/>
      <c r="P9" s="7"/>
      <c r="Q9" s="50"/>
      <c r="R9" s="7"/>
      <c r="S9" s="50"/>
      <c r="T9" s="7"/>
      <c r="U9" s="50"/>
    </row>
    <row r="10" spans="1:25" ht="24" customHeight="1" x14ac:dyDescent="0.3">
      <c r="A10" s="230"/>
      <c r="B10" s="3" t="s">
        <v>52</v>
      </c>
      <c r="C10" s="7"/>
      <c r="D10" s="7"/>
      <c r="E10" s="50"/>
      <c r="F10" s="50"/>
      <c r="G10" s="108"/>
      <c r="H10" s="7"/>
      <c r="I10" s="50"/>
      <c r="J10" s="10"/>
      <c r="K10" s="50"/>
      <c r="L10" s="7"/>
      <c r="M10" s="50"/>
      <c r="N10" s="10"/>
      <c r="O10" s="50"/>
      <c r="P10" s="7"/>
      <c r="Q10" s="50"/>
      <c r="R10" s="7"/>
      <c r="S10" s="50"/>
      <c r="T10" s="7"/>
      <c r="U10" s="50"/>
    </row>
    <row r="11" spans="1:25" ht="24" customHeight="1" x14ac:dyDescent="0.3">
      <c r="A11" s="230"/>
      <c r="B11" s="3" t="s">
        <v>39</v>
      </c>
      <c r="C11" s="7"/>
      <c r="D11" s="7"/>
      <c r="E11" s="50"/>
      <c r="F11" s="50"/>
      <c r="G11" s="108"/>
      <c r="H11" s="7"/>
      <c r="I11" s="50"/>
      <c r="J11" s="10"/>
      <c r="K11" s="50"/>
      <c r="L11" s="7"/>
      <c r="M11" s="50"/>
      <c r="N11" s="10"/>
      <c r="O11" s="50"/>
      <c r="P11" s="7"/>
      <c r="Q11" s="50"/>
      <c r="R11" s="7"/>
      <c r="S11" s="50"/>
      <c r="T11" s="7"/>
      <c r="U11" s="50"/>
    </row>
    <row r="12" spans="1:25" ht="24" customHeight="1" x14ac:dyDescent="0.3">
      <c r="A12" s="230"/>
      <c r="B12" s="3" t="s">
        <v>40</v>
      </c>
      <c r="C12" s="7"/>
      <c r="D12" s="77"/>
      <c r="E12" s="76"/>
      <c r="F12" s="50"/>
      <c r="G12" s="80"/>
      <c r="H12" s="7"/>
      <c r="I12" s="76"/>
      <c r="J12" s="7"/>
      <c r="K12" s="50"/>
      <c r="L12" s="7"/>
      <c r="M12" s="76"/>
      <c r="N12" s="10"/>
      <c r="O12" s="76"/>
      <c r="P12" s="7"/>
      <c r="Q12" s="76"/>
      <c r="R12" s="10"/>
      <c r="S12" s="76"/>
      <c r="T12" s="77"/>
      <c r="U12" s="76"/>
    </row>
    <row r="13" spans="1:25" ht="24" customHeight="1" x14ac:dyDescent="0.3">
      <c r="A13" s="230"/>
      <c r="B13" s="3" t="s">
        <v>41</v>
      </c>
      <c r="C13" s="7"/>
      <c r="D13" s="7"/>
      <c r="E13" s="50"/>
      <c r="F13" s="50"/>
      <c r="G13" s="108"/>
      <c r="H13" s="7"/>
      <c r="I13" s="50"/>
      <c r="J13" s="10"/>
      <c r="K13" s="50"/>
      <c r="L13" s="7"/>
      <c r="M13" s="50"/>
      <c r="N13" s="10"/>
      <c r="O13" s="50"/>
      <c r="P13" s="7"/>
      <c r="Q13" s="50"/>
      <c r="R13" s="7"/>
      <c r="S13" s="50"/>
      <c r="T13" s="7"/>
      <c r="U13" s="50"/>
    </row>
    <row r="14" spans="1:25" ht="24" customHeight="1" x14ac:dyDescent="0.3">
      <c r="A14" s="230"/>
      <c r="B14" s="3" t="s">
        <v>42</v>
      </c>
      <c r="C14" s="7"/>
      <c r="D14" s="7"/>
      <c r="E14" s="50"/>
      <c r="F14" s="50"/>
      <c r="G14" s="108"/>
      <c r="H14" s="7"/>
      <c r="I14" s="50"/>
      <c r="J14" s="10"/>
      <c r="K14" s="50"/>
      <c r="L14" s="7"/>
      <c r="M14" s="50"/>
      <c r="N14" s="10"/>
      <c r="O14" s="50"/>
      <c r="P14" s="7"/>
      <c r="Q14" s="50"/>
      <c r="R14" s="7"/>
      <c r="S14" s="50"/>
      <c r="T14" s="7"/>
      <c r="U14" s="50"/>
    </row>
    <row r="15" spans="1:25" ht="24" customHeight="1" x14ac:dyDescent="0.3">
      <c r="A15" s="230"/>
      <c r="B15" s="3" t="s">
        <v>43</v>
      </c>
      <c r="C15" s="7"/>
      <c r="D15" s="7"/>
      <c r="E15" s="50"/>
      <c r="F15" s="50"/>
      <c r="G15" s="108"/>
      <c r="H15" s="7"/>
      <c r="I15" s="50"/>
      <c r="J15" s="10"/>
      <c r="K15" s="50"/>
      <c r="L15" s="7"/>
      <c r="M15" s="50"/>
      <c r="N15" s="10"/>
      <c r="O15" s="50"/>
      <c r="P15" s="7"/>
      <c r="Q15" s="50"/>
      <c r="R15" s="7"/>
      <c r="S15" s="50"/>
      <c r="T15" s="7"/>
      <c r="U15" s="50"/>
    </row>
    <row r="16" spans="1:25" ht="24" customHeight="1" x14ac:dyDescent="0.3">
      <c r="A16" s="230"/>
      <c r="B16" s="3" t="s">
        <v>51</v>
      </c>
      <c r="C16" s="7"/>
      <c r="D16" s="7"/>
      <c r="E16" s="50"/>
      <c r="F16" s="50"/>
      <c r="G16" s="108"/>
      <c r="H16" s="7"/>
      <c r="I16" s="50"/>
      <c r="J16" s="10"/>
      <c r="K16" s="50"/>
      <c r="L16" s="7"/>
      <c r="M16" s="50"/>
      <c r="N16" s="10"/>
      <c r="O16" s="50"/>
      <c r="P16" s="7"/>
      <c r="Q16" s="50"/>
      <c r="R16" s="7"/>
      <c r="S16" s="50"/>
      <c r="T16" s="7"/>
      <c r="U16" s="50"/>
    </row>
    <row r="17" spans="1:28" ht="24" customHeight="1" x14ac:dyDescent="0.3">
      <c r="A17" s="230"/>
      <c r="B17" s="3" t="s">
        <v>44</v>
      </c>
      <c r="C17" s="7"/>
      <c r="D17" s="7"/>
      <c r="E17" s="50"/>
      <c r="F17" s="50"/>
      <c r="G17" s="108"/>
      <c r="H17" s="7"/>
      <c r="I17" s="50"/>
      <c r="J17" s="10"/>
      <c r="K17" s="50"/>
      <c r="L17" s="7"/>
      <c r="M17" s="50"/>
      <c r="N17" s="10"/>
      <c r="O17" s="50"/>
      <c r="P17" s="7"/>
      <c r="Q17" s="50"/>
      <c r="R17" s="7"/>
      <c r="S17" s="50"/>
      <c r="T17" s="7"/>
      <c r="U17" s="50"/>
    </row>
    <row r="18" spans="1:28" ht="24" customHeight="1" x14ac:dyDescent="0.3">
      <c r="A18" s="230"/>
      <c r="B18" s="100" t="s">
        <v>91</v>
      </c>
      <c r="C18" s="7"/>
      <c r="D18" s="7"/>
      <c r="E18" s="50"/>
      <c r="F18" s="50"/>
      <c r="G18" s="108"/>
      <c r="H18" s="7"/>
      <c r="I18" s="50"/>
      <c r="J18" s="10"/>
      <c r="K18" s="50"/>
      <c r="L18" s="7"/>
      <c r="M18" s="50"/>
      <c r="N18" s="10"/>
      <c r="O18" s="50"/>
      <c r="P18" s="7"/>
      <c r="Q18" s="50"/>
      <c r="R18" s="7"/>
      <c r="S18" s="50"/>
      <c r="T18" s="7"/>
      <c r="U18" s="50"/>
    </row>
    <row r="19" spans="1:28" ht="24" customHeight="1" x14ac:dyDescent="0.3">
      <c r="A19" s="230"/>
      <c r="B19" s="100" t="s">
        <v>46</v>
      </c>
      <c r="C19" s="7"/>
      <c r="D19" s="7"/>
      <c r="E19" s="50"/>
      <c r="F19" s="50"/>
      <c r="G19" s="108"/>
      <c r="H19" s="7"/>
      <c r="I19" s="50"/>
      <c r="J19" s="10"/>
      <c r="K19" s="50"/>
      <c r="L19" s="7"/>
      <c r="M19" s="50"/>
      <c r="N19" s="10"/>
      <c r="O19" s="50"/>
      <c r="P19" s="7"/>
      <c r="Q19" s="50"/>
      <c r="R19" s="7"/>
      <c r="S19" s="50"/>
      <c r="T19" s="7"/>
      <c r="U19" s="76"/>
    </row>
    <row r="20" spans="1:28" ht="24" customHeight="1" x14ac:dyDescent="0.3">
      <c r="A20" s="230"/>
      <c r="B20" s="100" t="s">
        <v>48</v>
      </c>
      <c r="C20" s="7"/>
      <c r="D20" s="7"/>
      <c r="E20" s="50"/>
      <c r="F20" s="50"/>
      <c r="G20" s="108"/>
      <c r="H20" s="7"/>
      <c r="I20" s="50"/>
      <c r="J20" s="10"/>
      <c r="K20" s="50">
        <v>1</v>
      </c>
      <c r="L20" s="7"/>
      <c r="M20" s="50"/>
      <c r="N20" s="10"/>
      <c r="O20" s="50"/>
      <c r="P20" s="7"/>
      <c r="Q20" s="50"/>
      <c r="R20" s="7"/>
      <c r="S20" s="50"/>
      <c r="T20" s="7"/>
      <c r="U20" s="50"/>
    </row>
    <row r="21" spans="1:28" ht="24" customHeight="1" x14ac:dyDescent="0.3">
      <c r="A21" s="230"/>
      <c r="B21" s="3" t="s">
        <v>75</v>
      </c>
      <c r="C21" s="7"/>
      <c r="D21" s="7"/>
      <c r="E21" s="50"/>
      <c r="F21" s="50"/>
      <c r="G21" s="108"/>
      <c r="H21" s="7"/>
      <c r="I21" s="50"/>
      <c r="J21" s="10"/>
      <c r="K21" s="50"/>
      <c r="L21" s="7"/>
      <c r="M21" s="50"/>
      <c r="N21" s="10"/>
      <c r="O21" s="50"/>
      <c r="P21" s="7"/>
      <c r="Q21" s="50"/>
      <c r="R21" s="7"/>
      <c r="S21" s="50"/>
      <c r="T21" s="7"/>
      <c r="U21" s="50"/>
    </row>
    <row r="22" spans="1:28" ht="24" customHeight="1" x14ac:dyDescent="0.3">
      <c r="A22" s="230"/>
      <c r="B22" s="3" t="s">
        <v>73</v>
      </c>
      <c r="C22" s="7"/>
      <c r="D22" s="7"/>
      <c r="E22" s="50"/>
      <c r="F22" s="50"/>
      <c r="G22" s="108"/>
      <c r="H22" s="7"/>
      <c r="I22" s="50"/>
      <c r="J22" s="10"/>
      <c r="K22" s="50"/>
      <c r="L22" s="7"/>
      <c r="M22" s="50"/>
      <c r="N22" s="10"/>
      <c r="O22" s="50"/>
      <c r="P22" s="7"/>
      <c r="Q22" s="50"/>
      <c r="R22" s="7"/>
      <c r="S22" s="50"/>
      <c r="T22" s="7"/>
      <c r="U22" s="50"/>
    </row>
    <row r="23" spans="1:28" ht="24" customHeight="1" x14ac:dyDescent="0.3">
      <c r="A23" s="230"/>
      <c r="B23" s="3" t="s">
        <v>62</v>
      </c>
      <c r="C23" s="7"/>
      <c r="D23" s="7"/>
      <c r="E23" s="50"/>
      <c r="F23" s="50"/>
      <c r="G23" s="108"/>
      <c r="H23" s="7"/>
      <c r="I23" s="50"/>
      <c r="J23" s="10"/>
      <c r="K23" s="50"/>
      <c r="L23" s="7"/>
      <c r="M23" s="50"/>
      <c r="N23" s="10"/>
      <c r="O23" s="50"/>
      <c r="P23" s="7"/>
      <c r="Q23" s="50"/>
      <c r="R23" s="7"/>
      <c r="S23" s="50"/>
      <c r="T23" s="7"/>
      <c r="U23" s="50"/>
    </row>
    <row r="24" spans="1:28" ht="24" customHeight="1" x14ac:dyDescent="0.3">
      <c r="A24" s="230"/>
      <c r="B24" s="3" t="s">
        <v>81</v>
      </c>
      <c r="C24" s="7"/>
      <c r="D24" s="77"/>
      <c r="E24" s="76"/>
      <c r="F24" s="50"/>
      <c r="G24" s="80"/>
      <c r="H24" s="7"/>
      <c r="I24" s="76"/>
      <c r="J24" s="10"/>
      <c r="K24" s="50"/>
      <c r="L24" s="7"/>
      <c r="M24" s="50"/>
      <c r="N24" s="10"/>
      <c r="O24" s="50"/>
      <c r="P24" s="7"/>
      <c r="Q24" s="50"/>
      <c r="R24" s="7"/>
      <c r="S24" s="50"/>
      <c r="T24" s="7"/>
      <c r="U24" s="50"/>
    </row>
    <row r="25" spans="1:28" ht="24" customHeight="1" x14ac:dyDescent="0.3">
      <c r="A25" s="230"/>
      <c r="B25" s="3" t="s">
        <v>76</v>
      </c>
      <c r="C25" s="7"/>
      <c r="D25" s="7"/>
      <c r="E25" s="50"/>
      <c r="F25" s="50"/>
      <c r="G25" s="108"/>
      <c r="H25" s="7"/>
      <c r="I25" s="50"/>
      <c r="J25" s="10"/>
      <c r="K25" s="50"/>
      <c r="L25" s="7"/>
      <c r="M25" s="50"/>
      <c r="N25" s="10"/>
      <c r="O25" s="50"/>
      <c r="P25" s="7"/>
      <c r="Q25" s="50"/>
      <c r="R25" s="7"/>
      <c r="S25" s="50"/>
      <c r="T25" s="7"/>
      <c r="U25" s="50"/>
      <c r="Y25" s="82"/>
    </row>
    <row r="26" spans="1:28" ht="24" customHeight="1" x14ac:dyDescent="0.3">
      <c r="A26" s="230"/>
      <c r="B26" s="3" t="s">
        <v>89</v>
      </c>
      <c r="C26" s="7"/>
      <c r="D26" s="7"/>
      <c r="E26" s="50"/>
      <c r="F26" s="50"/>
      <c r="G26" s="108"/>
      <c r="H26" s="7"/>
      <c r="I26" s="50"/>
      <c r="J26" s="10"/>
      <c r="K26" s="50"/>
      <c r="L26" s="7"/>
      <c r="M26" s="50"/>
      <c r="N26" s="10"/>
      <c r="O26" s="50"/>
      <c r="P26" s="7"/>
      <c r="Q26" s="50"/>
      <c r="R26" s="7"/>
      <c r="S26" s="50"/>
      <c r="T26" s="7"/>
      <c r="U26" s="50"/>
      <c r="Y26" s="82"/>
    </row>
    <row r="27" spans="1:28" ht="24" customHeight="1" x14ac:dyDescent="0.3">
      <c r="A27" s="230"/>
      <c r="B27" s="3" t="s">
        <v>90</v>
      </c>
      <c r="C27" s="7"/>
      <c r="D27" s="7"/>
      <c r="E27" s="50"/>
      <c r="F27" s="50"/>
      <c r="G27" s="108"/>
      <c r="H27" s="7"/>
      <c r="I27" s="50"/>
      <c r="J27" s="10"/>
      <c r="K27" s="50"/>
      <c r="L27" s="7"/>
      <c r="M27" s="50"/>
      <c r="N27" s="10"/>
      <c r="O27" s="50"/>
      <c r="P27" s="7"/>
      <c r="Q27" s="50"/>
      <c r="R27" s="7"/>
      <c r="S27" s="50"/>
      <c r="T27" s="7"/>
      <c r="U27" s="50"/>
      <c r="Y27" s="82"/>
    </row>
    <row r="28" spans="1:28" ht="24" customHeight="1" x14ac:dyDescent="0.3">
      <c r="A28" s="230"/>
      <c r="B28" s="3" t="s">
        <v>49</v>
      </c>
      <c r="C28" s="7"/>
      <c r="D28" s="7"/>
      <c r="E28" s="50"/>
      <c r="F28" s="50"/>
      <c r="G28" s="108"/>
      <c r="H28" s="7"/>
      <c r="I28" s="50"/>
      <c r="J28" s="86"/>
      <c r="K28" s="50"/>
      <c r="L28" s="7"/>
      <c r="M28" s="50"/>
      <c r="N28" s="10"/>
      <c r="O28" s="50"/>
      <c r="P28" s="7"/>
      <c r="Q28" s="50"/>
      <c r="R28" s="7"/>
      <c r="S28" s="50"/>
      <c r="T28" s="7"/>
      <c r="U28" s="50"/>
      <c r="X28" s="232"/>
      <c r="Y28" s="232"/>
      <c r="Z28" s="232"/>
      <c r="AA28" s="232"/>
      <c r="AB28" s="232"/>
    </row>
    <row r="29" spans="1:28" ht="24" customHeight="1" x14ac:dyDescent="0.3">
      <c r="A29" s="230"/>
      <c r="B29" s="3" t="s">
        <v>74</v>
      </c>
      <c r="C29" s="7"/>
      <c r="D29" s="7"/>
      <c r="E29" s="50"/>
      <c r="F29" s="50"/>
      <c r="H29" s="7"/>
      <c r="I29" s="50"/>
      <c r="J29" s="10"/>
      <c r="K29" s="50"/>
      <c r="L29" s="7"/>
      <c r="M29" s="50"/>
      <c r="N29" s="10"/>
      <c r="O29" s="50"/>
      <c r="P29" s="7"/>
      <c r="Q29" s="50"/>
      <c r="R29" s="7"/>
      <c r="S29" s="50"/>
      <c r="T29" s="7"/>
      <c r="U29" s="50"/>
    </row>
    <row r="30" spans="1:28" ht="24" customHeight="1" x14ac:dyDescent="0.3">
      <c r="A30" s="230"/>
      <c r="B30" s="3" t="s">
        <v>55</v>
      </c>
      <c r="C30" s="7"/>
      <c r="D30" s="7"/>
      <c r="E30" s="50"/>
      <c r="F30" s="50"/>
      <c r="G30" s="108"/>
      <c r="H30" s="7"/>
      <c r="I30" s="50"/>
      <c r="J30" s="10"/>
      <c r="K30" s="50"/>
      <c r="L30" s="7"/>
      <c r="M30" s="50"/>
      <c r="N30" s="10"/>
      <c r="O30" s="50"/>
      <c r="P30" s="7"/>
      <c r="Q30" s="50"/>
      <c r="R30" s="7"/>
      <c r="S30" s="50"/>
      <c r="T30" s="7"/>
      <c r="U30" s="50"/>
    </row>
    <row r="31" spans="1:28" ht="27" thickBot="1" x14ac:dyDescent="0.35">
      <c r="A31" s="231"/>
      <c r="B31" s="31"/>
      <c r="C31" s="31">
        <f>SUM(C4:C30)</f>
        <v>0</v>
      </c>
      <c r="D31" s="31">
        <f>SUM(D4:D30)</f>
        <v>0</v>
      </c>
      <c r="E31" s="31">
        <f>SUM(E4:E30)</f>
        <v>0</v>
      </c>
      <c r="F31" s="31">
        <f>SUM(F4:F30)</f>
        <v>0</v>
      </c>
      <c r="G31" s="108"/>
      <c r="H31" s="2">
        <f t="shared" ref="H31:U31" si="1">SUM(H4:H30)</f>
        <v>0</v>
      </c>
      <c r="I31" s="2">
        <f t="shared" si="1"/>
        <v>0</v>
      </c>
      <c r="J31" s="2">
        <f t="shared" si="1"/>
        <v>0</v>
      </c>
      <c r="K31" s="2">
        <f t="shared" si="1"/>
        <v>1</v>
      </c>
      <c r="L31" s="2">
        <f t="shared" si="1"/>
        <v>0</v>
      </c>
      <c r="M31" s="2">
        <f t="shared" si="1"/>
        <v>0</v>
      </c>
      <c r="N31" s="2">
        <f t="shared" si="1"/>
        <v>0</v>
      </c>
      <c r="O31" s="2">
        <f t="shared" si="1"/>
        <v>0</v>
      </c>
      <c r="P31" s="2">
        <f t="shared" si="1"/>
        <v>0</v>
      </c>
      <c r="Q31" s="2">
        <f t="shared" si="1"/>
        <v>0</v>
      </c>
      <c r="R31" s="2">
        <f t="shared" si="1"/>
        <v>0</v>
      </c>
      <c r="S31" s="2">
        <f t="shared" si="1"/>
        <v>0</v>
      </c>
      <c r="T31" s="2">
        <f t="shared" si="1"/>
        <v>0</v>
      </c>
      <c r="U31" s="2">
        <f t="shared" si="1"/>
        <v>0</v>
      </c>
      <c r="W31" s="35"/>
      <c r="X31" s="18"/>
      <c r="Y31" s="18"/>
    </row>
    <row r="32" spans="1:28" ht="24" customHeight="1" thickTop="1" x14ac:dyDescent="0.3">
      <c r="A32" s="233" t="s">
        <v>27</v>
      </c>
      <c r="B32" s="23" t="s">
        <v>63</v>
      </c>
      <c r="C32" s="28"/>
      <c r="D32" s="28"/>
      <c r="E32" s="15"/>
      <c r="F32" s="16"/>
      <c r="G32" s="25"/>
      <c r="H32" s="43"/>
      <c r="I32" s="50"/>
      <c r="J32" s="10"/>
      <c r="K32" s="50"/>
      <c r="L32" s="7"/>
      <c r="M32" s="50"/>
      <c r="N32" s="7"/>
      <c r="O32" s="50"/>
      <c r="P32" s="7"/>
      <c r="Q32" s="50"/>
      <c r="R32" s="7"/>
      <c r="S32" s="50"/>
      <c r="T32" s="7"/>
      <c r="U32" s="50"/>
      <c r="W32" s="18"/>
      <c r="X32" s="18"/>
      <c r="Y32" s="18"/>
      <c r="Z32" s="18"/>
      <c r="AA32" s="18"/>
    </row>
    <row r="33" spans="1:27" ht="24" customHeight="1" x14ac:dyDescent="0.3">
      <c r="A33" s="233"/>
      <c r="B33" s="24" t="s">
        <v>94</v>
      </c>
      <c r="C33" s="32">
        <v>3</v>
      </c>
      <c r="D33" s="32"/>
      <c r="E33" s="54"/>
      <c r="F33" s="22"/>
      <c r="G33" s="25"/>
      <c r="H33" s="43"/>
      <c r="I33" s="50"/>
      <c r="J33" s="10"/>
      <c r="K33" s="50"/>
      <c r="L33" s="7"/>
      <c r="M33" s="50"/>
      <c r="N33" s="7"/>
      <c r="O33" s="50"/>
      <c r="P33" s="7"/>
      <c r="Q33" s="50"/>
      <c r="R33" s="7"/>
      <c r="S33" s="50"/>
      <c r="T33" s="7"/>
      <c r="U33" s="50"/>
      <c r="W33" s="18"/>
      <c r="X33" s="18"/>
      <c r="Y33" s="18"/>
      <c r="Z33" s="18"/>
      <c r="AA33" s="18"/>
    </row>
    <row r="34" spans="1:27" ht="24" customHeight="1" x14ac:dyDescent="0.3">
      <c r="A34" s="233"/>
      <c r="B34" s="24" t="s">
        <v>54</v>
      </c>
      <c r="C34" s="32"/>
      <c r="D34" s="32"/>
      <c r="E34" s="54"/>
      <c r="F34" s="22"/>
      <c r="G34" s="25"/>
      <c r="H34" s="10"/>
      <c r="I34" s="50"/>
      <c r="J34" s="10"/>
      <c r="K34" s="50"/>
      <c r="L34" s="7"/>
      <c r="M34" s="50"/>
      <c r="N34" s="7"/>
      <c r="O34" s="50"/>
      <c r="P34" s="7"/>
      <c r="Q34" s="76"/>
      <c r="R34" s="7"/>
      <c r="S34" s="50"/>
      <c r="T34" s="7"/>
      <c r="U34" s="50"/>
      <c r="W34" s="18"/>
      <c r="X34" s="18"/>
      <c r="Y34" s="18"/>
      <c r="Z34" s="18"/>
      <c r="AA34" s="18"/>
    </row>
    <row r="35" spans="1:27" ht="24" customHeight="1" x14ac:dyDescent="0.3">
      <c r="A35" s="233"/>
      <c r="B35" s="24" t="s">
        <v>56</v>
      </c>
      <c r="C35" s="32"/>
      <c r="D35" s="32"/>
      <c r="E35" s="54"/>
      <c r="F35" s="22"/>
      <c r="G35" s="25"/>
      <c r="H35" s="43"/>
      <c r="I35" s="50"/>
      <c r="J35" s="10"/>
      <c r="K35" s="50"/>
      <c r="L35" s="7"/>
      <c r="M35" s="50"/>
      <c r="N35" s="7"/>
      <c r="O35" s="50"/>
      <c r="P35" s="7"/>
      <c r="Q35" s="50"/>
      <c r="R35" s="7"/>
      <c r="S35" s="50"/>
      <c r="T35" s="7"/>
      <c r="U35" s="50"/>
      <c r="W35" s="18"/>
      <c r="X35" s="18"/>
      <c r="Y35" s="18"/>
      <c r="Z35" s="18"/>
      <c r="AA35" s="18"/>
    </row>
    <row r="36" spans="1:27" ht="24" customHeight="1" x14ac:dyDescent="0.3">
      <c r="A36" s="233"/>
      <c r="B36" s="24" t="s">
        <v>78</v>
      </c>
      <c r="C36" s="32"/>
      <c r="D36" s="32"/>
      <c r="E36" s="54"/>
      <c r="F36" s="22"/>
      <c r="G36" s="25"/>
      <c r="H36" s="43"/>
      <c r="I36" s="50"/>
      <c r="J36" s="10"/>
      <c r="K36" s="50"/>
      <c r="L36" s="7"/>
      <c r="M36" s="50"/>
      <c r="N36" s="7"/>
      <c r="O36" s="50"/>
      <c r="P36" s="7"/>
      <c r="Q36" s="50"/>
      <c r="R36" s="7"/>
      <c r="S36" s="50"/>
      <c r="T36" s="7"/>
      <c r="U36" s="50"/>
      <c r="W36" s="18"/>
      <c r="X36" s="18"/>
      <c r="Y36" s="18"/>
      <c r="Z36" s="18"/>
      <c r="AA36" s="18"/>
    </row>
    <row r="37" spans="1:27" ht="24" customHeight="1" x14ac:dyDescent="0.3">
      <c r="A37" s="233"/>
      <c r="B37" s="24" t="s">
        <v>53</v>
      </c>
      <c r="C37" s="32"/>
      <c r="D37" s="32"/>
      <c r="E37" s="54"/>
      <c r="F37" s="22"/>
      <c r="G37" s="25"/>
      <c r="H37" s="43"/>
      <c r="I37" s="50"/>
      <c r="J37" s="10"/>
      <c r="K37" s="50"/>
      <c r="L37" s="7"/>
      <c r="M37" s="50"/>
      <c r="N37" s="7"/>
      <c r="O37" s="50"/>
      <c r="P37" s="7"/>
      <c r="Q37" s="50"/>
      <c r="R37" s="7"/>
      <c r="S37" s="50"/>
      <c r="T37" s="7"/>
      <c r="U37" s="50"/>
      <c r="W37" s="18"/>
      <c r="X37" s="18"/>
      <c r="Y37" s="18"/>
      <c r="Z37" s="18"/>
      <c r="AA37" s="18"/>
    </row>
    <row r="38" spans="1:27" ht="24" customHeight="1" x14ac:dyDescent="0.3">
      <c r="A38" s="233"/>
      <c r="B38" s="24" t="s">
        <v>66</v>
      </c>
      <c r="C38" s="32"/>
      <c r="D38" s="32"/>
      <c r="E38" s="54"/>
      <c r="F38" s="22"/>
      <c r="G38" s="25"/>
      <c r="H38" s="43"/>
      <c r="I38" s="50"/>
      <c r="J38" s="10"/>
      <c r="K38" s="50"/>
      <c r="L38" s="7"/>
      <c r="M38" s="50"/>
      <c r="N38" s="7"/>
      <c r="O38" s="50"/>
      <c r="P38" s="7"/>
      <c r="Q38" s="50"/>
      <c r="R38" s="7"/>
      <c r="S38" s="50"/>
      <c r="T38" s="7"/>
      <c r="U38" s="50"/>
      <c r="W38" s="18"/>
      <c r="X38" s="18"/>
      <c r="Y38" s="18"/>
      <c r="Z38" s="18"/>
      <c r="AA38" s="18"/>
    </row>
    <row r="39" spans="1:27" ht="24" customHeight="1" x14ac:dyDescent="0.3">
      <c r="A39" s="233"/>
      <c r="B39" s="24" t="s">
        <v>70</v>
      </c>
      <c r="C39" s="32"/>
      <c r="D39" s="32"/>
      <c r="E39" s="54"/>
      <c r="F39" s="22"/>
      <c r="G39" s="25"/>
      <c r="H39" s="43"/>
      <c r="I39" s="50"/>
      <c r="J39" s="10"/>
      <c r="K39" s="50"/>
      <c r="L39" s="7"/>
      <c r="M39" s="50"/>
      <c r="N39" s="7"/>
      <c r="O39" s="50"/>
      <c r="P39" s="7"/>
      <c r="Q39" s="50"/>
      <c r="R39" s="7"/>
      <c r="S39" s="50"/>
      <c r="T39" s="7"/>
      <c r="U39" s="50"/>
      <c r="W39" s="18"/>
      <c r="X39" s="18"/>
      <c r="Y39" s="18"/>
      <c r="Z39" s="18"/>
      <c r="AA39" s="18"/>
    </row>
    <row r="40" spans="1:27" ht="24" customHeight="1" x14ac:dyDescent="0.3">
      <c r="A40" s="233"/>
      <c r="B40" s="24" t="s">
        <v>58</v>
      </c>
      <c r="C40" s="32"/>
      <c r="D40" s="32"/>
      <c r="E40" s="54"/>
      <c r="F40" s="22"/>
      <c r="G40" s="25"/>
      <c r="H40" s="7"/>
      <c r="I40" s="50"/>
      <c r="J40" s="10"/>
      <c r="K40" s="50"/>
      <c r="L40" s="7"/>
      <c r="M40" s="50"/>
      <c r="N40" s="7"/>
      <c r="O40" s="50"/>
      <c r="P40" s="7"/>
      <c r="Q40" s="50"/>
      <c r="R40" s="7"/>
      <c r="S40" s="50"/>
      <c r="T40" s="7"/>
      <c r="U40" s="50"/>
      <c r="W40" s="18"/>
      <c r="X40" s="18"/>
      <c r="Y40" s="18"/>
      <c r="Z40" s="18"/>
      <c r="AA40" s="18"/>
    </row>
    <row r="41" spans="1:27" ht="24" customHeight="1" x14ac:dyDescent="0.3">
      <c r="A41" s="233"/>
      <c r="B41" s="24" t="s">
        <v>71</v>
      </c>
      <c r="C41" s="32">
        <v>2</v>
      </c>
      <c r="D41" s="32"/>
      <c r="E41" s="54"/>
      <c r="F41" s="22"/>
      <c r="G41" s="25"/>
      <c r="H41" s="43"/>
      <c r="I41" s="50"/>
      <c r="J41" s="10"/>
      <c r="K41" s="50"/>
      <c r="L41" s="7"/>
      <c r="M41" s="50"/>
      <c r="N41" s="7"/>
      <c r="O41" s="50"/>
      <c r="P41" s="7"/>
      <c r="Q41" s="50"/>
      <c r="R41" s="7"/>
      <c r="S41" s="50"/>
      <c r="T41" s="7"/>
      <c r="U41" s="50"/>
      <c r="W41" s="18"/>
      <c r="X41" s="18"/>
      <c r="Y41" s="18"/>
      <c r="Z41" s="18"/>
      <c r="AA41" s="18"/>
    </row>
    <row r="42" spans="1:27" ht="24" customHeight="1" x14ac:dyDescent="0.3">
      <c r="A42" s="233"/>
      <c r="B42" s="24" t="s">
        <v>77</v>
      </c>
      <c r="C42" s="32">
        <v>1</v>
      </c>
      <c r="D42" s="32"/>
      <c r="E42" s="54"/>
      <c r="F42" s="22"/>
      <c r="G42" s="25"/>
      <c r="H42" s="7"/>
      <c r="I42" s="50"/>
      <c r="J42" s="10"/>
      <c r="K42" s="50"/>
      <c r="L42" s="7"/>
      <c r="M42" s="50"/>
      <c r="N42" s="7"/>
      <c r="O42" s="50"/>
      <c r="P42" s="7"/>
      <c r="Q42" s="50"/>
      <c r="R42" s="7"/>
      <c r="S42" s="50"/>
      <c r="T42" s="7"/>
      <c r="U42" s="50"/>
      <c r="W42" s="18"/>
      <c r="X42" s="18"/>
      <c r="Y42" s="18"/>
      <c r="Z42" s="18"/>
      <c r="AA42" s="18"/>
    </row>
    <row r="43" spans="1:27" ht="24" customHeight="1" x14ac:dyDescent="0.3">
      <c r="A43" s="233"/>
      <c r="B43" s="24" t="s">
        <v>57</v>
      </c>
      <c r="C43" s="32">
        <v>2</v>
      </c>
      <c r="D43" s="56"/>
      <c r="E43" s="54"/>
      <c r="F43" s="22"/>
      <c r="G43" s="25"/>
      <c r="H43" s="43"/>
      <c r="I43" s="50"/>
      <c r="J43" s="10"/>
      <c r="K43" s="50"/>
      <c r="L43" s="7"/>
      <c r="M43" s="50"/>
      <c r="N43" s="7"/>
      <c r="O43" s="50"/>
      <c r="P43" s="7"/>
      <c r="Q43" s="76"/>
      <c r="R43" s="7"/>
      <c r="S43" s="50"/>
      <c r="T43" s="7"/>
      <c r="U43" s="50"/>
      <c r="W43" s="18"/>
      <c r="X43" s="18"/>
      <c r="Y43" s="18"/>
      <c r="Z43" s="18"/>
      <c r="AA43" s="18"/>
    </row>
    <row r="44" spans="1:27" ht="24" customHeight="1" x14ac:dyDescent="0.3">
      <c r="A44" s="233"/>
      <c r="B44" s="24" t="s">
        <v>68</v>
      </c>
      <c r="C44" s="32"/>
      <c r="D44" s="32"/>
      <c r="E44" s="54"/>
      <c r="F44" s="22"/>
      <c r="G44" s="25"/>
      <c r="H44" s="43"/>
      <c r="I44" s="50"/>
      <c r="J44" s="10"/>
      <c r="K44" s="50"/>
      <c r="L44" s="7"/>
      <c r="M44" s="50"/>
      <c r="N44" s="7"/>
      <c r="O44" s="50"/>
      <c r="P44" s="7"/>
      <c r="Q44" s="50"/>
      <c r="R44" s="7"/>
      <c r="S44" s="50"/>
      <c r="T44" s="7"/>
      <c r="U44" s="50"/>
      <c r="W44" s="18"/>
      <c r="X44" s="18"/>
      <c r="Y44" s="18"/>
      <c r="Z44" s="18"/>
      <c r="AA44" s="18"/>
    </row>
    <row r="45" spans="1:27" ht="24" customHeight="1" x14ac:dyDescent="0.3">
      <c r="A45" s="233"/>
      <c r="B45" s="24" t="s">
        <v>65</v>
      </c>
      <c r="C45" s="32"/>
      <c r="D45" s="32"/>
      <c r="E45" s="101"/>
      <c r="F45" s="22"/>
      <c r="G45" s="25"/>
      <c r="H45" s="43"/>
      <c r="I45" s="50"/>
      <c r="J45" s="10"/>
      <c r="K45" s="50"/>
      <c r="L45" s="7"/>
      <c r="M45" s="50"/>
      <c r="N45" s="7"/>
      <c r="O45" s="50"/>
      <c r="P45" s="7"/>
      <c r="Q45" s="50"/>
      <c r="R45" s="7"/>
      <c r="S45" s="50"/>
      <c r="T45" s="7"/>
      <c r="U45" s="50"/>
      <c r="W45" s="18"/>
      <c r="X45" s="18"/>
      <c r="Y45" s="18"/>
      <c r="Z45" s="18"/>
      <c r="AA45" s="18"/>
    </row>
    <row r="46" spans="1:27" ht="24" customHeight="1" x14ac:dyDescent="0.3">
      <c r="A46" s="233"/>
      <c r="B46" s="24" t="s">
        <v>67</v>
      </c>
      <c r="C46" s="32"/>
      <c r="D46" s="32"/>
      <c r="E46" s="54"/>
      <c r="F46" s="22"/>
      <c r="G46" s="25"/>
      <c r="H46" s="43"/>
      <c r="I46" s="50"/>
      <c r="J46" s="10"/>
      <c r="K46" s="50"/>
      <c r="L46" s="7"/>
      <c r="M46" s="50"/>
      <c r="N46" s="7"/>
      <c r="O46" s="50"/>
      <c r="P46" s="7"/>
      <c r="Q46" s="50"/>
      <c r="R46" s="7"/>
      <c r="S46" s="50"/>
      <c r="T46" s="7"/>
      <c r="U46" s="50"/>
      <c r="W46" s="18"/>
      <c r="X46" s="18"/>
      <c r="Y46" s="18"/>
      <c r="Z46" s="18"/>
      <c r="AA46" s="18"/>
    </row>
    <row r="47" spans="1:27" ht="24" customHeight="1" x14ac:dyDescent="0.3">
      <c r="A47" s="233"/>
      <c r="B47" s="24" t="s">
        <v>69</v>
      </c>
      <c r="C47" s="32">
        <v>1</v>
      </c>
      <c r="D47" s="32"/>
      <c r="E47" s="54"/>
      <c r="F47" s="22"/>
      <c r="G47" s="25"/>
      <c r="H47" s="43"/>
      <c r="I47" s="50"/>
      <c r="J47" s="10"/>
      <c r="K47" s="50"/>
      <c r="L47" s="7"/>
      <c r="M47" s="50"/>
      <c r="N47" s="7"/>
      <c r="O47" s="50"/>
      <c r="P47" s="7"/>
      <c r="Q47" s="50"/>
      <c r="R47" s="7"/>
      <c r="S47" s="50"/>
      <c r="T47" s="7"/>
      <c r="U47" s="50"/>
      <c r="W47" s="18"/>
      <c r="X47" s="18"/>
      <c r="Y47" s="18"/>
      <c r="Z47" s="18"/>
      <c r="AA47" s="18"/>
    </row>
    <row r="48" spans="1:27" ht="24" customHeight="1" x14ac:dyDescent="0.3">
      <c r="A48" s="233"/>
      <c r="B48" s="24" t="s">
        <v>80</v>
      </c>
      <c r="C48" s="32"/>
      <c r="D48" s="32"/>
      <c r="E48" s="54"/>
      <c r="F48" s="22"/>
      <c r="G48" s="25"/>
      <c r="H48" s="7"/>
      <c r="I48" s="50"/>
      <c r="J48" s="10"/>
      <c r="K48" s="50"/>
      <c r="L48" s="7"/>
      <c r="M48" s="50"/>
      <c r="N48" s="7"/>
      <c r="O48" s="50"/>
      <c r="P48" s="7"/>
      <c r="Q48" s="50"/>
      <c r="R48" s="7"/>
      <c r="S48" s="50"/>
      <c r="T48" s="7"/>
      <c r="U48" s="50"/>
      <c r="W48" s="18"/>
      <c r="X48" s="18"/>
      <c r="Y48" s="18"/>
      <c r="Z48" s="18"/>
      <c r="AA48" s="18"/>
    </row>
    <row r="49" spans="1:27" ht="24" customHeight="1" x14ac:dyDescent="0.3">
      <c r="A49" s="233"/>
      <c r="B49" s="24" t="s">
        <v>64</v>
      </c>
      <c r="C49" s="32"/>
      <c r="D49" s="32"/>
      <c r="E49" s="54"/>
      <c r="F49" s="22"/>
      <c r="G49" s="25"/>
      <c r="H49" s="10"/>
      <c r="I49" s="50"/>
      <c r="J49" s="10"/>
      <c r="K49" s="50"/>
      <c r="L49" s="7"/>
      <c r="M49" s="50"/>
      <c r="N49" s="7"/>
      <c r="O49" s="50"/>
      <c r="P49" s="7"/>
      <c r="Q49" s="50"/>
      <c r="R49" s="7"/>
      <c r="S49" s="50"/>
      <c r="T49" s="7"/>
      <c r="U49" s="50"/>
      <c r="W49" s="18"/>
      <c r="X49" s="18"/>
      <c r="Y49" s="18"/>
      <c r="Z49" s="18"/>
      <c r="AA49" s="18"/>
    </row>
    <row r="50" spans="1:27" ht="24" customHeight="1" x14ac:dyDescent="0.3">
      <c r="A50" s="233"/>
      <c r="B50" s="24" t="s">
        <v>59</v>
      </c>
      <c r="C50" s="32"/>
      <c r="D50" s="32"/>
      <c r="E50" s="54"/>
      <c r="F50" s="22"/>
      <c r="G50" s="25"/>
      <c r="H50" s="10"/>
      <c r="I50" s="50"/>
      <c r="J50" s="10"/>
      <c r="K50" s="50"/>
      <c r="L50" s="7"/>
      <c r="M50" s="50"/>
      <c r="N50" s="7"/>
      <c r="O50" s="50"/>
      <c r="P50" s="7"/>
      <c r="Q50" s="50"/>
      <c r="R50" s="7"/>
      <c r="S50" s="50"/>
      <c r="T50" s="7"/>
      <c r="U50" s="50"/>
      <c r="W50" s="18"/>
      <c r="X50" s="18"/>
      <c r="Y50" s="18"/>
      <c r="Z50" s="18"/>
      <c r="AA50" s="18"/>
    </row>
    <row r="51" spans="1:27" ht="24" customHeight="1" x14ac:dyDescent="0.3">
      <c r="A51" s="233"/>
      <c r="B51" s="24" t="s">
        <v>79</v>
      </c>
      <c r="C51" s="32"/>
      <c r="D51" s="32"/>
      <c r="E51" s="54"/>
      <c r="F51" s="22"/>
      <c r="G51" s="25"/>
      <c r="H51" s="7"/>
      <c r="I51" s="50"/>
      <c r="J51" s="10"/>
      <c r="K51" s="50"/>
      <c r="L51" s="7"/>
      <c r="M51" s="50"/>
      <c r="N51" s="7"/>
      <c r="O51" s="50"/>
      <c r="P51" s="7"/>
      <c r="Q51" s="50"/>
      <c r="R51" s="7"/>
      <c r="S51" s="50"/>
      <c r="T51" s="7"/>
      <c r="U51" s="50"/>
      <c r="W51" s="18"/>
      <c r="X51" s="18"/>
      <c r="Y51" s="18"/>
      <c r="Z51" s="18"/>
      <c r="AA51" s="18"/>
    </row>
    <row r="52" spans="1:27" ht="24" customHeight="1" x14ac:dyDescent="0.3">
      <c r="A52" s="233"/>
      <c r="B52" s="24" t="s">
        <v>60</v>
      </c>
      <c r="C52" s="32"/>
      <c r="D52" s="32"/>
      <c r="E52" s="54"/>
      <c r="F52" s="22"/>
      <c r="G52" s="25"/>
      <c r="H52" s="7"/>
      <c r="I52" s="50"/>
      <c r="J52" s="10"/>
      <c r="K52" s="50"/>
      <c r="L52" s="7"/>
      <c r="M52" s="50"/>
      <c r="N52" s="7"/>
      <c r="O52" s="50"/>
      <c r="P52" s="7"/>
      <c r="Q52" s="50"/>
      <c r="R52" s="7"/>
      <c r="S52" s="50"/>
      <c r="T52" s="7"/>
      <c r="U52" s="50"/>
      <c r="W52" s="18"/>
      <c r="X52" s="18"/>
      <c r="Y52" s="18"/>
      <c r="Z52" s="18"/>
      <c r="AA52" s="18"/>
    </row>
    <row r="53" spans="1:27" ht="24" customHeight="1" x14ac:dyDescent="0.3">
      <c r="A53" s="233"/>
      <c r="B53" s="24" t="s">
        <v>61</v>
      </c>
      <c r="C53" s="32"/>
      <c r="D53" s="32"/>
      <c r="E53" s="54"/>
      <c r="F53" s="22"/>
      <c r="G53" s="25"/>
      <c r="H53" s="43"/>
      <c r="I53" s="50"/>
      <c r="J53" s="10"/>
      <c r="K53" s="50"/>
      <c r="L53" s="7"/>
      <c r="M53" s="50"/>
      <c r="N53" s="7"/>
      <c r="O53" s="50"/>
      <c r="P53" s="7"/>
      <c r="Q53" s="50"/>
      <c r="R53" s="7"/>
      <c r="S53" s="50"/>
      <c r="T53" s="7"/>
      <c r="U53" s="50"/>
      <c r="W53" s="18"/>
      <c r="X53" s="18"/>
      <c r="Y53" s="18"/>
      <c r="Z53" s="18"/>
      <c r="AA53" s="18"/>
    </row>
    <row r="54" spans="1:27" ht="24" customHeight="1" x14ac:dyDescent="0.3">
      <c r="A54" s="233"/>
      <c r="B54" s="24" t="s">
        <v>84</v>
      </c>
      <c r="C54" s="32"/>
      <c r="D54" s="32"/>
      <c r="E54" s="54"/>
      <c r="F54" s="22"/>
      <c r="G54" s="25"/>
      <c r="H54" s="7"/>
      <c r="I54" s="50"/>
      <c r="J54" s="10"/>
      <c r="K54" s="50"/>
      <c r="L54" s="7"/>
      <c r="M54" s="50"/>
      <c r="N54" s="7"/>
      <c r="O54" s="50"/>
      <c r="P54" s="7"/>
      <c r="Q54" s="50"/>
      <c r="R54" s="7"/>
      <c r="S54" s="50"/>
      <c r="T54" s="7"/>
      <c r="U54" s="50"/>
      <c r="W54" s="18"/>
      <c r="X54" s="18"/>
      <c r="Y54" s="18"/>
      <c r="Z54" s="18"/>
      <c r="AA54" s="18"/>
    </row>
    <row r="55" spans="1:27" ht="24" customHeight="1" x14ac:dyDescent="0.3">
      <c r="A55" s="233"/>
      <c r="B55" s="74" t="s">
        <v>47</v>
      </c>
      <c r="C55" s="32"/>
      <c r="D55" s="32"/>
      <c r="E55" s="54"/>
      <c r="F55" s="22"/>
      <c r="G55" s="25"/>
      <c r="H55" s="7"/>
      <c r="I55" s="50"/>
      <c r="J55" s="10"/>
      <c r="K55" s="50"/>
      <c r="L55" s="7"/>
      <c r="M55" s="50"/>
      <c r="N55" s="7"/>
      <c r="O55" s="50"/>
      <c r="P55" s="7"/>
      <c r="Q55" s="50"/>
      <c r="R55" s="7"/>
      <c r="S55" s="50"/>
      <c r="T55" s="7"/>
      <c r="U55" s="50"/>
      <c r="W55" s="18"/>
      <c r="X55" s="18"/>
      <c r="Y55" s="18"/>
      <c r="Z55" s="18"/>
      <c r="AA55" s="18"/>
    </row>
    <row r="56" spans="1:27" ht="24" customHeight="1" x14ac:dyDescent="0.3">
      <c r="A56" s="233"/>
      <c r="B56" s="74" t="s">
        <v>92</v>
      </c>
      <c r="C56" s="32"/>
      <c r="D56" s="32"/>
      <c r="E56" s="54"/>
      <c r="F56" s="22"/>
      <c r="G56" s="25"/>
      <c r="H56" s="7"/>
      <c r="I56" s="50"/>
      <c r="J56" s="10"/>
      <c r="K56" s="50"/>
      <c r="L56" s="7"/>
      <c r="M56" s="50"/>
      <c r="N56" s="7"/>
      <c r="O56" s="50"/>
      <c r="P56" s="7"/>
      <c r="Q56" s="50"/>
      <c r="R56" s="7"/>
      <c r="S56" s="50"/>
      <c r="T56" s="7"/>
      <c r="U56" s="50"/>
      <c r="W56" s="18"/>
      <c r="X56" s="18"/>
      <c r="Y56" s="18"/>
      <c r="Z56" s="18"/>
      <c r="AA56" s="18"/>
    </row>
    <row r="57" spans="1:27" ht="24" customHeight="1" x14ac:dyDescent="0.3">
      <c r="A57" s="233"/>
      <c r="B57" s="74" t="s">
        <v>45</v>
      </c>
      <c r="C57" s="32"/>
      <c r="D57" s="32"/>
      <c r="E57" s="54"/>
      <c r="F57" s="22"/>
      <c r="G57" s="25"/>
      <c r="H57" s="7"/>
      <c r="I57" s="50"/>
      <c r="J57" s="10"/>
      <c r="K57" s="50"/>
      <c r="L57" s="7"/>
      <c r="M57" s="50"/>
      <c r="N57" s="7"/>
      <c r="O57" s="50"/>
      <c r="P57" s="7"/>
      <c r="Q57" s="50"/>
      <c r="R57" s="7"/>
      <c r="S57" s="50"/>
      <c r="T57" s="7"/>
      <c r="U57" s="50"/>
      <c r="W57" s="18"/>
      <c r="X57" s="18"/>
      <c r="Y57" s="18"/>
      <c r="Z57" s="18"/>
      <c r="AA57" s="18"/>
    </row>
    <row r="58" spans="1:27" ht="27" thickBot="1" x14ac:dyDescent="0.35">
      <c r="A58" s="233"/>
      <c r="B58" s="26"/>
      <c r="C58" s="27">
        <f>SUM(C32:C57)</f>
        <v>9</v>
      </c>
      <c r="D58" s="27">
        <f>SUM(D32:D57)</f>
        <v>0</v>
      </c>
      <c r="E58" s="27">
        <f>SUM(E32:E57)</f>
        <v>0</v>
      </c>
      <c r="F58" s="27">
        <f>SUM(F32:F57)</f>
        <v>0</v>
      </c>
      <c r="G58" s="108"/>
      <c r="H58" s="2">
        <f t="shared" ref="H58:U58" si="2">SUM(H32:H57)</f>
        <v>0</v>
      </c>
      <c r="I58" s="2">
        <f t="shared" si="2"/>
        <v>0</v>
      </c>
      <c r="J58" s="2">
        <f t="shared" si="2"/>
        <v>0</v>
      </c>
      <c r="K58" s="2">
        <f t="shared" si="2"/>
        <v>0</v>
      </c>
      <c r="L58" s="2">
        <f t="shared" si="2"/>
        <v>0</v>
      </c>
      <c r="M58" s="2">
        <f t="shared" si="2"/>
        <v>0</v>
      </c>
      <c r="N58" s="2">
        <f t="shared" si="2"/>
        <v>0</v>
      </c>
      <c r="O58" s="2">
        <f t="shared" si="2"/>
        <v>0</v>
      </c>
      <c r="P58" s="2">
        <f t="shared" si="2"/>
        <v>0</v>
      </c>
      <c r="Q58" s="2">
        <f t="shared" si="2"/>
        <v>0</v>
      </c>
      <c r="R58" s="2">
        <f t="shared" si="2"/>
        <v>0</v>
      </c>
      <c r="S58" s="2">
        <f t="shared" si="2"/>
        <v>0</v>
      </c>
      <c r="T58" s="2">
        <f t="shared" si="2"/>
        <v>0</v>
      </c>
      <c r="U58" s="2">
        <f t="shared" si="2"/>
        <v>0</v>
      </c>
    </row>
    <row r="59" spans="1:27" ht="24" customHeight="1" thickTop="1" x14ac:dyDescent="0.3">
      <c r="A59" s="252" t="s">
        <v>13</v>
      </c>
      <c r="B59" s="3" t="s">
        <v>28</v>
      </c>
      <c r="C59" s="7"/>
      <c r="D59" s="7"/>
      <c r="E59" s="50"/>
      <c r="F59" s="50"/>
      <c r="G59" s="108"/>
      <c r="H59" s="7"/>
      <c r="I59" s="50"/>
      <c r="J59" s="10"/>
      <c r="K59" s="50"/>
      <c r="L59" s="7"/>
      <c r="M59" s="50"/>
      <c r="N59" s="7"/>
      <c r="O59" s="50"/>
      <c r="P59" s="7"/>
      <c r="Q59" s="50"/>
      <c r="R59" s="7"/>
      <c r="S59" s="50"/>
      <c r="T59" s="7"/>
      <c r="U59" s="50"/>
    </row>
    <row r="60" spans="1:27" ht="24" customHeight="1" x14ac:dyDescent="0.3">
      <c r="A60" s="252"/>
      <c r="B60" s="3" t="s">
        <v>29</v>
      </c>
      <c r="C60" s="7"/>
      <c r="D60" s="7"/>
      <c r="E60" s="50"/>
      <c r="F60" s="50"/>
      <c r="G60" s="108"/>
      <c r="H60" s="7"/>
      <c r="I60" s="50"/>
      <c r="J60" s="10"/>
      <c r="K60" s="50"/>
      <c r="L60" s="7"/>
      <c r="M60" s="50"/>
      <c r="N60" s="7"/>
      <c r="O60" s="50"/>
      <c r="P60" s="7"/>
      <c r="Q60" s="50"/>
      <c r="R60" s="7"/>
      <c r="S60" s="50"/>
      <c r="T60" s="7"/>
      <c r="U60" s="50"/>
    </row>
    <row r="61" spans="1:27" ht="24" customHeight="1" x14ac:dyDescent="0.3">
      <c r="A61" s="252"/>
      <c r="B61" s="3" t="s">
        <v>35</v>
      </c>
      <c r="C61" s="7"/>
      <c r="D61" s="7"/>
      <c r="E61" s="50"/>
      <c r="F61" s="50"/>
      <c r="G61" s="108"/>
      <c r="H61" s="7"/>
      <c r="I61" s="50"/>
      <c r="J61" s="10"/>
      <c r="K61" s="50"/>
      <c r="L61" s="7"/>
      <c r="M61" s="50"/>
      <c r="N61" s="7"/>
      <c r="O61" s="50"/>
      <c r="P61" s="7"/>
      <c r="Q61" s="50"/>
      <c r="R61" s="7"/>
      <c r="S61" s="50"/>
      <c r="T61" s="7"/>
      <c r="U61" s="50"/>
    </row>
    <row r="62" spans="1:27" ht="24" customHeight="1" x14ac:dyDescent="0.3">
      <c r="A62" s="252"/>
      <c r="B62" s="3" t="s">
        <v>33</v>
      </c>
      <c r="C62" s="7"/>
      <c r="D62" s="7"/>
      <c r="E62" s="50"/>
      <c r="F62" s="50"/>
      <c r="G62" s="108"/>
      <c r="H62" s="7"/>
      <c r="I62" s="50"/>
      <c r="J62" s="10"/>
      <c r="K62" s="50"/>
      <c r="L62" s="7"/>
      <c r="M62" s="50"/>
      <c r="N62" s="7"/>
      <c r="O62" s="50"/>
      <c r="P62" s="7"/>
      <c r="Q62" s="50"/>
      <c r="R62" s="7"/>
      <c r="S62" s="50"/>
      <c r="T62" s="7"/>
      <c r="U62" s="50"/>
    </row>
    <row r="63" spans="1:27" ht="24" customHeight="1" x14ac:dyDescent="0.3">
      <c r="A63" s="252"/>
      <c r="B63" s="3" t="s">
        <v>30</v>
      </c>
      <c r="C63" s="7"/>
      <c r="D63" s="7"/>
      <c r="E63" s="50"/>
      <c r="F63" s="50"/>
      <c r="G63" s="108"/>
      <c r="H63" s="7"/>
      <c r="I63" s="50"/>
      <c r="J63" s="10"/>
      <c r="K63" s="50"/>
      <c r="L63" s="7"/>
      <c r="M63" s="50"/>
      <c r="N63" s="7"/>
      <c r="O63" s="50"/>
      <c r="P63" s="7"/>
      <c r="Q63" s="50"/>
      <c r="R63" s="7"/>
      <c r="S63" s="50"/>
      <c r="T63" s="7"/>
      <c r="U63" s="50"/>
    </row>
    <row r="64" spans="1:27" ht="24" customHeight="1" x14ac:dyDescent="0.3">
      <c r="A64" s="252"/>
      <c r="B64" s="3" t="s">
        <v>31</v>
      </c>
      <c r="C64" s="7"/>
      <c r="D64" s="7"/>
      <c r="E64" s="50"/>
      <c r="F64" s="50"/>
      <c r="G64" s="108"/>
      <c r="H64" s="7"/>
      <c r="I64" s="50"/>
      <c r="J64" s="10"/>
      <c r="K64" s="50"/>
      <c r="L64" s="7"/>
      <c r="M64" s="50"/>
      <c r="N64" s="7"/>
      <c r="O64" s="50"/>
      <c r="P64" s="7"/>
      <c r="Q64" s="50"/>
      <c r="R64" s="7"/>
      <c r="S64" s="50"/>
      <c r="T64" s="7"/>
      <c r="U64" s="50"/>
    </row>
    <row r="65" spans="1:39" ht="24" customHeight="1" x14ac:dyDescent="0.3">
      <c r="A65" s="252"/>
      <c r="B65" s="3" t="s">
        <v>32</v>
      </c>
      <c r="C65" s="7"/>
      <c r="D65" s="7"/>
      <c r="E65" s="50"/>
      <c r="F65" s="50"/>
      <c r="G65" s="108"/>
      <c r="H65" s="7"/>
      <c r="I65" s="50"/>
      <c r="J65" s="10"/>
      <c r="K65" s="50"/>
      <c r="L65" s="7"/>
      <c r="M65" s="50"/>
      <c r="N65" s="7"/>
      <c r="O65" s="50"/>
      <c r="P65" s="7"/>
      <c r="Q65" s="50"/>
      <c r="R65" s="7"/>
      <c r="S65" s="50"/>
      <c r="T65" s="7"/>
      <c r="U65" s="50"/>
    </row>
    <row r="66" spans="1:39" ht="24" customHeight="1" x14ac:dyDescent="0.3">
      <c r="A66" s="252"/>
      <c r="B66" s="99" t="s">
        <v>93</v>
      </c>
      <c r="C66" s="7"/>
      <c r="D66" s="7"/>
      <c r="E66" s="50"/>
      <c r="F66" s="50"/>
      <c r="G66" s="108"/>
      <c r="H66" s="7"/>
      <c r="I66" s="50"/>
      <c r="J66" s="10"/>
      <c r="K66" s="50"/>
      <c r="L66" s="7"/>
      <c r="M66" s="50"/>
      <c r="N66" s="7"/>
      <c r="O66" s="50"/>
      <c r="P66" s="7"/>
      <c r="Q66" s="50"/>
      <c r="R66" s="7"/>
      <c r="S66" s="50"/>
      <c r="T66" s="7"/>
      <c r="U66" s="50"/>
    </row>
    <row r="67" spans="1:39" ht="26.25" x14ac:dyDescent="0.3">
      <c r="A67" s="253"/>
      <c r="B67" s="36"/>
      <c r="C67" s="17">
        <f>SUM(C59:C66)</f>
        <v>0</v>
      </c>
      <c r="D67" s="17">
        <f>SUM(D59:D66)</f>
        <v>0</v>
      </c>
      <c r="E67" s="17">
        <f>SUM(E59:E66)</f>
        <v>0</v>
      </c>
      <c r="F67" s="17">
        <f>SUM(F59:F66)</f>
        <v>0</v>
      </c>
      <c r="G67" s="108"/>
      <c r="H67" s="17">
        <f t="shared" ref="H67:S67" si="3">SUM(H59:H66)</f>
        <v>0</v>
      </c>
      <c r="I67" s="17">
        <f t="shared" si="3"/>
        <v>0</v>
      </c>
      <c r="J67" s="17">
        <f t="shared" si="3"/>
        <v>0</v>
      </c>
      <c r="K67" s="17">
        <f t="shared" si="3"/>
        <v>0</v>
      </c>
      <c r="L67" s="17">
        <f t="shared" si="3"/>
        <v>0</v>
      </c>
      <c r="M67" s="17">
        <f t="shared" si="3"/>
        <v>0</v>
      </c>
      <c r="N67" s="17">
        <f t="shared" si="3"/>
        <v>0</v>
      </c>
      <c r="O67" s="17">
        <f t="shared" si="3"/>
        <v>0</v>
      </c>
      <c r="P67" s="17">
        <f t="shared" si="3"/>
        <v>0</v>
      </c>
      <c r="Q67" s="17">
        <f t="shared" si="3"/>
        <v>0</v>
      </c>
      <c r="R67" s="17">
        <f t="shared" si="3"/>
        <v>0</v>
      </c>
      <c r="S67" s="17">
        <f t="shared" si="3"/>
        <v>0</v>
      </c>
      <c r="T67" s="17">
        <f>SUM(T59:T66)</f>
        <v>0</v>
      </c>
      <c r="U67" s="17">
        <f>SUM(U59:U66)</f>
        <v>0</v>
      </c>
      <c r="AA67" s="254"/>
      <c r="AB67" s="254"/>
      <c r="AC67" s="254"/>
      <c r="AD67" s="254"/>
      <c r="AF67" s="234"/>
      <c r="AG67" s="234"/>
      <c r="AH67" s="234"/>
      <c r="AI67" s="234"/>
      <c r="AJ67" s="234"/>
      <c r="AL67" s="234"/>
      <c r="AM67" s="234"/>
    </row>
    <row r="69" spans="1:39" ht="19.5" customHeight="1" x14ac:dyDescent="0.35">
      <c r="A69" s="235" t="s">
        <v>23</v>
      </c>
      <c r="B69" s="235"/>
      <c r="C69" s="20">
        <v>41000</v>
      </c>
      <c r="D69" s="20">
        <v>4100</v>
      </c>
      <c r="E69" s="20">
        <v>55000</v>
      </c>
      <c r="F69" s="20">
        <v>5500</v>
      </c>
      <c r="H69" s="19">
        <v>5500</v>
      </c>
      <c r="I69" s="19">
        <v>4100</v>
      </c>
      <c r="J69" s="19">
        <v>6800</v>
      </c>
      <c r="K69" s="20">
        <v>5200</v>
      </c>
      <c r="L69" s="20">
        <v>20700</v>
      </c>
      <c r="M69" s="20">
        <v>6400</v>
      </c>
      <c r="N69" s="19">
        <v>18700</v>
      </c>
      <c r="O69" s="20">
        <v>21700</v>
      </c>
      <c r="P69" s="106">
        <v>8300</v>
      </c>
      <c r="Q69" s="19">
        <v>15200</v>
      </c>
      <c r="R69" s="20">
        <v>13100</v>
      </c>
      <c r="S69" s="19">
        <v>8500</v>
      </c>
      <c r="T69" s="19">
        <v>8500</v>
      </c>
      <c r="U69" s="19">
        <v>8500</v>
      </c>
      <c r="W69" s="236">
        <f>P72*0.85</f>
        <v>318070</v>
      </c>
      <c r="X69" s="237"/>
      <c r="Y69" s="238"/>
      <c r="AA69" s="242">
        <f>P74-P72</f>
        <v>0</v>
      </c>
      <c r="AB69" s="243"/>
      <c r="AC69" s="243"/>
      <c r="AD69" s="243"/>
      <c r="AF69" s="234"/>
      <c r="AG69" s="234"/>
      <c r="AH69" s="234"/>
      <c r="AI69" s="234"/>
      <c r="AJ69" s="234"/>
      <c r="AL69" s="234"/>
      <c r="AM69" s="234"/>
    </row>
    <row r="70" spans="1:39" ht="19.5" customHeight="1" x14ac:dyDescent="0.35">
      <c r="A70" s="235" t="s">
        <v>24</v>
      </c>
      <c r="B70" s="235"/>
      <c r="C70" s="20">
        <f>C69*C3</f>
        <v>369000</v>
      </c>
      <c r="D70" s="20">
        <f>D69*D3</f>
        <v>0</v>
      </c>
      <c r="E70" s="20">
        <f>E69*E3</f>
        <v>0</v>
      </c>
      <c r="F70" s="20">
        <f>F69*F3</f>
        <v>0</v>
      </c>
      <c r="H70" s="20">
        <f t="shared" ref="H70:U70" si="4">H69*H3</f>
        <v>0</v>
      </c>
      <c r="I70" s="20">
        <f t="shared" si="4"/>
        <v>0</v>
      </c>
      <c r="J70" s="20">
        <f t="shared" si="4"/>
        <v>0</v>
      </c>
      <c r="K70" s="20">
        <f t="shared" si="4"/>
        <v>5200</v>
      </c>
      <c r="L70" s="20">
        <f t="shared" si="4"/>
        <v>0</v>
      </c>
      <c r="M70" s="20">
        <f t="shared" si="4"/>
        <v>0</v>
      </c>
      <c r="N70" s="20">
        <f t="shared" si="4"/>
        <v>0</v>
      </c>
      <c r="O70" s="20">
        <f t="shared" si="4"/>
        <v>0</v>
      </c>
      <c r="P70" s="20">
        <f t="shared" si="4"/>
        <v>0</v>
      </c>
      <c r="Q70" s="20">
        <f t="shared" si="4"/>
        <v>0</v>
      </c>
      <c r="R70" s="20">
        <f t="shared" si="4"/>
        <v>0</v>
      </c>
      <c r="S70" s="20">
        <f t="shared" si="4"/>
        <v>0</v>
      </c>
      <c r="T70" s="20">
        <f t="shared" si="4"/>
        <v>0</v>
      </c>
      <c r="U70" s="20">
        <f t="shared" si="4"/>
        <v>0</v>
      </c>
      <c r="W70" s="239"/>
      <c r="X70" s="240"/>
      <c r="Y70" s="241"/>
      <c r="AA70" s="243"/>
      <c r="AB70" s="243"/>
      <c r="AC70" s="243"/>
      <c r="AD70" s="243"/>
      <c r="AF70" s="234"/>
      <c r="AG70" s="234"/>
      <c r="AH70" s="234"/>
      <c r="AI70" s="234"/>
      <c r="AJ70" s="234"/>
      <c r="AL70" s="234"/>
      <c r="AM70" s="234"/>
    </row>
    <row r="72" spans="1:39" ht="26.25" x14ac:dyDescent="0.3">
      <c r="P72" s="259">
        <f>SUM(C70:U70)</f>
        <v>374200</v>
      </c>
      <c r="Q72" s="260"/>
      <c r="W72" s="247"/>
      <c r="X72" s="248"/>
      <c r="Y72" s="248"/>
      <c r="AA72" s="249"/>
      <c r="AB72" s="250"/>
      <c r="AC72" s="250"/>
      <c r="AD72" s="251"/>
    </row>
    <row r="74" spans="1:39" ht="26.25" x14ac:dyDescent="0.3">
      <c r="C74" s="244"/>
      <c r="D74" s="245"/>
      <c r="P74" s="246">
        <v>374200</v>
      </c>
      <c r="Q74" s="246"/>
      <c r="W74" s="247">
        <f>P74*0.85</f>
        <v>318070</v>
      </c>
      <c r="X74" s="248"/>
      <c r="Y74" s="248"/>
      <c r="AA74" s="249"/>
      <c r="AB74" s="250"/>
      <c r="AC74" s="250"/>
      <c r="AD74" s="251"/>
    </row>
    <row r="75" spans="1:39" x14ac:dyDescent="0.3">
      <c r="Q75" s="18"/>
      <c r="S75" s="18"/>
      <c r="U75" s="18"/>
      <c r="W75" s="245"/>
      <c r="X75" s="245"/>
      <c r="Y75" s="245"/>
      <c r="AA75" s="255"/>
      <c r="AB75" s="256"/>
      <c r="AC75" s="256"/>
      <c r="AD75" s="256"/>
    </row>
    <row r="76" spans="1:39" x14ac:dyDescent="0.3">
      <c r="P76" s="244"/>
      <c r="Q76" s="245"/>
      <c r="W76" s="245"/>
      <c r="X76" s="245"/>
      <c r="Y76" s="245"/>
      <c r="AA76" s="245"/>
      <c r="AB76" s="245"/>
      <c r="AC76" s="245"/>
      <c r="AD76" s="245"/>
    </row>
    <row r="77" spans="1:39" x14ac:dyDescent="0.3">
      <c r="P77" s="245"/>
      <c r="Q77" s="245"/>
      <c r="W77" s="245"/>
      <c r="X77" s="245"/>
      <c r="Y77" s="245"/>
      <c r="AA77" s="245"/>
      <c r="AB77" s="245"/>
      <c r="AC77" s="245"/>
      <c r="AD77" s="245"/>
    </row>
    <row r="78" spans="1:39" x14ac:dyDescent="0.3">
      <c r="P78" s="18"/>
      <c r="Q78" s="18"/>
      <c r="S78" s="18"/>
      <c r="U78" s="18"/>
      <c r="AA78" s="245"/>
      <c r="AB78" s="245"/>
      <c r="AC78" s="245"/>
      <c r="AD78" s="245"/>
    </row>
    <row r="79" spans="1:39" x14ac:dyDescent="0.3">
      <c r="C79">
        <f>C69*0.85</f>
        <v>34850</v>
      </c>
      <c r="D79">
        <f t="shared" ref="D79:R79" si="5">D69*0.85</f>
        <v>3485</v>
      </c>
      <c r="E79">
        <f t="shared" si="5"/>
        <v>46750</v>
      </c>
      <c r="F79">
        <f t="shared" si="5"/>
        <v>4675</v>
      </c>
      <c r="H79">
        <f t="shared" si="5"/>
        <v>4675</v>
      </c>
      <c r="I79">
        <f t="shared" si="5"/>
        <v>3485</v>
      </c>
      <c r="J79">
        <f t="shared" si="5"/>
        <v>5780</v>
      </c>
      <c r="K79">
        <f t="shared" si="5"/>
        <v>4420</v>
      </c>
      <c r="L79">
        <f t="shared" si="5"/>
        <v>17595</v>
      </c>
      <c r="M79">
        <f t="shared" si="5"/>
        <v>5440</v>
      </c>
      <c r="N79">
        <f t="shared" si="5"/>
        <v>15895</v>
      </c>
      <c r="O79">
        <f t="shared" si="5"/>
        <v>18445</v>
      </c>
      <c r="P79">
        <f t="shared" si="5"/>
        <v>7055</v>
      </c>
      <c r="Q79">
        <f t="shared" si="5"/>
        <v>12920</v>
      </c>
      <c r="R79">
        <f t="shared" si="5"/>
        <v>11135</v>
      </c>
      <c r="S79">
        <f>S69*0.85</f>
        <v>7225</v>
      </c>
      <c r="T79">
        <f>T69*0.85</f>
        <v>7225</v>
      </c>
      <c r="U79">
        <f>U69*0.85</f>
        <v>7225</v>
      </c>
    </row>
    <row r="80" spans="1:39" x14ac:dyDescent="0.3">
      <c r="C80">
        <v>29500</v>
      </c>
      <c r="D80">
        <v>2950</v>
      </c>
      <c r="E80">
        <v>51000</v>
      </c>
      <c r="F80">
        <v>5100</v>
      </c>
      <c r="H80">
        <v>3600</v>
      </c>
      <c r="I80">
        <v>2950</v>
      </c>
      <c r="J80">
        <v>4000</v>
      </c>
      <c r="K80">
        <v>4200</v>
      </c>
      <c r="L80">
        <v>15000</v>
      </c>
      <c r="M80">
        <v>4500</v>
      </c>
      <c r="N80">
        <v>9500</v>
      </c>
      <c r="O80">
        <v>12000</v>
      </c>
      <c r="P80">
        <v>8000</v>
      </c>
      <c r="Q80">
        <v>12000</v>
      </c>
      <c r="R80">
        <v>8500</v>
      </c>
    </row>
    <row r="81" spans="3:30" x14ac:dyDescent="0.3">
      <c r="C81">
        <f>C79-C80</f>
        <v>5350</v>
      </c>
      <c r="D81">
        <f t="shared" ref="D81:R81" si="6">D79-D80</f>
        <v>535</v>
      </c>
      <c r="E81">
        <f t="shared" si="6"/>
        <v>-4250</v>
      </c>
      <c r="F81">
        <f t="shared" si="6"/>
        <v>-425</v>
      </c>
      <c r="H81">
        <f t="shared" si="6"/>
        <v>1075</v>
      </c>
      <c r="I81">
        <f t="shared" si="6"/>
        <v>535</v>
      </c>
      <c r="J81">
        <f t="shared" si="6"/>
        <v>1780</v>
      </c>
      <c r="K81">
        <f t="shared" si="6"/>
        <v>220</v>
      </c>
      <c r="L81">
        <f t="shared" si="6"/>
        <v>2595</v>
      </c>
      <c r="M81">
        <f t="shared" si="6"/>
        <v>940</v>
      </c>
      <c r="N81">
        <f t="shared" si="6"/>
        <v>6395</v>
      </c>
      <c r="O81">
        <f t="shared" si="6"/>
        <v>6445</v>
      </c>
      <c r="P81">
        <f t="shared" si="6"/>
        <v>-945</v>
      </c>
      <c r="Q81">
        <f t="shared" si="6"/>
        <v>920</v>
      </c>
      <c r="R81">
        <f t="shared" si="6"/>
        <v>2635</v>
      </c>
    </row>
    <row r="82" spans="3:30" x14ac:dyDescent="0.3">
      <c r="C82">
        <f>C81*C3</f>
        <v>48150</v>
      </c>
      <c r="D82">
        <f t="shared" ref="D82:R82" si="7">D81*D3</f>
        <v>0</v>
      </c>
      <c r="E82">
        <f t="shared" si="7"/>
        <v>0</v>
      </c>
      <c r="F82">
        <f t="shared" si="7"/>
        <v>0</v>
      </c>
      <c r="G82">
        <f t="shared" si="7"/>
        <v>0</v>
      </c>
      <c r="H82">
        <f t="shared" si="7"/>
        <v>0</v>
      </c>
      <c r="I82">
        <f t="shared" si="7"/>
        <v>0</v>
      </c>
      <c r="J82">
        <f t="shared" si="7"/>
        <v>0</v>
      </c>
      <c r="K82">
        <f t="shared" si="7"/>
        <v>220</v>
      </c>
      <c r="L82">
        <f t="shared" si="7"/>
        <v>0</v>
      </c>
      <c r="M82">
        <f t="shared" si="7"/>
        <v>0</v>
      </c>
      <c r="N82">
        <f t="shared" si="7"/>
        <v>0</v>
      </c>
      <c r="O82">
        <f t="shared" si="7"/>
        <v>0</v>
      </c>
      <c r="P82">
        <f t="shared" si="7"/>
        <v>0</v>
      </c>
      <c r="Q82">
        <f t="shared" si="7"/>
        <v>0</v>
      </c>
      <c r="R82">
        <f t="shared" si="7"/>
        <v>0</v>
      </c>
      <c r="Z82" s="245"/>
      <c r="AA82" s="245"/>
      <c r="AB82" s="245"/>
      <c r="AC82" s="245"/>
      <c r="AD82" s="245"/>
    </row>
    <row r="83" spans="3:30" x14ac:dyDescent="0.3">
      <c r="Z83" s="245"/>
      <c r="AA83" s="245"/>
      <c r="AB83" s="245"/>
      <c r="AC83" s="245"/>
      <c r="AD83" s="245"/>
    </row>
    <row r="84" spans="3:30" ht="26.25" x14ac:dyDescent="0.3">
      <c r="P84" s="257">
        <f>SUM(C82:R82)</f>
        <v>48370</v>
      </c>
      <c r="Q84" s="258"/>
    </row>
  </sheetData>
  <mergeCells count="28">
    <mergeCell ref="A1:B2"/>
    <mergeCell ref="C1:D1"/>
    <mergeCell ref="E1:F1"/>
    <mergeCell ref="A4:A31"/>
    <mergeCell ref="X28:AB28"/>
    <mergeCell ref="A32:A58"/>
    <mergeCell ref="AF67:AJ67"/>
    <mergeCell ref="AL67:AM67"/>
    <mergeCell ref="A69:B69"/>
    <mergeCell ref="W69:Y70"/>
    <mergeCell ref="AA69:AD70"/>
    <mergeCell ref="AF69:AJ70"/>
    <mergeCell ref="AL69:AM70"/>
    <mergeCell ref="A70:B70"/>
    <mergeCell ref="C74:D74"/>
    <mergeCell ref="P74:Q74"/>
    <mergeCell ref="W74:Y74"/>
    <mergeCell ref="AA74:AD74"/>
    <mergeCell ref="A59:A67"/>
    <mergeCell ref="AA67:AD67"/>
    <mergeCell ref="W75:Y77"/>
    <mergeCell ref="AA75:AD78"/>
    <mergeCell ref="P76:Q77"/>
    <mergeCell ref="Z82:AD83"/>
    <mergeCell ref="P84:Q84"/>
    <mergeCell ref="P72:Q72"/>
    <mergeCell ref="W72:Y72"/>
    <mergeCell ref="AA72:AD72"/>
  </mergeCells>
  <phoneticPr fontId="32" type="noConversion"/>
  <conditionalFormatting sqref="B7:B11">
    <cfRule type="duplicateValues" dxfId="213" priority="2"/>
  </conditionalFormatting>
  <conditionalFormatting sqref="B59:B66">
    <cfRule type="duplicateValues" dxfId="212" priority="3"/>
  </conditionalFormatting>
  <conditionalFormatting sqref="B12">
    <cfRule type="duplicateValues" dxfId="211" priority="1"/>
  </conditionalFormatting>
  <conditionalFormatting sqref="B4:B6 B13:B30">
    <cfRule type="expression" dxfId="210" priority="5" stopIfTrue="1">
      <formula>AND(COUNTIF($B$4:$B$6, B4)+COUNTIF($B$13:$B$30, B4)&gt;1,NOT(ISBLANK(B4)))</formula>
    </cfRule>
  </conditionalFormatting>
  <conditionalFormatting sqref="B32:B57">
    <cfRule type="duplicateValues" dxfId="209" priority="4"/>
  </conditionalFormatting>
  <printOptions horizontalCentered="1" verticalCentered="1"/>
  <pageMargins left="0" right="0" top="7.874015748031496E-2" bottom="7.874015748031496E-2" header="0" footer="0"/>
  <pageSetup paperSize="9" scale="2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V17"/>
  <sheetViews>
    <sheetView zoomScale="70" zoomScaleNormal="70" workbookViewId="0">
      <pane ySplit="3" topLeftCell="A4" activePane="bottomLeft" state="frozen"/>
      <selection activeCell="X4" sqref="X4"/>
      <selection pane="bottomLeft" activeCell="X4" sqref="X4"/>
    </sheetView>
  </sheetViews>
  <sheetFormatPr defaultRowHeight="16.5" x14ac:dyDescent="0.3"/>
  <cols>
    <col min="1" max="1" width="32.875" customWidth="1"/>
    <col min="2" max="6" width="10" customWidth="1"/>
    <col min="7" max="7" width="5.75" customWidth="1"/>
    <col min="8" max="8" width="18.5" customWidth="1"/>
    <col min="9" max="22" width="10.875" customWidth="1"/>
  </cols>
  <sheetData>
    <row r="1" spans="1:22" ht="113.25" customHeight="1" x14ac:dyDescent="0.3">
      <c r="A1" s="222" t="s">
        <v>109</v>
      </c>
      <c r="B1" s="223"/>
      <c r="C1" s="267" t="s">
        <v>97</v>
      </c>
      <c r="D1" s="268"/>
      <c r="E1" s="228" t="s">
        <v>98</v>
      </c>
      <c r="F1" s="228"/>
      <c r="G1" s="8"/>
      <c r="H1" s="269" t="s">
        <v>18</v>
      </c>
      <c r="I1" s="72" t="s">
        <v>20</v>
      </c>
      <c r="J1" s="107" t="s">
        <v>21</v>
      </c>
      <c r="K1" s="5" t="s">
        <v>101</v>
      </c>
      <c r="L1" s="107" t="s">
        <v>100</v>
      </c>
      <c r="M1" s="5" t="s">
        <v>96</v>
      </c>
      <c r="N1" s="107" t="s">
        <v>99</v>
      </c>
      <c r="O1" s="5" t="s">
        <v>102</v>
      </c>
      <c r="P1" s="107" t="s">
        <v>103</v>
      </c>
      <c r="Q1" s="5" t="s">
        <v>104</v>
      </c>
      <c r="R1" s="107" t="s">
        <v>105</v>
      </c>
      <c r="S1" s="5" t="s">
        <v>106</v>
      </c>
      <c r="T1" s="107" t="s">
        <v>85</v>
      </c>
      <c r="U1" s="5" t="s">
        <v>86</v>
      </c>
      <c r="V1" s="107" t="s">
        <v>88</v>
      </c>
    </row>
    <row r="2" spans="1:22" ht="43.5" customHeight="1" x14ac:dyDescent="0.3">
      <c r="A2" s="224"/>
      <c r="B2" s="225"/>
      <c r="C2" s="73" t="s">
        <v>2</v>
      </c>
      <c r="D2" s="73" t="s">
        <v>22</v>
      </c>
      <c r="E2" s="1" t="s">
        <v>2</v>
      </c>
      <c r="F2" s="1" t="s">
        <v>1</v>
      </c>
      <c r="G2" s="9"/>
      <c r="H2" s="270"/>
      <c r="I2" s="6" t="s">
        <v>3</v>
      </c>
      <c r="J2" s="1" t="s">
        <v>1</v>
      </c>
      <c r="K2" s="6" t="s">
        <v>3</v>
      </c>
      <c r="L2" s="1" t="s">
        <v>1</v>
      </c>
      <c r="M2" s="6" t="s">
        <v>3</v>
      </c>
      <c r="N2" s="1" t="s">
        <v>1</v>
      </c>
      <c r="O2" s="6" t="s">
        <v>3</v>
      </c>
      <c r="P2" s="1" t="s">
        <v>1</v>
      </c>
      <c r="Q2" s="6" t="s">
        <v>3</v>
      </c>
      <c r="R2" s="1" t="s">
        <v>1</v>
      </c>
      <c r="S2" s="6" t="s">
        <v>3</v>
      </c>
      <c r="T2" s="1" t="s">
        <v>1</v>
      </c>
      <c r="U2" s="6" t="s">
        <v>3</v>
      </c>
      <c r="V2" s="1" t="s">
        <v>3</v>
      </c>
    </row>
    <row r="3" spans="1:22" ht="39" customHeight="1" thickBot="1" x14ac:dyDescent="0.35">
      <c r="A3" s="271" t="s">
        <v>10</v>
      </c>
      <c r="B3" s="272"/>
      <c r="C3" s="44">
        <f>SUM(C4:C19)</f>
        <v>9</v>
      </c>
      <c r="D3" s="44">
        <f>SUM(D4:D19)</f>
        <v>0</v>
      </c>
      <c r="E3" s="44">
        <f>SUM(E4:E19)</f>
        <v>0</v>
      </c>
      <c r="F3" s="44">
        <f>SUM(F4:F19)</f>
        <v>0</v>
      </c>
      <c r="G3" s="108"/>
      <c r="H3" s="13" t="s">
        <v>10</v>
      </c>
      <c r="I3" s="44">
        <f t="shared" ref="I3:V3" si="0">SUM(I4:I11)</f>
        <v>0</v>
      </c>
      <c r="J3" s="44">
        <f t="shared" si="0"/>
        <v>0</v>
      </c>
      <c r="K3" s="44">
        <f t="shared" si="0"/>
        <v>0</v>
      </c>
      <c r="L3" s="44">
        <f t="shared" si="0"/>
        <v>1</v>
      </c>
      <c r="M3" s="44">
        <f t="shared" si="0"/>
        <v>0</v>
      </c>
      <c r="N3" s="44">
        <f t="shared" si="0"/>
        <v>0</v>
      </c>
      <c r="O3" s="44">
        <f t="shared" si="0"/>
        <v>0</v>
      </c>
      <c r="P3" s="44">
        <f t="shared" si="0"/>
        <v>0</v>
      </c>
      <c r="Q3" s="44">
        <f t="shared" si="0"/>
        <v>0</v>
      </c>
      <c r="R3" s="44">
        <f t="shared" si="0"/>
        <v>0</v>
      </c>
      <c r="S3" s="44">
        <f t="shared" si="0"/>
        <v>0</v>
      </c>
      <c r="T3" s="44">
        <f t="shared" si="0"/>
        <v>0</v>
      </c>
      <c r="U3" s="44">
        <f t="shared" si="0"/>
        <v>0</v>
      </c>
      <c r="V3" s="93">
        <f t="shared" si="0"/>
        <v>0</v>
      </c>
    </row>
    <row r="4" spans="1:22" ht="82.7" customHeight="1" thickTop="1" x14ac:dyDescent="0.3">
      <c r="A4" s="273" t="s">
        <v>15</v>
      </c>
      <c r="B4" s="274"/>
      <c r="C4" s="57">
        <f>'학교별01.16'!C31</f>
        <v>0</v>
      </c>
      <c r="D4" s="57">
        <f>'학교별01.16'!D31</f>
        <v>0</v>
      </c>
      <c r="E4" s="58">
        <f>'학교별01.16'!E31</f>
        <v>0</v>
      </c>
      <c r="F4" s="59">
        <f>'학교별01.16'!F31</f>
        <v>0</v>
      </c>
      <c r="G4" s="108"/>
      <c r="H4" s="49" t="s">
        <v>15</v>
      </c>
      <c r="I4" s="47">
        <f>'학교별01.16'!H31</f>
        <v>0</v>
      </c>
      <c r="J4" s="45">
        <f>'학교별01.16'!I31</f>
        <v>0</v>
      </c>
      <c r="K4" s="47">
        <f>'학교별01.16'!J31</f>
        <v>0</v>
      </c>
      <c r="L4" s="45">
        <f>'학교별01.16'!K31</f>
        <v>1</v>
      </c>
      <c r="M4" s="47">
        <f>'학교별01.16'!L31</f>
        <v>0</v>
      </c>
      <c r="N4" s="45">
        <f>'학교별01.16'!M31</f>
        <v>0</v>
      </c>
      <c r="O4" s="47">
        <f>'학교별01.16'!N31</f>
        <v>0</v>
      </c>
      <c r="P4" s="45">
        <f>'학교별01.16'!O31</f>
        <v>0</v>
      </c>
      <c r="Q4" s="47">
        <f>'학교별01.16'!P31</f>
        <v>0</v>
      </c>
      <c r="R4" s="45">
        <f>'학교별01.16'!Q31</f>
        <v>0</v>
      </c>
      <c r="S4" s="47">
        <f>'학교별01.16'!R31</f>
        <v>0</v>
      </c>
      <c r="T4" s="45">
        <f>'학교별01.16'!S31</f>
        <v>0</v>
      </c>
      <c r="U4" s="47">
        <f>'학교별01.16'!T31</f>
        <v>0</v>
      </c>
      <c r="V4" s="87">
        <f>'학교별01.16'!U31</f>
        <v>0</v>
      </c>
    </row>
    <row r="5" spans="1:22" ht="82.7" customHeight="1" thickBot="1" x14ac:dyDescent="0.35">
      <c r="A5" s="275"/>
      <c r="B5" s="276"/>
      <c r="C5" s="79"/>
      <c r="D5" s="60"/>
      <c r="E5" s="62"/>
      <c r="F5" s="61"/>
      <c r="G5" s="108"/>
      <c r="H5" s="40"/>
      <c r="I5" s="83"/>
      <c r="J5" s="81"/>
      <c r="K5" s="95"/>
      <c r="L5" s="81"/>
      <c r="M5" s="84"/>
      <c r="N5" s="81"/>
      <c r="O5" s="83"/>
      <c r="P5" s="42"/>
      <c r="Q5" s="41"/>
      <c r="R5" s="42"/>
      <c r="S5" s="83"/>
      <c r="T5" s="42"/>
      <c r="U5" s="41"/>
      <c r="V5" s="94"/>
    </row>
    <row r="6" spans="1:22" ht="18" thickTop="1" thickBot="1" x14ac:dyDescent="0.35">
      <c r="H6" s="33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89"/>
    </row>
    <row r="7" spans="1:22" ht="82.7" customHeight="1" thickTop="1" x14ac:dyDescent="0.3">
      <c r="A7" s="277" t="s">
        <v>26</v>
      </c>
      <c r="B7" s="278"/>
      <c r="C7" s="47">
        <f>'학교별01.16'!C58</f>
        <v>9</v>
      </c>
      <c r="D7" s="47">
        <f>'학교별01.16'!D58</f>
        <v>0</v>
      </c>
      <c r="E7" s="45">
        <f>'학교별01.16'!E58</f>
        <v>0</v>
      </c>
      <c r="F7" s="45">
        <f>'학교별01.16'!F58</f>
        <v>0</v>
      </c>
      <c r="G7" s="37"/>
      <c r="H7" s="55" t="s">
        <v>17</v>
      </c>
      <c r="I7" s="48">
        <f>'학교별01.16'!H58</f>
        <v>0</v>
      </c>
      <c r="J7" s="46">
        <f>'학교별01.16'!I58</f>
        <v>0</v>
      </c>
      <c r="K7" s="48">
        <f>'학교별01.16'!J58</f>
        <v>0</v>
      </c>
      <c r="L7" s="46">
        <f>'학교별01.16'!K58</f>
        <v>0</v>
      </c>
      <c r="M7" s="48">
        <f>'학교별01.16'!L58</f>
        <v>0</v>
      </c>
      <c r="N7" s="46">
        <f>'학교별01.16'!M58</f>
        <v>0</v>
      </c>
      <c r="O7" s="48">
        <f>'학교별01.16'!N58</f>
        <v>0</v>
      </c>
      <c r="P7" s="46">
        <f>'학교별01.16'!O58</f>
        <v>0</v>
      </c>
      <c r="Q7" s="48">
        <f>'학교별01.16'!P58</f>
        <v>0</v>
      </c>
      <c r="R7" s="46">
        <f>'학교별01.16'!Q58</f>
        <v>0</v>
      </c>
      <c r="S7" s="48">
        <f>'학교별01.16'!R58</f>
        <v>0</v>
      </c>
      <c r="T7" s="46">
        <f>'학교별01.16'!S58</f>
        <v>0</v>
      </c>
      <c r="U7" s="48">
        <f>'학교별01.16'!T58</f>
        <v>0</v>
      </c>
      <c r="V7" s="90">
        <f>'학교별01.16'!U58</f>
        <v>0</v>
      </c>
    </row>
    <row r="8" spans="1:22" ht="82.7" customHeight="1" thickBot="1" x14ac:dyDescent="0.35">
      <c r="A8" s="261"/>
      <c r="B8" s="262"/>
      <c r="C8" s="75"/>
      <c r="D8" s="96"/>
      <c r="E8" s="78"/>
      <c r="F8" s="38"/>
      <c r="G8" s="39"/>
      <c r="H8" s="108"/>
      <c r="I8" s="41"/>
      <c r="J8" s="42"/>
      <c r="K8" s="41"/>
      <c r="L8" s="42"/>
      <c r="M8" s="41"/>
      <c r="N8" s="42"/>
      <c r="O8" s="41"/>
      <c r="P8" s="42"/>
      <c r="Q8" s="41"/>
      <c r="R8" s="98"/>
      <c r="S8" s="41"/>
      <c r="T8" s="42"/>
      <c r="U8" s="41"/>
      <c r="V8" s="88"/>
    </row>
    <row r="9" spans="1:22" ht="18" thickTop="1" thickBot="1" x14ac:dyDescent="0.35">
      <c r="H9" s="33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89"/>
    </row>
    <row r="10" spans="1:22" ht="82.7" customHeight="1" thickTop="1" x14ac:dyDescent="0.3">
      <c r="A10" s="263" t="s">
        <v>16</v>
      </c>
      <c r="B10" s="264"/>
      <c r="C10" s="65">
        <f>'학교별01.16'!C67</f>
        <v>0</v>
      </c>
      <c r="D10" s="65">
        <f>'학교별01.16'!D67</f>
        <v>0</v>
      </c>
      <c r="E10" s="66">
        <f>'학교별01.16'!E67</f>
        <v>0</v>
      </c>
      <c r="F10" s="67">
        <f>'학교별01.16'!F67</f>
        <v>0</v>
      </c>
      <c r="G10" s="108"/>
      <c r="H10" s="53" t="s">
        <v>25</v>
      </c>
      <c r="I10" s="52">
        <f>'학교별01.16'!H67</f>
        <v>0</v>
      </c>
      <c r="J10" s="51">
        <f>'학교별01.16'!I67</f>
        <v>0</v>
      </c>
      <c r="K10" s="52">
        <f>'학교별01.16'!J67</f>
        <v>0</v>
      </c>
      <c r="L10" s="51">
        <f>'학교별01.16'!K67</f>
        <v>0</v>
      </c>
      <c r="M10" s="52">
        <f>'학교별01.16'!L67</f>
        <v>0</v>
      </c>
      <c r="N10" s="51">
        <f>'학교별01.16'!M67</f>
        <v>0</v>
      </c>
      <c r="O10" s="52">
        <f>'학교별01.16'!N67</f>
        <v>0</v>
      </c>
      <c r="P10" s="51">
        <f>'학교별01.16'!O67</f>
        <v>0</v>
      </c>
      <c r="Q10" s="52">
        <f>'학교별01.16'!P67</f>
        <v>0</v>
      </c>
      <c r="R10" s="51">
        <f>'학교별01.16'!Q67</f>
        <v>0</v>
      </c>
      <c r="S10" s="52">
        <f>'학교별01.16'!R67</f>
        <v>0</v>
      </c>
      <c r="T10" s="51">
        <f>'학교별01.16'!S67</f>
        <v>0</v>
      </c>
      <c r="U10" s="52">
        <f>'학교별01.16'!T67</f>
        <v>0</v>
      </c>
      <c r="V10" s="91">
        <f>'학교별01.16'!U67</f>
        <v>0</v>
      </c>
    </row>
    <row r="11" spans="1:22" ht="82.7" customHeight="1" thickBot="1" x14ac:dyDescent="0.35">
      <c r="A11" s="265"/>
      <c r="B11" s="266"/>
      <c r="C11" s="68"/>
      <c r="D11" s="69"/>
      <c r="E11" s="70"/>
      <c r="F11" s="71"/>
      <c r="H11" s="64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92"/>
    </row>
    <row r="12" spans="1:22" ht="17.25" thickTop="1" x14ac:dyDescent="0.3"/>
    <row r="17" spans="8:8" x14ac:dyDescent="0.3">
      <c r="H17" t="s">
        <v>83</v>
      </c>
    </row>
  </sheetData>
  <mergeCells count="11">
    <mergeCell ref="A10:B10"/>
    <mergeCell ref="A11:B11"/>
    <mergeCell ref="A1:B2"/>
    <mergeCell ref="C1:D1"/>
    <mergeCell ref="E1:F1"/>
    <mergeCell ref="H1:H2"/>
    <mergeCell ref="A3:B3"/>
    <mergeCell ref="A4:B4"/>
    <mergeCell ref="A5:B5"/>
    <mergeCell ref="A7:B7"/>
    <mergeCell ref="A8:B8"/>
  </mergeCells>
  <phoneticPr fontId="32" type="noConversion"/>
  <conditionalFormatting sqref="A10">
    <cfRule type="duplicateValues" dxfId="208" priority="1"/>
  </conditionalFormatting>
  <conditionalFormatting sqref="A4:A5">
    <cfRule type="duplicateValues" dxfId="207" priority="2"/>
  </conditionalFormatting>
  <conditionalFormatting sqref="A7:A8">
    <cfRule type="duplicateValues" dxfId="206" priority="3"/>
  </conditionalFormatting>
  <printOptions horizontalCentered="1" verticalCentered="1"/>
  <pageMargins left="0" right="0" top="7.874015748031496E-2" bottom="7.874015748031496E-2" header="0" footer="0"/>
  <pageSetup paperSize="9" scale="5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84"/>
  <sheetViews>
    <sheetView zoomScale="70" zoomScaleNormal="70" workbookViewId="0">
      <pane ySplit="3" topLeftCell="A51" activePane="bottomLeft" state="frozen"/>
      <selection activeCell="T6" sqref="T6"/>
      <selection pane="bottomLeft" activeCell="T6" sqref="T6"/>
    </sheetView>
  </sheetViews>
  <sheetFormatPr defaultRowHeight="16.5" x14ac:dyDescent="0.3"/>
  <cols>
    <col min="1" max="1" width="9" customWidth="1"/>
    <col min="2" max="2" width="33.75" customWidth="1"/>
    <col min="3" max="3" width="10.75" customWidth="1"/>
    <col min="4" max="4" width="10" customWidth="1"/>
    <col min="5" max="5" width="10.5" customWidth="1"/>
    <col min="6" max="6" width="10" customWidth="1"/>
    <col min="7" max="7" width="4.125" customWidth="1"/>
    <col min="8" max="21" width="10.875" customWidth="1"/>
    <col min="22" max="22" width="5.5" customWidth="1"/>
    <col min="23" max="23" width="10.875" bestFit="1" customWidth="1"/>
  </cols>
  <sheetData>
    <row r="1" spans="1:25" ht="113.25" customHeight="1" x14ac:dyDescent="0.3">
      <c r="A1" s="222" t="s">
        <v>110</v>
      </c>
      <c r="B1" s="223"/>
      <c r="C1" s="226" t="s">
        <v>0</v>
      </c>
      <c r="D1" s="227"/>
      <c r="E1" s="228" t="s">
        <v>19</v>
      </c>
      <c r="F1" s="228"/>
      <c r="G1" s="8"/>
      <c r="H1" s="72" t="s">
        <v>20</v>
      </c>
      <c r="I1" s="109" t="s">
        <v>21</v>
      </c>
      <c r="J1" s="5" t="s">
        <v>7</v>
      </c>
      <c r="K1" s="109" t="s">
        <v>4</v>
      </c>
      <c r="L1" s="5" t="s">
        <v>6</v>
      </c>
      <c r="M1" s="109" t="s">
        <v>5</v>
      </c>
      <c r="N1" s="5" t="s">
        <v>9</v>
      </c>
      <c r="O1" s="109" t="s">
        <v>11</v>
      </c>
      <c r="P1" s="5" t="s">
        <v>8</v>
      </c>
      <c r="Q1" s="109" t="s">
        <v>12</v>
      </c>
      <c r="R1" s="5" t="s">
        <v>95</v>
      </c>
      <c r="S1" s="109" t="s">
        <v>85</v>
      </c>
      <c r="T1" s="5" t="s">
        <v>86</v>
      </c>
      <c r="U1" s="109" t="s">
        <v>87</v>
      </c>
    </row>
    <row r="2" spans="1:25" ht="43.5" customHeight="1" x14ac:dyDescent="0.3">
      <c r="A2" s="224"/>
      <c r="B2" s="225"/>
      <c r="C2" s="73" t="s">
        <v>2</v>
      </c>
      <c r="D2" s="21" t="s">
        <v>1</v>
      </c>
      <c r="E2" s="1" t="s">
        <v>2</v>
      </c>
      <c r="F2" s="1" t="s">
        <v>1</v>
      </c>
      <c r="G2" s="9"/>
      <c r="H2" s="6" t="s">
        <v>3</v>
      </c>
      <c r="I2" s="1" t="s">
        <v>1</v>
      </c>
      <c r="J2" s="6" t="s">
        <v>3</v>
      </c>
      <c r="K2" s="1" t="s">
        <v>1</v>
      </c>
      <c r="L2" s="6" t="s">
        <v>3</v>
      </c>
      <c r="M2" s="1" t="s">
        <v>1</v>
      </c>
      <c r="N2" s="6" t="s">
        <v>3</v>
      </c>
      <c r="O2" s="1" t="s">
        <v>1</v>
      </c>
      <c r="P2" s="6" t="s">
        <v>3</v>
      </c>
      <c r="Q2" s="1" t="s">
        <v>1</v>
      </c>
      <c r="R2" s="6" t="s">
        <v>3</v>
      </c>
      <c r="S2" s="1" t="s">
        <v>1</v>
      </c>
      <c r="T2" s="6" t="s">
        <v>3</v>
      </c>
      <c r="U2" s="1" t="s">
        <v>1</v>
      </c>
    </row>
    <row r="3" spans="1:25" ht="26.25" x14ac:dyDescent="0.3">
      <c r="A3" s="97" t="s">
        <v>14</v>
      </c>
      <c r="B3" s="12" t="s">
        <v>10</v>
      </c>
      <c r="C3" s="29">
        <f>C31+C58+C67</f>
        <v>9</v>
      </c>
      <c r="D3" s="30">
        <f>D31+D58+D67</f>
        <v>0</v>
      </c>
      <c r="E3" s="30">
        <f>E31+E58+E67</f>
        <v>0</v>
      </c>
      <c r="F3" s="14">
        <f>F31+F58+F67</f>
        <v>0</v>
      </c>
      <c r="G3" s="110"/>
      <c r="H3" s="2">
        <f t="shared" ref="H3:U3" si="0">H31+H58+H67</f>
        <v>0</v>
      </c>
      <c r="I3" s="2">
        <f t="shared" si="0"/>
        <v>0</v>
      </c>
      <c r="J3" s="85">
        <f t="shared" si="0"/>
        <v>1</v>
      </c>
      <c r="K3" s="2">
        <f t="shared" si="0"/>
        <v>0</v>
      </c>
      <c r="L3" s="2">
        <f t="shared" si="0"/>
        <v>0</v>
      </c>
      <c r="M3" s="2">
        <f t="shared" si="0"/>
        <v>0</v>
      </c>
      <c r="N3" s="2">
        <f t="shared" si="0"/>
        <v>1</v>
      </c>
      <c r="O3" s="2">
        <f t="shared" si="0"/>
        <v>0</v>
      </c>
      <c r="P3" s="2">
        <f t="shared" si="0"/>
        <v>0</v>
      </c>
      <c r="Q3" s="2">
        <f t="shared" si="0"/>
        <v>0</v>
      </c>
      <c r="R3" s="2">
        <f t="shared" si="0"/>
        <v>0</v>
      </c>
      <c r="S3" s="2">
        <f t="shared" si="0"/>
        <v>0</v>
      </c>
      <c r="T3" s="2">
        <f t="shared" si="0"/>
        <v>0</v>
      </c>
      <c r="U3" s="2">
        <f t="shared" si="0"/>
        <v>0</v>
      </c>
      <c r="V3" s="4">
        <f>D3*10</f>
        <v>0</v>
      </c>
      <c r="W3">
        <f>F3*10+E3</f>
        <v>0</v>
      </c>
      <c r="X3" s="4">
        <f>SUM(H3:Q3)</f>
        <v>2</v>
      </c>
      <c r="Y3" s="11">
        <f>SUM(V3:X3)</f>
        <v>2</v>
      </c>
    </row>
    <row r="4" spans="1:25" ht="24" customHeight="1" x14ac:dyDescent="0.3">
      <c r="A4" s="229" t="s">
        <v>34</v>
      </c>
      <c r="B4" s="3" t="s">
        <v>36</v>
      </c>
      <c r="C4" s="7"/>
      <c r="D4" s="7"/>
      <c r="E4" s="50"/>
      <c r="F4" s="50"/>
      <c r="G4" s="110"/>
      <c r="H4" s="7"/>
      <c r="I4" s="50"/>
      <c r="J4" s="10"/>
      <c r="K4" s="50"/>
      <c r="L4" s="7"/>
      <c r="M4" s="50"/>
      <c r="N4" s="10"/>
      <c r="O4" s="50"/>
      <c r="P4" s="7"/>
      <c r="Q4" s="50"/>
      <c r="R4" s="7"/>
      <c r="S4" s="50"/>
      <c r="T4" s="7"/>
      <c r="U4" s="50"/>
    </row>
    <row r="5" spans="1:25" ht="24" customHeight="1" x14ac:dyDescent="0.3">
      <c r="A5" s="230"/>
      <c r="B5" s="3" t="s">
        <v>82</v>
      </c>
      <c r="C5" s="7"/>
      <c r="D5" s="7"/>
      <c r="E5" s="50"/>
      <c r="F5" s="50"/>
      <c r="G5" s="110"/>
      <c r="H5" s="7"/>
      <c r="I5" s="50"/>
      <c r="J5" s="10"/>
      <c r="K5" s="50"/>
      <c r="L5" s="7"/>
      <c r="M5" s="50"/>
      <c r="N5" s="10"/>
      <c r="O5" s="50"/>
      <c r="P5" s="7"/>
      <c r="Q5" s="50"/>
      <c r="R5" s="7"/>
      <c r="S5" s="50"/>
      <c r="T5" s="7"/>
      <c r="U5" s="50"/>
    </row>
    <row r="6" spans="1:25" ht="24" customHeight="1" x14ac:dyDescent="0.3">
      <c r="A6" s="230"/>
      <c r="B6" s="3" t="s">
        <v>37</v>
      </c>
      <c r="C6" s="7"/>
      <c r="D6" s="7"/>
      <c r="E6" s="50"/>
      <c r="F6" s="50"/>
      <c r="G6" s="110"/>
      <c r="H6" s="7"/>
      <c r="I6" s="50"/>
      <c r="J6" s="10"/>
      <c r="K6" s="50"/>
      <c r="L6" s="7"/>
      <c r="M6" s="50"/>
      <c r="N6" s="10"/>
      <c r="O6" s="50"/>
      <c r="P6" s="7"/>
      <c r="Q6" s="50"/>
      <c r="R6" s="7"/>
      <c r="S6" s="50"/>
      <c r="T6" s="7"/>
      <c r="U6" s="50"/>
    </row>
    <row r="7" spans="1:25" ht="24" customHeight="1" x14ac:dyDescent="0.3">
      <c r="A7" s="230"/>
      <c r="B7" s="3" t="s">
        <v>38</v>
      </c>
      <c r="C7" s="7"/>
      <c r="D7" s="7"/>
      <c r="E7" s="50"/>
      <c r="F7" s="50"/>
      <c r="G7" s="110"/>
      <c r="H7" s="7"/>
      <c r="I7" s="50"/>
      <c r="J7" s="10"/>
      <c r="K7" s="50"/>
      <c r="L7" s="7"/>
      <c r="M7" s="50"/>
      <c r="N7" s="10"/>
      <c r="O7" s="50"/>
      <c r="P7" s="7"/>
      <c r="Q7" s="50"/>
      <c r="R7" s="7"/>
      <c r="S7" s="50"/>
      <c r="T7" s="7"/>
      <c r="U7" s="50"/>
    </row>
    <row r="8" spans="1:25" ht="24" customHeight="1" x14ac:dyDescent="0.3">
      <c r="A8" s="230"/>
      <c r="B8" s="3" t="s">
        <v>50</v>
      </c>
      <c r="C8" s="77"/>
      <c r="D8" s="7"/>
      <c r="E8" s="50"/>
      <c r="F8" s="50"/>
      <c r="G8" s="63"/>
      <c r="H8" s="7"/>
      <c r="I8" s="50"/>
      <c r="J8" s="10"/>
      <c r="K8" s="50"/>
      <c r="L8" s="7"/>
      <c r="M8" s="50"/>
      <c r="N8" s="10"/>
      <c r="O8" s="50"/>
      <c r="P8" s="7"/>
      <c r="Q8" s="50"/>
      <c r="R8" s="7"/>
      <c r="S8" s="50"/>
      <c r="T8" s="7"/>
      <c r="U8" s="50"/>
    </row>
    <row r="9" spans="1:25" ht="24" customHeight="1" x14ac:dyDescent="0.3">
      <c r="A9" s="230"/>
      <c r="B9" s="3" t="s">
        <v>72</v>
      </c>
      <c r="C9" s="7"/>
      <c r="D9" s="7"/>
      <c r="E9" s="50"/>
      <c r="F9" s="50"/>
      <c r="G9" s="110"/>
      <c r="H9" s="7"/>
      <c r="I9" s="50"/>
      <c r="J9" s="10"/>
      <c r="K9" s="50"/>
      <c r="L9" s="7"/>
      <c r="M9" s="50"/>
      <c r="N9" s="10"/>
      <c r="O9" s="50"/>
      <c r="P9" s="7"/>
      <c r="Q9" s="50"/>
      <c r="R9" s="7"/>
      <c r="S9" s="50"/>
      <c r="T9" s="7"/>
      <c r="U9" s="50"/>
    </row>
    <row r="10" spans="1:25" ht="24" customHeight="1" x14ac:dyDescent="0.3">
      <c r="A10" s="230"/>
      <c r="B10" s="3" t="s">
        <v>52</v>
      </c>
      <c r="C10" s="7"/>
      <c r="D10" s="7"/>
      <c r="E10" s="50"/>
      <c r="F10" s="50"/>
      <c r="G10" s="110"/>
      <c r="H10" s="7"/>
      <c r="I10" s="50"/>
      <c r="J10" s="10"/>
      <c r="K10" s="50"/>
      <c r="L10" s="7"/>
      <c r="M10" s="50"/>
      <c r="N10" s="10"/>
      <c r="O10" s="50"/>
      <c r="P10" s="7"/>
      <c r="Q10" s="50"/>
      <c r="R10" s="7"/>
      <c r="S10" s="50"/>
      <c r="T10" s="7"/>
      <c r="U10" s="50"/>
    </row>
    <row r="11" spans="1:25" ht="24" customHeight="1" x14ac:dyDescent="0.3">
      <c r="A11" s="230"/>
      <c r="B11" s="3" t="s">
        <v>39</v>
      </c>
      <c r="C11" s="7"/>
      <c r="D11" s="7"/>
      <c r="E11" s="50"/>
      <c r="F11" s="50"/>
      <c r="G11" s="110"/>
      <c r="H11" s="7"/>
      <c r="I11" s="50"/>
      <c r="J11" s="10"/>
      <c r="K11" s="50"/>
      <c r="L11" s="7"/>
      <c r="M11" s="50"/>
      <c r="N11" s="10"/>
      <c r="O11" s="50"/>
      <c r="P11" s="7"/>
      <c r="Q11" s="50"/>
      <c r="R11" s="7"/>
      <c r="S11" s="50"/>
      <c r="T11" s="7"/>
      <c r="U11" s="50"/>
    </row>
    <row r="12" spans="1:25" ht="24" customHeight="1" x14ac:dyDescent="0.3">
      <c r="A12" s="230"/>
      <c r="B12" s="3" t="s">
        <v>40</v>
      </c>
      <c r="C12" s="7"/>
      <c r="D12" s="77"/>
      <c r="E12" s="76"/>
      <c r="F12" s="50"/>
      <c r="G12" s="80"/>
      <c r="H12" s="7"/>
      <c r="I12" s="76"/>
      <c r="J12" s="7"/>
      <c r="K12" s="50"/>
      <c r="L12" s="7"/>
      <c r="M12" s="76"/>
      <c r="N12" s="10"/>
      <c r="O12" s="76"/>
      <c r="P12" s="7"/>
      <c r="Q12" s="76"/>
      <c r="R12" s="10"/>
      <c r="S12" s="76"/>
      <c r="T12" s="77"/>
      <c r="U12" s="76"/>
    </row>
    <row r="13" spans="1:25" ht="24" customHeight="1" x14ac:dyDescent="0.3">
      <c r="A13" s="230"/>
      <c r="B13" s="3" t="s">
        <v>41</v>
      </c>
      <c r="C13" s="7"/>
      <c r="D13" s="7"/>
      <c r="E13" s="50"/>
      <c r="F13" s="50"/>
      <c r="G13" s="110"/>
      <c r="H13" s="7"/>
      <c r="I13" s="50"/>
      <c r="J13" s="10"/>
      <c r="K13" s="50"/>
      <c r="L13" s="7"/>
      <c r="M13" s="50"/>
      <c r="N13" s="10"/>
      <c r="O13" s="50"/>
      <c r="P13" s="7"/>
      <c r="Q13" s="50"/>
      <c r="R13" s="7"/>
      <c r="S13" s="50"/>
      <c r="T13" s="7"/>
      <c r="U13" s="50"/>
    </row>
    <row r="14" spans="1:25" ht="24" customHeight="1" x14ac:dyDescent="0.3">
      <c r="A14" s="230"/>
      <c r="B14" s="3" t="s">
        <v>42</v>
      </c>
      <c r="C14" s="7"/>
      <c r="D14" s="7"/>
      <c r="E14" s="50"/>
      <c r="F14" s="50"/>
      <c r="G14" s="110"/>
      <c r="H14" s="7"/>
      <c r="I14" s="50"/>
      <c r="J14" s="10"/>
      <c r="K14" s="50"/>
      <c r="L14" s="7"/>
      <c r="M14" s="50"/>
      <c r="N14" s="10"/>
      <c r="O14" s="50"/>
      <c r="P14" s="7"/>
      <c r="Q14" s="50"/>
      <c r="R14" s="7"/>
      <c r="S14" s="50"/>
      <c r="T14" s="7"/>
      <c r="U14" s="50"/>
    </row>
    <row r="15" spans="1:25" ht="24" customHeight="1" x14ac:dyDescent="0.3">
      <c r="A15" s="230"/>
      <c r="B15" s="3" t="s">
        <v>43</v>
      </c>
      <c r="C15" s="7"/>
      <c r="D15" s="7"/>
      <c r="E15" s="50"/>
      <c r="F15" s="50"/>
      <c r="G15" s="110"/>
      <c r="H15" s="7"/>
      <c r="I15" s="50"/>
      <c r="J15" s="10"/>
      <c r="K15" s="50"/>
      <c r="L15" s="7"/>
      <c r="M15" s="50"/>
      <c r="N15" s="10"/>
      <c r="O15" s="50"/>
      <c r="P15" s="7"/>
      <c r="Q15" s="50"/>
      <c r="R15" s="7"/>
      <c r="S15" s="50"/>
      <c r="T15" s="7"/>
      <c r="U15" s="50"/>
    </row>
    <row r="16" spans="1:25" ht="24" customHeight="1" x14ac:dyDescent="0.3">
      <c r="A16" s="230"/>
      <c r="B16" s="3" t="s">
        <v>51</v>
      </c>
      <c r="C16" s="7"/>
      <c r="D16" s="7"/>
      <c r="E16" s="50"/>
      <c r="F16" s="50"/>
      <c r="G16" s="110"/>
      <c r="H16" s="7"/>
      <c r="I16" s="50"/>
      <c r="J16" s="10"/>
      <c r="K16" s="50"/>
      <c r="L16" s="7"/>
      <c r="M16" s="50"/>
      <c r="N16" s="10"/>
      <c r="O16" s="50"/>
      <c r="P16" s="7"/>
      <c r="Q16" s="50"/>
      <c r="R16" s="7"/>
      <c r="S16" s="50"/>
      <c r="T16" s="7"/>
      <c r="U16" s="50"/>
    </row>
    <row r="17" spans="1:28" ht="24" customHeight="1" x14ac:dyDescent="0.3">
      <c r="A17" s="230"/>
      <c r="B17" s="3" t="s">
        <v>44</v>
      </c>
      <c r="C17" s="7"/>
      <c r="D17" s="7"/>
      <c r="E17" s="50"/>
      <c r="F17" s="50"/>
      <c r="G17" s="110"/>
      <c r="H17" s="7"/>
      <c r="I17" s="50"/>
      <c r="J17" s="10"/>
      <c r="K17" s="50"/>
      <c r="L17" s="7"/>
      <c r="M17" s="50"/>
      <c r="N17" s="10"/>
      <c r="O17" s="50"/>
      <c r="P17" s="7"/>
      <c r="Q17" s="50"/>
      <c r="R17" s="7"/>
      <c r="S17" s="50"/>
      <c r="T17" s="7"/>
      <c r="U17" s="50"/>
    </row>
    <row r="18" spans="1:28" ht="24" customHeight="1" x14ac:dyDescent="0.3">
      <c r="A18" s="230"/>
      <c r="B18" s="100" t="s">
        <v>91</v>
      </c>
      <c r="C18" s="7"/>
      <c r="D18" s="7"/>
      <c r="E18" s="50"/>
      <c r="F18" s="50"/>
      <c r="G18" s="110"/>
      <c r="H18" s="7"/>
      <c r="I18" s="50"/>
      <c r="J18" s="10"/>
      <c r="K18" s="50"/>
      <c r="L18" s="7"/>
      <c r="M18" s="50"/>
      <c r="N18" s="10"/>
      <c r="O18" s="50"/>
      <c r="P18" s="7"/>
      <c r="Q18" s="50"/>
      <c r="R18" s="7"/>
      <c r="S18" s="50"/>
      <c r="T18" s="7"/>
      <c r="U18" s="50"/>
    </row>
    <row r="19" spans="1:28" ht="24" customHeight="1" x14ac:dyDescent="0.3">
      <c r="A19" s="230"/>
      <c r="B19" s="100" t="s">
        <v>46</v>
      </c>
      <c r="C19" s="7"/>
      <c r="D19" s="7"/>
      <c r="E19" s="50"/>
      <c r="F19" s="50"/>
      <c r="G19" s="110"/>
      <c r="H19" s="7"/>
      <c r="I19" s="50"/>
      <c r="J19" s="10"/>
      <c r="K19" s="50"/>
      <c r="L19" s="7"/>
      <c r="M19" s="50"/>
      <c r="N19" s="10"/>
      <c r="O19" s="50"/>
      <c r="P19" s="7"/>
      <c r="Q19" s="50"/>
      <c r="R19" s="7"/>
      <c r="S19" s="50"/>
      <c r="T19" s="7"/>
      <c r="U19" s="76"/>
    </row>
    <row r="20" spans="1:28" ht="24" customHeight="1" x14ac:dyDescent="0.3">
      <c r="A20" s="230"/>
      <c r="B20" s="100" t="s">
        <v>48</v>
      </c>
      <c r="C20" s="7"/>
      <c r="D20" s="7"/>
      <c r="E20" s="50"/>
      <c r="F20" s="50"/>
      <c r="G20" s="110"/>
      <c r="H20" s="7"/>
      <c r="I20" s="50"/>
      <c r="J20" s="10">
        <v>1</v>
      </c>
      <c r="K20" s="50"/>
      <c r="L20" s="7"/>
      <c r="M20" s="50"/>
      <c r="N20" s="10">
        <v>1</v>
      </c>
      <c r="O20" s="50"/>
      <c r="P20" s="7"/>
      <c r="Q20" s="50"/>
      <c r="R20" s="7"/>
      <c r="S20" s="50"/>
      <c r="T20" s="7"/>
      <c r="U20" s="50"/>
    </row>
    <row r="21" spans="1:28" ht="24" customHeight="1" x14ac:dyDescent="0.3">
      <c r="A21" s="230"/>
      <c r="B21" s="3" t="s">
        <v>75</v>
      </c>
      <c r="C21" s="7"/>
      <c r="D21" s="7"/>
      <c r="E21" s="50"/>
      <c r="F21" s="50"/>
      <c r="G21" s="110"/>
      <c r="H21" s="7"/>
      <c r="I21" s="50"/>
      <c r="J21" s="10"/>
      <c r="K21" s="50"/>
      <c r="L21" s="7"/>
      <c r="M21" s="50"/>
      <c r="N21" s="10"/>
      <c r="O21" s="50"/>
      <c r="P21" s="7"/>
      <c r="Q21" s="50"/>
      <c r="R21" s="7"/>
      <c r="S21" s="50"/>
      <c r="T21" s="7"/>
      <c r="U21" s="50"/>
    </row>
    <row r="22" spans="1:28" ht="24" customHeight="1" x14ac:dyDescent="0.3">
      <c r="A22" s="230"/>
      <c r="B22" s="3" t="s">
        <v>73</v>
      </c>
      <c r="C22" s="7"/>
      <c r="D22" s="7"/>
      <c r="E22" s="50"/>
      <c r="F22" s="50"/>
      <c r="G22" s="110"/>
      <c r="H22" s="7"/>
      <c r="I22" s="50"/>
      <c r="J22" s="10"/>
      <c r="K22" s="50"/>
      <c r="L22" s="7"/>
      <c r="M22" s="50"/>
      <c r="N22" s="10"/>
      <c r="O22" s="50"/>
      <c r="P22" s="7"/>
      <c r="Q22" s="50"/>
      <c r="R22" s="7"/>
      <c r="S22" s="50"/>
      <c r="T22" s="7"/>
      <c r="U22" s="50"/>
    </row>
    <row r="23" spans="1:28" ht="24" customHeight="1" x14ac:dyDescent="0.3">
      <c r="A23" s="230"/>
      <c r="B23" s="3" t="s">
        <v>62</v>
      </c>
      <c r="C23" s="7"/>
      <c r="D23" s="7"/>
      <c r="E23" s="50"/>
      <c r="F23" s="50"/>
      <c r="G23" s="110"/>
      <c r="H23" s="7"/>
      <c r="I23" s="50"/>
      <c r="J23" s="10"/>
      <c r="K23" s="50"/>
      <c r="L23" s="7"/>
      <c r="M23" s="50"/>
      <c r="N23" s="10"/>
      <c r="O23" s="50"/>
      <c r="P23" s="7"/>
      <c r="Q23" s="50"/>
      <c r="R23" s="7"/>
      <c r="S23" s="50"/>
      <c r="T23" s="7"/>
      <c r="U23" s="50"/>
    </row>
    <row r="24" spans="1:28" ht="24" customHeight="1" x14ac:dyDescent="0.3">
      <c r="A24" s="230"/>
      <c r="B24" s="3" t="s">
        <v>81</v>
      </c>
      <c r="C24" s="7"/>
      <c r="D24" s="77"/>
      <c r="E24" s="76"/>
      <c r="F24" s="50"/>
      <c r="G24" s="80"/>
      <c r="H24" s="7"/>
      <c r="I24" s="76"/>
      <c r="J24" s="10"/>
      <c r="K24" s="50"/>
      <c r="L24" s="7"/>
      <c r="M24" s="50"/>
      <c r="N24" s="10"/>
      <c r="O24" s="50"/>
      <c r="P24" s="7"/>
      <c r="Q24" s="50"/>
      <c r="R24" s="7"/>
      <c r="S24" s="50"/>
      <c r="T24" s="7"/>
      <c r="U24" s="50"/>
    </row>
    <row r="25" spans="1:28" ht="24" customHeight="1" x14ac:dyDescent="0.3">
      <c r="A25" s="230"/>
      <c r="B25" s="3" t="s">
        <v>76</v>
      </c>
      <c r="C25" s="7"/>
      <c r="D25" s="7"/>
      <c r="E25" s="50"/>
      <c r="F25" s="50"/>
      <c r="G25" s="110"/>
      <c r="H25" s="7"/>
      <c r="I25" s="50"/>
      <c r="J25" s="10"/>
      <c r="K25" s="50"/>
      <c r="L25" s="7"/>
      <c r="M25" s="50"/>
      <c r="N25" s="10"/>
      <c r="O25" s="50"/>
      <c r="P25" s="7"/>
      <c r="Q25" s="50"/>
      <c r="R25" s="7"/>
      <c r="S25" s="50"/>
      <c r="T25" s="7"/>
      <c r="U25" s="50"/>
      <c r="Y25" s="82"/>
    </row>
    <row r="26" spans="1:28" ht="24" customHeight="1" x14ac:dyDescent="0.3">
      <c r="A26" s="230"/>
      <c r="B26" s="3" t="s">
        <v>89</v>
      </c>
      <c r="C26" s="7"/>
      <c r="D26" s="7"/>
      <c r="E26" s="50"/>
      <c r="F26" s="50"/>
      <c r="G26" s="110"/>
      <c r="H26" s="7"/>
      <c r="I26" s="50"/>
      <c r="J26" s="10"/>
      <c r="K26" s="50"/>
      <c r="L26" s="7"/>
      <c r="M26" s="50"/>
      <c r="N26" s="10"/>
      <c r="O26" s="50"/>
      <c r="P26" s="7"/>
      <c r="Q26" s="50"/>
      <c r="R26" s="7"/>
      <c r="S26" s="50"/>
      <c r="T26" s="7"/>
      <c r="U26" s="50"/>
      <c r="Y26" s="82"/>
    </row>
    <row r="27" spans="1:28" ht="24" customHeight="1" x14ac:dyDescent="0.3">
      <c r="A27" s="230"/>
      <c r="B27" s="3" t="s">
        <v>90</v>
      </c>
      <c r="C27" s="7"/>
      <c r="D27" s="7"/>
      <c r="E27" s="50"/>
      <c r="F27" s="50"/>
      <c r="G27" s="110"/>
      <c r="H27" s="7"/>
      <c r="I27" s="50"/>
      <c r="J27" s="10"/>
      <c r="K27" s="50"/>
      <c r="L27" s="7"/>
      <c r="M27" s="50"/>
      <c r="N27" s="10"/>
      <c r="O27" s="50"/>
      <c r="P27" s="7"/>
      <c r="Q27" s="50"/>
      <c r="R27" s="7"/>
      <c r="S27" s="50"/>
      <c r="T27" s="7"/>
      <c r="U27" s="50"/>
      <c r="Y27" s="82"/>
    </row>
    <row r="28" spans="1:28" ht="24" customHeight="1" x14ac:dyDescent="0.3">
      <c r="A28" s="230"/>
      <c r="B28" s="3" t="s">
        <v>49</v>
      </c>
      <c r="C28" s="7"/>
      <c r="D28" s="7"/>
      <c r="E28" s="50"/>
      <c r="F28" s="50"/>
      <c r="G28" s="110"/>
      <c r="H28" s="7"/>
      <c r="I28" s="50"/>
      <c r="J28" s="86"/>
      <c r="K28" s="50"/>
      <c r="L28" s="7"/>
      <c r="M28" s="50"/>
      <c r="N28" s="10"/>
      <c r="O28" s="50"/>
      <c r="P28" s="7"/>
      <c r="Q28" s="50"/>
      <c r="R28" s="7"/>
      <c r="S28" s="50"/>
      <c r="T28" s="7"/>
      <c r="U28" s="50"/>
      <c r="X28" s="232"/>
      <c r="Y28" s="232"/>
      <c r="Z28" s="232"/>
      <c r="AA28" s="232"/>
      <c r="AB28" s="232"/>
    </row>
    <row r="29" spans="1:28" ht="24" customHeight="1" x14ac:dyDescent="0.3">
      <c r="A29" s="230"/>
      <c r="B29" s="3" t="s">
        <v>74</v>
      </c>
      <c r="C29" s="7"/>
      <c r="D29" s="7"/>
      <c r="E29" s="50"/>
      <c r="F29" s="50"/>
      <c r="H29" s="7"/>
      <c r="I29" s="50"/>
      <c r="J29" s="10"/>
      <c r="K29" s="50"/>
      <c r="L29" s="7"/>
      <c r="M29" s="50"/>
      <c r="N29" s="10"/>
      <c r="O29" s="50"/>
      <c r="P29" s="7"/>
      <c r="Q29" s="50"/>
      <c r="R29" s="7"/>
      <c r="S29" s="50"/>
      <c r="T29" s="7"/>
      <c r="U29" s="50"/>
    </row>
    <row r="30" spans="1:28" ht="24" customHeight="1" x14ac:dyDescent="0.3">
      <c r="A30" s="230"/>
      <c r="B30" s="3" t="s">
        <v>55</v>
      </c>
      <c r="C30" s="7"/>
      <c r="D30" s="7"/>
      <c r="E30" s="50"/>
      <c r="F30" s="50"/>
      <c r="G30" s="110"/>
      <c r="H30" s="7"/>
      <c r="I30" s="50"/>
      <c r="J30" s="10"/>
      <c r="K30" s="50"/>
      <c r="L30" s="7"/>
      <c r="M30" s="50"/>
      <c r="N30" s="10"/>
      <c r="O30" s="50"/>
      <c r="P30" s="7"/>
      <c r="Q30" s="50"/>
      <c r="R30" s="7"/>
      <c r="S30" s="50"/>
      <c r="T30" s="7"/>
      <c r="U30" s="50"/>
    </row>
    <row r="31" spans="1:28" ht="27" thickBot="1" x14ac:dyDescent="0.35">
      <c r="A31" s="231"/>
      <c r="B31" s="31"/>
      <c r="C31" s="31">
        <f>SUM(C4:C30)</f>
        <v>0</v>
      </c>
      <c r="D31" s="31">
        <f>SUM(D4:D30)</f>
        <v>0</v>
      </c>
      <c r="E31" s="31">
        <f>SUM(E4:E30)</f>
        <v>0</v>
      </c>
      <c r="F31" s="31">
        <f>SUM(F4:F30)</f>
        <v>0</v>
      </c>
      <c r="G31" s="110"/>
      <c r="H31" s="2">
        <f t="shared" ref="H31:U31" si="1">SUM(H4:H30)</f>
        <v>0</v>
      </c>
      <c r="I31" s="2">
        <f t="shared" si="1"/>
        <v>0</v>
      </c>
      <c r="J31" s="2">
        <f t="shared" si="1"/>
        <v>1</v>
      </c>
      <c r="K31" s="2">
        <f t="shared" si="1"/>
        <v>0</v>
      </c>
      <c r="L31" s="2">
        <f t="shared" si="1"/>
        <v>0</v>
      </c>
      <c r="M31" s="2">
        <f t="shared" si="1"/>
        <v>0</v>
      </c>
      <c r="N31" s="2">
        <f t="shared" si="1"/>
        <v>1</v>
      </c>
      <c r="O31" s="2">
        <f t="shared" si="1"/>
        <v>0</v>
      </c>
      <c r="P31" s="2">
        <f t="shared" si="1"/>
        <v>0</v>
      </c>
      <c r="Q31" s="2">
        <f t="shared" si="1"/>
        <v>0</v>
      </c>
      <c r="R31" s="2">
        <f t="shared" si="1"/>
        <v>0</v>
      </c>
      <c r="S31" s="2">
        <f t="shared" si="1"/>
        <v>0</v>
      </c>
      <c r="T31" s="2">
        <f t="shared" si="1"/>
        <v>0</v>
      </c>
      <c r="U31" s="2">
        <f t="shared" si="1"/>
        <v>0</v>
      </c>
      <c r="W31" s="35"/>
      <c r="X31" s="18"/>
      <c r="Y31" s="18"/>
    </row>
    <row r="32" spans="1:28" ht="24" customHeight="1" thickTop="1" x14ac:dyDescent="0.3">
      <c r="A32" s="233" t="s">
        <v>27</v>
      </c>
      <c r="B32" s="23" t="s">
        <v>63</v>
      </c>
      <c r="C32" s="28"/>
      <c r="D32" s="28"/>
      <c r="E32" s="15"/>
      <c r="F32" s="16"/>
      <c r="G32" s="25"/>
      <c r="H32" s="43"/>
      <c r="I32" s="50"/>
      <c r="J32" s="10"/>
      <c r="K32" s="50"/>
      <c r="L32" s="7"/>
      <c r="M32" s="50"/>
      <c r="N32" s="7"/>
      <c r="O32" s="50"/>
      <c r="P32" s="7"/>
      <c r="Q32" s="50"/>
      <c r="R32" s="7"/>
      <c r="S32" s="50"/>
      <c r="T32" s="7"/>
      <c r="U32" s="50"/>
      <c r="W32" s="18"/>
      <c r="X32" s="18"/>
      <c r="Y32" s="18"/>
      <c r="Z32" s="18"/>
      <c r="AA32" s="18"/>
    </row>
    <row r="33" spans="1:27" ht="24" customHeight="1" x14ac:dyDescent="0.3">
      <c r="A33" s="233"/>
      <c r="B33" s="24" t="s">
        <v>94</v>
      </c>
      <c r="C33" s="32"/>
      <c r="D33" s="32"/>
      <c r="E33" s="54"/>
      <c r="F33" s="22"/>
      <c r="G33" s="25"/>
      <c r="H33" s="43"/>
      <c r="I33" s="50"/>
      <c r="J33" s="10"/>
      <c r="K33" s="50"/>
      <c r="L33" s="7"/>
      <c r="M33" s="50"/>
      <c r="N33" s="7"/>
      <c r="O33" s="50"/>
      <c r="P33" s="7"/>
      <c r="Q33" s="50"/>
      <c r="R33" s="7"/>
      <c r="S33" s="50"/>
      <c r="T33" s="7"/>
      <c r="U33" s="50"/>
      <c r="W33" s="18"/>
      <c r="X33" s="18"/>
      <c r="Y33" s="18"/>
      <c r="Z33" s="18"/>
      <c r="AA33" s="18"/>
    </row>
    <row r="34" spans="1:27" ht="24" customHeight="1" x14ac:dyDescent="0.3">
      <c r="A34" s="233"/>
      <c r="B34" s="24" t="s">
        <v>54</v>
      </c>
      <c r="C34" s="32"/>
      <c r="D34" s="32"/>
      <c r="E34" s="54"/>
      <c r="F34" s="22"/>
      <c r="G34" s="25"/>
      <c r="H34" s="10"/>
      <c r="I34" s="50"/>
      <c r="J34" s="10"/>
      <c r="K34" s="50"/>
      <c r="L34" s="7"/>
      <c r="M34" s="50"/>
      <c r="N34" s="7"/>
      <c r="O34" s="50"/>
      <c r="P34" s="7"/>
      <c r="Q34" s="76"/>
      <c r="R34" s="7"/>
      <c r="S34" s="50"/>
      <c r="T34" s="7"/>
      <c r="U34" s="50"/>
      <c r="W34" s="18"/>
      <c r="X34" s="18"/>
      <c r="Y34" s="18"/>
      <c r="Z34" s="18"/>
      <c r="AA34" s="18"/>
    </row>
    <row r="35" spans="1:27" ht="24" customHeight="1" x14ac:dyDescent="0.3">
      <c r="A35" s="233"/>
      <c r="B35" s="24" t="s">
        <v>56</v>
      </c>
      <c r="C35" s="32"/>
      <c r="D35" s="32"/>
      <c r="E35" s="54"/>
      <c r="F35" s="22"/>
      <c r="G35" s="25"/>
      <c r="H35" s="43"/>
      <c r="I35" s="50"/>
      <c r="J35" s="10"/>
      <c r="K35" s="50"/>
      <c r="L35" s="7"/>
      <c r="M35" s="50"/>
      <c r="N35" s="7"/>
      <c r="O35" s="50"/>
      <c r="P35" s="7"/>
      <c r="Q35" s="50"/>
      <c r="R35" s="7"/>
      <c r="S35" s="50"/>
      <c r="T35" s="7"/>
      <c r="U35" s="50"/>
      <c r="W35" s="18"/>
      <c r="X35" s="18"/>
      <c r="Y35" s="18"/>
      <c r="Z35" s="18"/>
      <c r="AA35" s="18"/>
    </row>
    <row r="36" spans="1:27" ht="24" customHeight="1" x14ac:dyDescent="0.3">
      <c r="A36" s="233"/>
      <c r="B36" s="24" t="s">
        <v>78</v>
      </c>
      <c r="C36" s="32"/>
      <c r="D36" s="32"/>
      <c r="E36" s="54"/>
      <c r="F36" s="22"/>
      <c r="G36" s="25"/>
      <c r="H36" s="43"/>
      <c r="I36" s="50"/>
      <c r="J36" s="10"/>
      <c r="K36" s="50"/>
      <c r="L36" s="7"/>
      <c r="M36" s="50"/>
      <c r="N36" s="7"/>
      <c r="O36" s="50"/>
      <c r="P36" s="7"/>
      <c r="Q36" s="50"/>
      <c r="R36" s="7"/>
      <c r="S36" s="50"/>
      <c r="T36" s="7"/>
      <c r="U36" s="50"/>
      <c r="W36" s="18"/>
      <c r="X36" s="18"/>
      <c r="Y36" s="18"/>
      <c r="Z36" s="18"/>
      <c r="AA36" s="18"/>
    </row>
    <row r="37" spans="1:27" ht="24" customHeight="1" x14ac:dyDescent="0.3">
      <c r="A37" s="233"/>
      <c r="B37" s="24" t="s">
        <v>53</v>
      </c>
      <c r="C37" s="32"/>
      <c r="D37" s="32"/>
      <c r="E37" s="54"/>
      <c r="F37" s="22"/>
      <c r="G37" s="25"/>
      <c r="H37" s="43"/>
      <c r="I37" s="50"/>
      <c r="J37" s="10"/>
      <c r="K37" s="50"/>
      <c r="L37" s="7"/>
      <c r="M37" s="50"/>
      <c r="N37" s="7"/>
      <c r="O37" s="50"/>
      <c r="P37" s="7"/>
      <c r="Q37" s="50"/>
      <c r="R37" s="7"/>
      <c r="S37" s="50"/>
      <c r="T37" s="7"/>
      <c r="U37" s="50"/>
      <c r="W37" s="18"/>
      <c r="X37" s="18"/>
      <c r="Y37" s="18"/>
      <c r="Z37" s="18"/>
      <c r="AA37" s="18"/>
    </row>
    <row r="38" spans="1:27" ht="24" customHeight="1" x14ac:dyDescent="0.3">
      <c r="A38" s="233"/>
      <c r="B38" s="24" t="s">
        <v>66</v>
      </c>
      <c r="C38" s="32"/>
      <c r="D38" s="32"/>
      <c r="E38" s="54"/>
      <c r="F38" s="22"/>
      <c r="G38" s="25"/>
      <c r="H38" s="43"/>
      <c r="I38" s="50"/>
      <c r="J38" s="10"/>
      <c r="K38" s="50"/>
      <c r="L38" s="7"/>
      <c r="M38" s="50"/>
      <c r="N38" s="7"/>
      <c r="O38" s="50"/>
      <c r="P38" s="7"/>
      <c r="Q38" s="50"/>
      <c r="R38" s="7"/>
      <c r="S38" s="50"/>
      <c r="T38" s="7"/>
      <c r="U38" s="50"/>
      <c r="W38" s="18"/>
      <c r="X38" s="18"/>
      <c r="Y38" s="18"/>
      <c r="Z38" s="18"/>
      <c r="AA38" s="18"/>
    </row>
    <row r="39" spans="1:27" ht="24" customHeight="1" x14ac:dyDescent="0.3">
      <c r="A39" s="233"/>
      <c r="B39" s="24" t="s">
        <v>70</v>
      </c>
      <c r="C39" s="32"/>
      <c r="D39" s="32"/>
      <c r="E39" s="54"/>
      <c r="F39" s="22"/>
      <c r="G39" s="25"/>
      <c r="H39" s="43"/>
      <c r="I39" s="50"/>
      <c r="J39" s="10"/>
      <c r="K39" s="50"/>
      <c r="L39" s="7"/>
      <c r="M39" s="50"/>
      <c r="N39" s="7"/>
      <c r="O39" s="50"/>
      <c r="P39" s="7"/>
      <c r="Q39" s="50"/>
      <c r="R39" s="7"/>
      <c r="S39" s="50"/>
      <c r="T39" s="7"/>
      <c r="U39" s="50"/>
      <c r="W39" s="18"/>
      <c r="X39" s="18"/>
      <c r="Y39" s="18"/>
      <c r="Z39" s="18"/>
      <c r="AA39" s="18"/>
    </row>
    <row r="40" spans="1:27" ht="24" customHeight="1" x14ac:dyDescent="0.3">
      <c r="A40" s="233"/>
      <c r="B40" s="24" t="s">
        <v>58</v>
      </c>
      <c r="C40" s="32"/>
      <c r="D40" s="32"/>
      <c r="E40" s="54"/>
      <c r="F40" s="22"/>
      <c r="G40" s="25"/>
      <c r="H40" s="7"/>
      <c r="I40" s="50"/>
      <c r="J40" s="10"/>
      <c r="K40" s="50"/>
      <c r="L40" s="7"/>
      <c r="M40" s="50"/>
      <c r="N40" s="7"/>
      <c r="O40" s="50"/>
      <c r="P40" s="7"/>
      <c r="Q40" s="50"/>
      <c r="R40" s="7"/>
      <c r="S40" s="50"/>
      <c r="T40" s="7"/>
      <c r="U40" s="50"/>
      <c r="W40" s="18"/>
      <c r="X40" s="18"/>
      <c r="Y40" s="18"/>
      <c r="Z40" s="18"/>
      <c r="AA40" s="18"/>
    </row>
    <row r="41" spans="1:27" ht="24" customHeight="1" x14ac:dyDescent="0.3">
      <c r="A41" s="233"/>
      <c r="B41" s="24" t="s">
        <v>71</v>
      </c>
      <c r="C41" s="32">
        <v>1</v>
      </c>
      <c r="D41" s="32"/>
      <c r="E41" s="54"/>
      <c r="F41" s="22"/>
      <c r="G41" s="25"/>
      <c r="H41" s="43"/>
      <c r="I41" s="50"/>
      <c r="J41" s="10"/>
      <c r="K41" s="50"/>
      <c r="L41" s="7"/>
      <c r="M41" s="50"/>
      <c r="N41" s="7"/>
      <c r="O41" s="50"/>
      <c r="P41" s="7"/>
      <c r="Q41" s="50"/>
      <c r="R41" s="7"/>
      <c r="S41" s="50"/>
      <c r="T41" s="7"/>
      <c r="U41" s="50"/>
      <c r="W41" s="18"/>
      <c r="X41" s="18"/>
      <c r="Y41" s="18"/>
      <c r="Z41" s="18"/>
      <c r="AA41" s="18"/>
    </row>
    <row r="42" spans="1:27" ht="24" customHeight="1" x14ac:dyDescent="0.3">
      <c r="A42" s="233"/>
      <c r="B42" s="24" t="s">
        <v>77</v>
      </c>
      <c r="C42" s="32"/>
      <c r="D42" s="32"/>
      <c r="E42" s="54"/>
      <c r="F42" s="22"/>
      <c r="G42" s="25"/>
      <c r="H42" s="7"/>
      <c r="I42" s="50"/>
      <c r="J42" s="10"/>
      <c r="K42" s="50"/>
      <c r="L42" s="7"/>
      <c r="M42" s="50"/>
      <c r="N42" s="7"/>
      <c r="O42" s="50"/>
      <c r="P42" s="7"/>
      <c r="Q42" s="50"/>
      <c r="R42" s="7"/>
      <c r="S42" s="50"/>
      <c r="T42" s="7"/>
      <c r="U42" s="50"/>
      <c r="W42" s="18"/>
      <c r="X42" s="18"/>
      <c r="Y42" s="18"/>
      <c r="Z42" s="18"/>
      <c r="AA42" s="18"/>
    </row>
    <row r="43" spans="1:27" ht="24" customHeight="1" x14ac:dyDescent="0.3">
      <c r="A43" s="233"/>
      <c r="B43" s="24" t="s">
        <v>57</v>
      </c>
      <c r="C43" s="32">
        <v>2</v>
      </c>
      <c r="D43" s="56"/>
      <c r="E43" s="54"/>
      <c r="F43" s="22"/>
      <c r="G43" s="25"/>
      <c r="H43" s="43"/>
      <c r="I43" s="50"/>
      <c r="J43" s="10"/>
      <c r="K43" s="50"/>
      <c r="L43" s="7"/>
      <c r="M43" s="50"/>
      <c r="N43" s="7"/>
      <c r="O43" s="50"/>
      <c r="P43" s="7"/>
      <c r="Q43" s="76"/>
      <c r="R43" s="7"/>
      <c r="S43" s="50"/>
      <c r="T43" s="7"/>
      <c r="U43" s="50"/>
      <c r="W43" s="18"/>
      <c r="X43" s="18"/>
      <c r="Y43" s="18"/>
      <c r="Z43" s="18"/>
      <c r="AA43" s="18"/>
    </row>
    <row r="44" spans="1:27" ht="24" customHeight="1" x14ac:dyDescent="0.3">
      <c r="A44" s="233"/>
      <c r="B44" s="24" t="s">
        <v>68</v>
      </c>
      <c r="C44" s="32"/>
      <c r="D44" s="32"/>
      <c r="E44" s="54"/>
      <c r="F44" s="22"/>
      <c r="G44" s="25"/>
      <c r="H44" s="43"/>
      <c r="I44" s="50"/>
      <c r="J44" s="10"/>
      <c r="K44" s="50"/>
      <c r="L44" s="7"/>
      <c r="M44" s="50"/>
      <c r="N44" s="7"/>
      <c r="O44" s="50"/>
      <c r="P44" s="7"/>
      <c r="Q44" s="50"/>
      <c r="R44" s="7"/>
      <c r="S44" s="50"/>
      <c r="T44" s="7"/>
      <c r="U44" s="50"/>
      <c r="W44" s="18"/>
      <c r="X44" s="18"/>
      <c r="Y44" s="18"/>
      <c r="Z44" s="18"/>
      <c r="AA44" s="18"/>
    </row>
    <row r="45" spans="1:27" ht="24" customHeight="1" x14ac:dyDescent="0.3">
      <c r="A45" s="233"/>
      <c r="B45" s="24" t="s">
        <v>65</v>
      </c>
      <c r="C45" s="32">
        <v>5</v>
      </c>
      <c r="D45" s="32"/>
      <c r="E45" s="101"/>
      <c r="F45" s="22"/>
      <c r="G45" s="25"/>
      <c r="H45" s="43"/>
      <c r="I45" s="50"/>
      <c r="J45" s="10"/>
      <c r="K45" s="50"/>
      <c r="L45" s="7"/>
      <c r="M45" s="50"/>
      <c r="N45" s="7"/>
      <c r="O45" s="50"/>
      <c r="P45" s="7"/>
      <c r="Q45" s="50"/>
      <c r="R45" s="7"/>
      <c r="S45" s="50"/>
      <c r="T45" s="7"/>
      <c r="U45" s="50"/>
      <c r="W45" s="18"/>
      <c r="X45" s="18"/>
      <c r="Y45" s="18"/>
      <c r="Z45" s="18"/>
      <c r="AA45" s="18"/>
    </row>
    <row r="46" spans="1:27" ht="24" customHeight="1" x14ac:dyDescent="0.3">
      <c r="A46" s="233"/>
      <c r="B46" s="24" t="s">
        <v>67</v>
      </c>
      <c r="C46" s="32"/>
      <c r="D46" s="32"/>
      <c r="E46" s="54"/>
      <c r="F46" s="22"/>
      <c r="G46" s="25"/>
      <c r="H46" s="43"/>
      <c r="I46" s="50"/>
      <c r="J46" s="10"/>
      <c r="K46" s="50"/>
      <c r="L46" s="7"/>
      <c r="M46" s="50"/>
      <c r="N46" s="7"/>
      <c r="O46" s="50"/>
      <c r="P46" s="7"/>
      <c r="Q46" s="50"/>
      <c r="R46" s="7"/>
      <c r="S46" s="50"/>
      <c r="T46" s="7"/>
      <c r="U46" s="50"/>
      <c r="W46" s="18"/>
      <c r="X46" s="18"/>
      <c r="Y46" s="18"/>
      <c r="Z46" s="18"/>
      <c r="AA46" s="18"/>
    </row>
    <row r="47" spans="1:27" ht="24" customHeight="1" x14ac:dyDescent="0.3">
      <c r="A47" s="233"/>
      <c r="B47" s="24" t="s">
        <v>69</v>
      </c>
      <c r="C47" s="32">
        <v>1</v>
      </c>
      <c r="D47" s="32"/>
      <c r="E47" s="54"/>
      <c r="F47" s="22"/>
      <c r="G47" s="25"/>
      <c r="H47" s="43"/>
      <c r="I47" s="50"/>
      <c r="J47" s="10"/>
      <c r="K47" s="50"/>
      <c r="L47" s="7"/>
      <c r="M47" s="50"/>
      <c r="N47" s="7"/>
      <c r="O47" s="50"/>
      <c r="P47" s="7"/>
      <c r="Q47" s="50"/>
      <c r="R47" s="7"/>
      <c r="S47" s="50"/>
      <c r="T47" s="7"/>
      <c r="U47" s="50"/>
      <c r="W47" s="18"/>
      <c r="X47" s="18"/>
      <c r="Y47" s="18"/>
      <c r="Z47" s="18"/>
      <c r="AA47" s="18"/>
    </row>
    <row r="48" spans="1:27" ht="24" customHeight="1" x14ac:dyDescent="0.3">
      <c r="A48" s="233"/>
      <c r="B48" s="24" t="s">
        <v>80</v>
      </c>
      <c r="C48" s="32"/>
      <c r="D48" s="32"/>
      <c r="E48" s="54"/>
      <c r="F48" s="22"/>
      <c r="G48" s="25"/>
      <c r="H48" s="7"/>
      <c r="I48" s="50"/>
      <c r="J48" s="10"/>
      <c r="K48" s="50"/>
      <c r="L48" s="7"/>
      <c r="M48" s="50"/>
      <c r="N48" s="7"/>
      <c r="O48" s="50"/>
      <c r="P48" s="7"/>
      <c r="Q48" s="50"/>
      <c r="R48" s="7"/>
      <c r="S48" s="50"/>
      <c r="T48" s="7"/>
      <c r="U48" s="50"/>
      <c r="W48" s="18"/>
      <c r="X48" s="18"/>
      <c r="Y48" s="18"/>
      <c r="Z48" s="18"/>
      <c r="AA48" s="18"/>
    </row>
    <row r="49" spans="1:27" ht="24" customHeight="1" x14ac:dyDescent="0.3">
      <c r="A49" s="233"/>
      <c r="B49" s="24" t="s">
        <v>64</v>
      </c>
      <c r="C49" s="32"/>
      <c r="D49" s="32"/>
      <c r="E49" s="54"/>
      <c r="F49" s="22"/>
      <c r="G49" s="25"/>
      <c r="H49" s="10"/>
      <c r="I49" s="50"/>
      <c r="J49" s="10"/>
      <c r="K49" s="50"/>
      <c r="L49" s="7"/>
      <c r="M49" s="50"/>
      <c r="N49" s="7"/>
      <c r="O49" s="50"/>
      <c r="P49" s="7"/>
      <c r="Q49" s="50"/>
      <c r="R49" s="7"/>
      <c r="S49" s="50"/>
      <c r="T49" s="7"/>
      <c r="U49" s="50"/>
      <c r="W49" s="18"/>
      <c r="X49" s="18"/>
      <c r="Y49" s="18"/>
      <c r="Z49" s="18"/>
      <c r="AA49" s="18"/>
    </row>
    <row r="50" spans="1:27" ht="24" customHeight="1" x14ac:dyDescent="0.3">
      <c r="A50" s="233"/>
      <c r="B50" s="24" t="s">
        <v>59</v>
      </c>
      <c r="C50" s="32"/>
      <c r="D50" s="32"/>
      <c r="E50" s="54"/>
      <c r="F50" s="22"/>
      <c r="G50" s="25"/>
      <c r="H50" s="10"/>
      <c r="I50" s="50"/>
      <c r="J50" s="10"/>
      <c r="K50" s="50"/>
      <c r="L50" s="7"/>
      <c r="M50" s="50"/>
      <c r="N50" s="7"/>
      <c r="O50" s="50"/>
      <c r="P50" s="7"/>
      <c r="Q50" s="50"/>
      <c r="R50" s="7"/>
      <c r="S50" s="50"/>
      <c r="T50" s="7"/>
      <c r="U50" s="50"/>
      <c r="W50" s="18"/>
      <c r="X50" s="18"/>
      <c r="Y50" s="18"/>
      <c r="Z50" s="18"/>
      <c r="AA50" s="18"/>
    </row>
    <row r="51" spans="1:27" ht="24" customHeight="1" x14ac:dyDescent="0.3">
      <c r="A51" s="233"/>
      <c r="B51" s="24" t="s">
        <v>79</v>
      </c>
      <c r="C51" s="32"/>
      <c r="D51" s="32"/>
      <c r="E51" s="54"/>
      <c r="F51" s="22"/>
      <c r="G51" s="25"/>
      <c r="H51" s="7"/>
      <c r="I51" s="50"/>
      <c r="J51" s="10"/>
      <c r="K51" s="50"/>
      <c r="L51" s="7"/>
      <c r="M51" s="50"/>
      <c r="N51" s="7"/>
      <c r="O51" s="50"/>
      <c r="P51" s="7"/>
      <c r="Q51" s="50"/>
      <c r="R51" s="7"/>
      <c r="S51" s="50"/>
      <c r="T51" s="7"/>
      <c r="U51" s="50"/>
      <c r="W51" s="18"/>
      <c r="X51" s="18"/>
      <c r="Y51" s="18"/>
      <c r="Z51" s="18"/>
      <c r="AA51" s="18"/>
    </row>
    <row r="52" spans="1:27" ht="24" customHeight="1" x14ac:dyDescent="0.3">
      <c r="A52" s="233"/>
      <c r="B52" s="24" t="s">
        <v>60</v>
      </c>
      <c r="C52" s="32"/>
      <c r="D52" s="32"/>
      <c r="E52" s="54"/>
      <c r="F52" s="22"/>
      <c r="G52" s="25"/>
      <c r="H52" s="7"/>
      <c r="I52" s="50"/>
      <c r="J52" s="10"/>
      <c r="K52" s="50"/>
      <c r="L52" s="7"/>
      <c r="M52" s="50"/>
      <c r="N52" s="7"/>
      <c r="O52" s="50"/>
      <c r="P52" s="7"/>
      <c r="Q52" s="50"/>
      <c r="R52" s="7"/>
      <c r="S52" s="50"/>
      <c r="T52" s="7"/>
      <c r="U52" s="50"/>
      <c r="W52" s="18"/>
      <c r="X52" s="18"/>
      <c r="Y52" s="18"/>
      <c r="Z52" s="18"/>
      <c r="AA52" s="18"/>
    </row>
    <row r="53" spans="1:27" ht="24" customHeight="1" x14ac:dyDescent="0.3">
      <c r="A53" s="233"/>
      <c r="B53" s="24" t="s">
        <v>61</v>
      </c>
      <c r="C53" s="32"/>
      <c r="D53" s="32"/>
      <c r="E53" s="54"/>
      <c r="F53" s="22"/>
      <c r="G53" s="25"/>
      <c r="H53" s="43"/>
      <c r="I53" s="50"/>
      <c r="J53" s="10"/>
      <c r="K53" s="50"/>
      <c r="L53" s="7"/>
      <c r="M53" s="50"/>
      <c r="N53" s="7"/>
      <c r="O53" s="50"/>
      <c r="P53" s="7"/>
      <c r="Q53" s="50"/>
      <c r="R53" s="7"/>
      <c r="S53" s="50"/>
      <c r="T53" s="7"/>
      <c r="U53" s="50"/>
      <c r="W53" s="18"/>
      <c r="X53" s="18"/>
      <c r="Y53" s="18"/>
      <c r="Z53" s="18"/>
      <c r="AA53" s="18"/>
    </row>
    <row r="54" spans="1:27" ht="24" customHeight="1" x14ac:dyDescent="0.3">
      <c r="A54" s="233"/>
      <c r="B54" s="24" t="s">
        <v>84</v>
      </c>
      <c r="C54" s="32"/>
      <c r="D54" s="32"/>
      <c r="E54" s="54"/>
      <c r="F54" s="22"/>
      <c r="G54" s="25"/>
      <c r="H54" s="7"/>
      <c r="I54" s="50"/>
      <c r="J54" s="10"/>
      <c r="K54" s="50"/>
      <c r="L54" s="7"/>
      <c r="M54" s="50"/>
      <c r="N54" s="7"/>
      <c r="O54" s="50"/>
      <c r="P54" s="7"/>
      <c r="Q54" s="50"/>
      <c r="R54" s="7"/>
      <c r="S54" s="50"/>
      <c r="T54" s="7"/>
      <c r="U54" s="50"/>
      <c r="W54" s="18"/>
      <c r="X54" s="18"/>
      <c r="Y54" s="18"/>
      <c r="Z54" s="18"/>
      <c r="AA54" s="18"/>
    </row>
    <row r="55" spans="1:27" ht="24" customHeight="1" x14ac:dyDescent="0.3">
      <c r="A55" s="233"/>
      <c r="B55" s="74" t="s">
        <v>47</v>
      </c>
      <c r="C55" s="32"/>
      <c r="D55" s="32"/>
      <c r="E55" s="54"/>
      <c r="F55" s="22"/>
      <c r="G55" s="25"/>
      <c r="H55" s="7"/>
      <c r="I55" s="50"/>
      <c r="J55" s="10"/>
      <c r="K55" s="50"/>
      <c r="L55" s="7"/>
      <c r="M55" s="50"/>
      <c r="N55" s="7"/>
      <c r="O55" s="50"/>
      <c r="P55" s="7"/>
      <c r="Q55" s="50"/>
      <c r="R55" s="7"/>
      <c r="S55" s="50"/>
      <c r="T55" s="7"/>
      <c r="U55" s="50"/>
      <c r="W55" s="18"/>
      <c r="X55" s="18"/>
      <c r="Y55" s="18"/>
      <c r="Z55" s="18"/>
      <c r="AA55" s="18"/>
    </row>
    <row r="56" spans="1:27" ht="24" customHeight="1" x14ac:dyDescent="0.3">
      <c r="A56" s="233"/>
      <c r="B56" s="74" t="s">
        <v>92</v>
      </c>
      <c r="C56" s="32"/>
      <c r="D56" s="32"/>
      <c r="E56" s="54"/>
      <c r="F56" s="22"/>
      <c r="G56" s="25"/>
      <c r="H56" s="7"/>
      <c r="I56" s="50"/>
      <c r="J56" s="10"/>
      <c r="K56" s="50"/>
      <c r="L56" s="7"/>
      <c r="M56" s="50"/>
      <c r="N56" s="7"/>
      <c r="O56" s="50"/>
      <c r="P56" s="7"/>
      <c r="Q56" s="50"/>
      <c r="R56" s="7"/>
      <c r="S56" s="50"/>
      <c r="T56" s="7"/>
      <c r="U56" s="50"/>
      <c r="W56" s="18"/>
      <c r="X56" s="18"/>
      <c r="Y56" s="18"/>
      <c r="Z56" s="18"/>
      <c r="AA56" s="18"/>
    </row>
    <row r="57" spans="1:27" ht="24" customHeight="1" x14ac:dyDescent="0.3">
      <c r="A57" s="233"/>
      <c r="B57" s="74" t="s">
        <v>45</v>
      </c>
      <c r="C57" s="32"/>
      <c r="D57" s="32"/>
      <c r="E57" s="54"/>
      <c r="F57" s="22"/>
      <c r="G57" s="25"/>
      <c r="H57" s="7"/>
      <c r="I57" s="50"/>
      <c r="J57" s="10"/>
      <c r="K57" s="50"/>
      <c r="L57" s="7"/>
      <c r="M57" s="50"/>
      <c r="N57" s="7"/>
      <c r="O57" s="50"/>
      <c r="P57" s="7"/>
      <c r="Q57" s="50"/>
      <c r="R57" s="7"/>
      <c r="S57" s="50"/>
      <c r="T57" s="7"/>
      <c r="U57" s="50"/>
      <c r="W57" s="18"/>
      <c r="X57" s="18"/>
      <c r="Y57" s="18"/>
      <c r="Z57" s="18"/>
      <c r="AA57" s="18"/>
    </row>
    <row r="58" spans="1:27" ht="27" thickBot="1" x14ac:dyDescent="0.35">
      <c r="A58" s="233"/>
      <c r="B58" s="26"/>
      <c r="C58" s="27">
        <f>SUM(C32:C57)</f>
        <v>9</v>
      </c>
      <c r="D58" s="27">
        <f>SUM(D32:D57)</f>
        <v>0</v>
      </c>
      <c r="E58" s="27">
        <f>SUM(E32:E57)</f>
        <v>0</v>
      </c>
      <c r="F58" s="27">
        <f>SUM(F32:F57)</f>
        <v>0</v>
      </c>
      <c r="G58" s="110"/>
      <c r="H58" s="2">
        <f t="shared" ref="H58:U58" si="2">SUM(H32:H57)</f>
        <v>0</v>
      </c>
      <c r="I58" s="2">
        <f t="shared" si="2"/>
        <v>0</v>
      </c>
      <c r="J58" s="2">
        <f t="shared" si="2"/>
        <v>0</v>
      </c>
      <c r="K58" s="2">
        <f t="shared" si="2"/>
        <v>0</v>
      </c>
      <c r="L58" s="2">
        <f t="shared" si="2"/>
        <v>0</v>
      </c>
      <c r="M58" s="2">
        <f t="shared" si="2"/>
        <v>0</v>
      </c>
      <c r="N58" s="2">
        <f t="shared" si="2"/>
        <v>0</v>
      </c>
      <c r="O58" s="2">
        <f t="shared" si="2"/>
        <v>0</v>
      </c>
      <c r="P58" s="2">
        <f t="shared" si="2"/>
        <v>0</v>
      </c>
      <c r="Q58" s="2">
        <f t="shared" si="2"/>
        <v>0</v>
      </c>
      <c r="R58" s="2">
        <f t="shared" si="2"/>
        <v>0</v>
      </c>
      <c r="S58" s="2">
        <f t="shared" si="2"/>
        <v>0</v>
      </c>
      <c r="T58" s="2">
        <f t="shared" si="2"/>
        <v>0</v>
      </c>
      <c r="U58" s="2">
        <f t="shared" si="2"/>
        <v>0</v>
      </c>
    </row>
    <row r="59" spans="1:27" ht="24" customHeight="1" thickTop="1" x14ac:dyDescent="0.3">
      <c r="A59" s="252" t="s">
        <v>13</v>
      </c>
      <c r="B59" s="3" t="s">
        <v>28</v>
      </c>
      <c r="C59" s="7"/>
      <c r="D59" s="7"/>
      <c r="E59" s="50"/>
      <c r="F59" s="50"/>
      <c r="G59" s="110"/>
      <c r="H59" s="7"/>
      <c r="I59" s="50"/>
      <c r="J59" s="10"/>
      <c r="K59" s="50"/>
      <c r="L59" s="7"/>
      <c r="M59" s="50"/>
      <c r="N59" s="7"/>
      <c r="O59" s="50"/>
      <c r="P59" s="7"/>
      <c r="Q59" s="50"/>
      <c r="R59" s="7"/>
      <c r="S59" s="50"/>
      <c r="T59" s="7"/>
      <c r="U59" s="50"/>
    </row>
    <row r="60" spans="1:27" ht="24" customHeight="1" x14ac:dyDescent="0.3">
      <c r="A60" s="252"/>
      <c r="B60" s="3" t="s">
        <v>29</v>
      </c>
      <c r="C60" s="7"/>
      <c r="D60" s="7"/>
      <c r="E60" s="50"/>
      <c r="F60" s="50"/>
      <c r="G60" s="110"/>
      <c r="H60" s="7"/>
      <c r="I60" s="50"/>
      <c r="J60" s="10"/>
      <c r="K60" s="50"/>
      <c r="L60" s="7"/>
      <c r="M60" s="50"/>
      <c r="N60" s="7"/>
      <c r="O60" s="50"/>
      <c r="P60" s="7"/>
      <c r="Q60" s="50"/>
      <c r="R60" s="7"/>
      <c r="S60" s="50"/>
      <c r="T60" s="7"/>
      <c r="U60" s="50"/>
    </row>
    <row r="61" spans="1:27" ht="24" customHeight="1" x14ac:dyDescent="0.3">
      <c r="A61" s="252"/>
      <c r="B61" s="3" t="s">
        <v>35</v>
      </c>
      <c r="C61" s="7"/>
      <c r="D61" s="7"/>
      <c r="E61" s="50"/>
      <c r="F61" s="50"/>
      <c r="G61" s="110"/>
      <c r="H61" s="7"/>
      <c r="I61" s="50"/>
      <c r="J61" s="10"/>
      <c r="K61" s="50"/>
      <c r="L61" s="7"/>
      <c r="M61" s="50"/>
      <c r="N61" s="7"/>
      <c r="O61" s="50"/>
      <c r="P61" s="7"/>
      <c r="Q61" s="50"/>
      <c r="R61" s="7"/>
      <c r="S61" s="50"/>
      <c r="T61" s="7"/>
      <c r="U61" s="50"/>
    </row>
    <row r="62" spans="1:27" ht="24" customHeight="1" x14ac:dyDescent="0.3">
      <c r="A62" s="252"/>
      <c r="B62" s="3" t="s">
        <v>33</v>
      </c>
      <c r="C62" s="7"/>
      <c r="D62" s="7"/>
      <c r="E62" s="50"/>
      <c r="F62" s="50"/>
      <c r="G62" s="110"/>
      <c r="H62" s="7"/>
      <c r="I62" s="50"/>
      <c r="J62" s="10"/>
      <c r="K62" s="50"/>
      <c r="L62" s="7"/>
      <c r="M62" s="50"/>
      <c r="N62" s="7"/>
      <c r="O62" s="50"/>
      <c r="P62" s="7"/>
      <c r="Q62" s="50"/>
      <c r="R62" s="7"/>
      <c r="S62" s="50"/>
      <c r="T62" s="7"/>
      <c r="U62" s="50"/>
    </row>
    <row r="63" spans="1:27" ht="24" customHeight="1" x14ac:dyDescent="0.3">
      <c r="A63" s="252"/>
      <c r="B63" s="3" t="s">
        <v>30</v>
      </c>
      <c r="C63" s="7"/>
      <c r="D63" s="7"/>
      <c r="E63" s="50"/>
      <c r="F63" s="50"/>
      <c r="G63" s="110"/>
      <c r="H63" s="7"/>
      <c r="I63" s="50"/>
      <c r="J63" s="10"/>
      <c r="K63" s="50"/>
      <c r="L63" s="7"/>
      <c r="M63" s="50"/>
      <c r="N63" s="7"/>
      <c r="O63" s="50"/>
      <c r="P63" s="7"/>
      <c r="Q63" s="50"/>
      <c r="R63" s="7"/>
      <c r="S63" s="50"/>
      <c r="T63" s="7"/>
      <c r="U63" s="50"/>
    </row>
    <row r="64" spans="1:27" ht="24" customHeight="1" x14ac:dyDescent="0.3">
      <c r="A64" s="252"/>
      <c r="B64" s="3" t="s">
        <v>31</v>
      </c>
      <c r="C64" s="7"/>
      <c r="D64" s="7"/>
      <c r="E64" s="50"/>
      <c r="F64" s="50"/>
      <c r="G64" s="110"/>
      <c r="H64" s="7"/>
      <c r="I64" s="50"/>
      <c r="J64" s="10"/>
      <c r="K64" s="50"/>
      <c r="L64" s="7"/>
      <c r="M64" s="50"/>
      <c r="N64" s="7"/>
      <c r="O64" s="50"/>
      <c r="P64" s="7"/>
      <c r="Q64" s="50"/>
      <c r="R64" s="7"/>
      <c r="S64" s="50"/>
      <c r="T64" s="7"/>
      <c r="U64" s="50"/>
    </row>
    <row r="65" spans="1:39" ht="24" customHeight="1" x14ac:dyDescent="0.3">
      <c r="A65" s="252"/>
      <c r="B65" s="3" t="s">
        <v>32</v>
      </c>
      <c r="C65" s="7"/>
      <c r="D65" s="7"/>
      <c r="E65" s="50"/>
      <c r="F65" s="50"/>
      <c r="G65" s="110"/>
      <c r="H65" s="7"/>
      <c r="I65" s="50"/>
      <c r="J65" s="10"/>
      <c r="K65" s="50"/>
      <c r="L65" s="7"/>
      <c r="M65" s="50"/>
      <c r="N65" s="7"/>
      <c r="O65" s="50"/>
      <c r="P65" s="7"/>
      <c r="Q65" s="50"/>
      <c r="R65" s="7"/>
      <c r="S65" s="50"/>
      <c r="T65" s="7"/>
      <c r="U65" s="50"/>
    </row>
    <row r="66" spans="1:39" ht="24" customHeight="1" x14ac:dyDescent="0.3">
      <c r="A66" s="252"/>
      <c r="B66" s="99" t="s">
        <v>93</v>
      </c>
      <c r="C66" s="7"/>
      <c r="D66" s="7"/>
      <c r="E66" s="50"/>
      <c r="F66" s="50"/>
      <c r="G66" s="110"/>
      <c r="H66" s="7"/>
      <c r="I66" s="50"/>
      <c r="J66" s="10"/>
      <c r="K66" s="50"/>
      <c r="L66" s="7"/>
      <c r="M66" s="50"/>
      <c r="N66" s="7"/>
      <c r="O66" s="50"/>
      <c r="P66" s="7"/>
      <c r="Q66" s="50"/>
      <c r="R66" s="7"/>
      <c r="S66" s="50"/>
      <c r="T66" s="7"/>
      <c r="U66" s="50"/>
    </row>
    <row r="67" spans="1:39" ht="26.25" x14ac:dyDescent="0.3">
      <c r="A67" s="253"/>
      <c r="B67" s="36"/>
      <c r="C67" s="17">
        <f>SUM(C59:C66)</f>
        <v>0</v>
      </c>
      <c r="D67" s="17">
        <f>SUM(D59:D66)</f>
        <v>0</v>
      </c>
      <c r="E67" s="17">
        <f>SUM(E59:E66)</f>
        <v>0</v>
      </c>
      <c r="F67" s="17">
        <f>SUM(F59:F66)</f>
        <v>0</v>
      </c>
      <c r="G67" s="110"/>
      <c r="H67" s="17">
        <f t="shared" ref="H67:S67" si="3">SUM(H59:H66)</f>
        <v>0</v>
      </c>
      <c r="I67" s="17">
        <f t="shared" si="3"/>
        <v>0</v>
      </c>
      <c r="J67" s="17">
        <f t="shared" si="3"/>
        <v>0</v>
      </c>
      <c r="K67" s="17">
        <f t="shared" si="3"/>
        <v>0</v>
      </c>
      <c r="L67" s="17">
        <f t="shared" si="3"/>
        <v>0</v>
      </c>
      <c r="M67" s="17">
        <f t="shared" si="3"/>
        <v>0</v>
      </c>
      <c r="N67" s="17">
        <f t="shared" si="3"/>
        <v>0</v>
      </c>
      <c r="O67" s="17">
        <f t="shared" si="3"/>
        <v>0</v>
      </c>
      <c r="P67" s="17">
        <f t="shared" si="3"/>
        <v>0</v>
      </c>
      <c r="Q67" s="17">
        <f t="shared" si="3"/>
        <v>0</v>
      </c>
      <c r="R67" s="17">
        <f t="shared" si="3"/>
        <v>0</v>
      </c>
      <c r="S67" s="17">
        <f t="shared" si="3"/>
        <v>0</v>
      </c>
      <c r="T67" s="17">
        <f>SUM(T59:T66)</f>
        <v>0</v>
      </c>
      <c r="U67" s="17">
        <f>SUM(U59:U66)</f>
        <v>0</v>
      </c>
      <c r="AA67" s="254"/>
      <c r="AB67" s="254"/>
      <c r="AC67" s="254"/>
      <c r="AD67" s="254"/>
      <c r="AF67" s="234"/>
      <c r="AG67" s="234"/>
      <c r="AH67" s="234"/>
      <c r="AI67" s="234"/>
      <c r="AJ67" s="234"/>
      <c r="AL67" s="234"/>
      <c r="AM67" s="234"/>
    </row>
    <row r="69" spans="1:39" ht="19.5" customHeight="1" x14ac:dyDescent="0.35">
      <c r="A69" s="235" t="s">
        <v>23</v>
      </c>
      <c r="B69" s="235"/>
      <c r="C69" s="20">
        <v>41000</v>
      </c>
      <c r="D69" s="20">
        <v>4100</v>
      </c>
      <c r="E69" s="20">
        <v>55000</v>
      </c>
      <c r="F69" s="20">
        <v>5500</v>
      </c>
      <c r="H69" s="19">
        <v>5500</v>
      </c>
      <c r="I69" s="19">
        <v>4100</v>
      </c>
      <c r="J69" s="19">
        <v>6800</v>
      </c>
      <c r="K69" s="20">
        <v>5200</v>
      </c>
      <c r="L69" s="20">
        <v>20700</v>
      </c>
      <c r="M69" s="20">
        <v>6400</v>
      </c>
      <c r="N69" s="19">
        <v>18700</v>
      </c>
      <c r="O69" s="20">
        <v>21700</v>
      </c>
      <c r="P69" s="106">
        <v>8300</v>
      </c>
      <c r="Q69" s="19">
        <v>15200</v>
      </c>
      <c r="R69" s="20">
        <v>13100</v>
      </c>
      <c r="S69" s="19">
        <v>8500</v>
      </c>
      <c r="T69" s="19">
        <v>8500</v>
      </c>
      <c r="U69" s="19">
        <v>8500</v>
      </c>
      <c r="W69" s="236">
        <f>P72*0.85</f>
        <v>335325</v>
      </c>
      <c r="X69" s="237"/>
      <c r="Y69" s="238"/>
      <c r="AA69" s="242">
        <f>P74-P72</f>
        <v>0</v>
      </c>
      <c r="AB69" s="243"/>
      <c r="AC69" s="243"/>
      <c r="AD69" s="243"/>
      <c r="AF69" s="234"/>
      <c r="AG69" s="234"/>
      <c r="AH69" s="234"/>
      <c r="AI69" s="234"/>
      <c r="AJ69" s="234"/>
      <c r="AL69" s="234"/>
      <c r="AM69" s="234"/>
    </row>
    <row r="70" spans="1:39" ht="19.5" customHeight="1" x14ac:dyDescent="0.35">
      <c r="A70" s="235" t="s">
        <v>24</v>
      </c>
      <c r="B70" s="235"/>
      <c r="C70" s="20">
        <f>C69*C3</f>
        <v>369000</v>
      </c>
      <c r="D70" s="20">
        <f>D69*D3</f>
        <v>0</v>
      </c>
      <c r="E70" s="20">
        <f>E69*E3</f>
        <v>0</v>
      </c>
      <c r="F70" s="20">
        <f>F69*F3</f>
        <v>0</v>
      </c>
      <c r="H70" s="20">
        <f t="shared" ref="H70:U70" si="4">H69*H3</f>
        <v>0</v>
      </c>
      <c r="I70" s="20">
        <f t="shared" si="4"/>
        <v>0</v>
      </c>
      <c r="J70" s="20">
        <f t="shared" si="4"/>
        <v>6800</v>
      </c>
      <c r="K70" s="20">
        <f t="shared" si="4"/>
        <v>0</v>
      </c>
      <c r="L70" s="20">
        <f t="shared" si="4"/>
        <v>0</v>
      </c>
      <c r="M70" s="20">
        <f t="shared" si="4"/>
        <v>0</v>
      </c>
      <c r="N70" s="20">
        <f t="shared" si="4"/>
        <v>18700</v>
      </c>
      <c r="O70" s="20">
        <f t="shared" si="4"/>
        <v>0</v>
      </c>
      <c r="P70" s="20">
        <f t="shared" si="4"/>
        <v>0</v>
      </c>
      <c r="Q70" s="20">
        <f t="shared" si="4"/>
        <v>0</v>
      </c>
      <c r="R70" s="20">
        <f t="shared" si="4"/>
        <v>0</v>
      </c>
      <c r="S70" s="20">
        <f t="shared" si="4"/>
        <v>0</v>
      </c>
      <c r="T70" s="20">
        <f t="shared" si="4"/>
        <v>0</v>
      </c>
      <c r="U70" s="20">
        <f t="shared" si="4"/>
        <v>0</v>
      </c>
      <c r="W70" s="239"/>
      <c r="X70" s="240"/>
      <c r="Y70" s="241"/>
      <c r="AA70" s="243"/>
      <c r="AB70" s="243"/>
      <c r="AC70" s="243"/>
      <c r="AD70" s="243"/>
      <c r="AF70" s="234"/>
      <c r="AG70" s="234"/>
      <c r="AH70" s="234"/>
      <c r="AI70" s="234"/>
      <c r="AJ70" s="234"/>
      <c r="AL70" s="234"/>
      <c r="AM70" s="234"/>
    </row>
    <row r="72" spans="1:39" ht="26.25" x14ac:dyDescent="0.3">
      <c r="P72" s="259">
        <f>SUM(C70:U70)</f>
        <v>394500</v>
      </c>
      <c r="Q72" s="260"/>
      <c r="W72" s="247"/>
      <c r="X72" s="248"/>
      <c r="Y72" s="248"/>
      <c r="AA72" s="249"/>
      <c r="AB72" s="250"/>
      <c r="AC72" s="250"/>
      <c r="AD72" s="251"/>
    </row>
    <row r="74" spans="1:39" ht="26.25" x14ac:dyDescent="0.3">
      <c r="C74" s="244"/>
      <c r="D74" s="245"/>
      <c r="P74" s="246">
        <v>394500</v>
      </c>
      <c r="Q74" s="246"/>
      <c r="W74" s="247">
        <f>P74*0.85</f>
        <v>335325</v>
      </c>
      <c r="X74" s="248"/>
      <c r="Y74" s="248"/>
      <c r="AA74" s="249"/>
      <c r="AB74" s="250"/>
      <c r="AC74" s="250"/>
      <c r="AD74" s="251"/>
    </row>
    <row r="75" spans="1:39" x14ac:dyDescent="0.3">
      <c r="Q75" s="18"/>
      <c r="S75" s="18"/>
      <c r="U75" s="18"/>
      <c r="W75" s="245"/>
      <c r="X75" s="245"/>
      <c r="Y75" s="245"/>
      <c r="AA75" s="255"/>
      <c r="AB75" s="256"/>
      <c r="AC75" s="256"/>
      <c r="AD75" s="256"/>
    </row>
    <row r="76" spans="1:39" x14ac:dyDescent="0.3">
      <c r="P76" s="244"/>
      <c r="Q76" s="245"/>
      <c r="W76" s="245"/>
      <c r="X76" s="245"/>
      <c r="Y76" s="245"/>
      <c r="AA76" s="245"/>
      <c r="AB76" s="245"/>
      <c r="AC76" s="245"/>
      <c r="AD76" s="245"/>
    </row>
    <row r="77" spans="1:39" x14ac:dyDescent="0.3">
      <c r="P77" s="245"/>
      <c r="Q77" s="245"/>
      <c r="W77" s="245"/>
      <c r="X77" s="245"/>
      <c r="Y77" s="245"/>
      <c r="AA77" s="245"/>
      <c r="AB77" s="245"/>
      <c r="AC77" s="245"/>
      <c r="AD77" s="245"/>
    </row>
    <row r="78" spans="1:39" x14ac:dyDescent="0.3">
      <c r="P78" s="18"/>
      <c r="Q78" s="18"/>
      <c r="S78" s="18"/>
      <c r="U78" s="18"/>
      <c r="AA78" s="245"/>
      <c r="AB78" s="245"/>
      <c r="AC78" s="245"/>
      <c r="AD78" s="245"/>
    </row>
    <row r="79" spans="1:39" x14ac:dyDescent="0.3">
      <c r="C79">
        <f>C69*0.85</f>
        <v>34850</v>
      </c>
      <c r="D79">
        <f t="shared" ref="D79:R79" si="5">D69*0.85</f>
        <v>3485</v>
      </c>
      <c r="E79">
        <f t="shared" si="5"/>
        <v>46750</v>
      </c>
      <c r="F79">
        <f t="shared" si="5"/>
        <v>4675</v>
      </c>
      <c r="H79">
        <f t="shared" si="5"/>
        <v>4675</v>
      </c>
      <c r="I79">
        <f t="shared" si="5"/>
        <v>3485</v>
      </c>
      <c r="J79">
        <f t="shared" si="5"/>
        <v>5780</v>
      </c>
      <c r="K79">
        <f t="shared" si="5"/>
        <v>4420</v>
      </c>
      <c r="L79">
        <f t="shared" si="5"/>
        <v>17595</v>
      </c>
      <c r="M79">
        <f t="shared" si="5"/>
        <v>5440</v>
      </c>
      <c r="N79">
        <f t="shared" si="5"/>
        <v>15895</v>
      </c>
      <c r="O79">
        <f t="shared" si="5"/>
        <v>18445</v>
      </c>
      <c r="P79">
        <f t="shared" si="5"/>
        <v>7055</v>
      </c>
      <c r="Q79">
        <f t="shared" si="5"/>
        <v>12920</v>
      </c>
      <c r="R79">
        <f t="shared" si="5"/>
        <v>11135</v>
      </c>
      <c r="S79">
        <f>S69*0.85</f>
        <v>7225</v>
      </c>
      <c r="T79">
        <f>T69*0.85</f>
        <v>7225</v>
      </c>
      <c r="U79">
        <f>U69*0.85</f>
        <v>7225</v>
      </c>
    </row>
    <row r="80" spans="1:39" x14ac:dyDescent="0.3">
      <c r="C80">
        <v>29500</v>
      </c>
      <c r="D80">
        <v>2950</v>
      </c>
      <c r="E80">
        <v>51000</v>
      </c>
      <c r="F80">
        <v>5100</v>
      </c>
      <c r="H80">
        <v>3600</v>
      </c>
      <c r="I80">
        <v>2950</v>
      </c>
      <c r="J80">
        <v>4000</v>
      </c>
      <c r="K80">
        <v>4200</v>
      </c>
      <c r="L80">
        <v>15000</v>
      </c>
      <c r="M80">
        <v>4500</v>
      </c>
      <c r="N80">
        <v>9500</v>
      </c>
      <c r="O80">
        <v>12000</v>
      </c>
      <c r="P80">
        <v>8000</v>
      </c>
      <c r="Q80">
        <v>12000</v>
      </c>
      <c r="R80">
        <v>8500</v>
      </c>
    </row>
    <row r="81" spans="3:30" x14ac:dyDescent="0.3">
      <c r="C81">
        <f>C79-C80</f>
        <v>5350</v>
      </c>
      <c r="D81">
        <f t="shared" ref="D81:R81" si="6">D79-D80</f>
        <v>535</v>
      </c>
      <c r="E81">
        <f t="shared" si="6"/>
        <v>-4250</v>
      </c>
      <c r="F81">
        <f t="shared" si="6"/>
        <v>-425</v>
      </c>
      <c r="H81">
        <f t="shared" si="6"/>
        <v>1075</v>
      </c>
      <c r="I81">
        <f t="shared" si="6"/>
        <v>535</v>
      </c>
      <c r="J81">
        <f t="shared" si="6"/>
        <v>1780</v>
      </c>
      <c r="K81">
        <f t="shared" si="6"/>
        <v>220</v>
      </c>
      <c r="L81">
        <f t="shared" si="6"/>
        <v>2595</v>
      </c>
      <c r="M81">
        <f t="shared" si="6"/>
        <v>940</v>
      </c>
      <c r="N81">
        <f t="shared" si="6"/>
        <v>6395</v>
      </c>
      <c r="O81">
        <f t="shared" si="6"/>
        <v>6445</v>
      </c>
      <c r="P81">
        <f t="shared" si="6"/>
        <v>-945</v>
      </c>
      <c r="Q81">
        <f t="shared" si="6"/>
        <v>920</v>
      </c>
      <c r="R81">
        <f t="shared" si="6"/>
        <v>2635</v>
      </c>
    </row>
    <row r="82" spans="3:30" x14ac:dyDescent="0.3">
      <c r="C82">
        <f>C81*C3</f>
        <v>48150</v>
      </c>
      <c r="D82">
        <f t="shared" ref="D82:R82" si="7">D81*D3</f>
        <v>0</v>
      </c>
      <c r="E82">
        <f t="shared" si="7"/>
        <v>0</v>
      </c>
      <c r="F82">
        <f t="shared" si="7"/>
        <v>0</v>
      </c>
      <c r="G82">
        <f t="shared" si="7"/>
        <v>0</v>
      </c>
      <c r="H82">
        <f t="shared" si="7"/>
        <v>0</v>
      </c>
      <c r="I82">
        <f t="shared" si="7"/>
        <v>0</v>
      </c>
      <c r="J82">
        <f t="shared" si="7"/>
        <v>1780</v>
      </c>
      <c r="K82">
        <f t="shared" si="7"/>
        <v>0</v>
      </c>
      <c r="L82">
        <f t="shared" si="7"/>
        <v>0</v>
      </c>
      <c r="M82">
        <f t="shared" si="7"/>
        <v>0</v>
      </c>
      <c r="N82">
        <f t="shared" si="7"/>
        <v>6395</v>
      </c>
      <c r="O82">
        <f t="shared" si="7"/>
        <v>0</v>
      </c>
      <c r="P82">
        <f t="shared" si="7"/>
        <v>0</v>
      </c>
      <c r="Q82">
        <f t="shared" si="7"/>
        <v>0</v>
      </c>
      <c r="R82">
        <f t="shared" si="7"/>
        <v>0</v>
      </c>
      <c r="Z82" s="245"/>
      <c r="AA82" s="245"/>
      <c r="AB82" s="245"/>
      <c r="AC82" s="245"/>
      <c r="AD82" s="245"/>
    </row>
    <row r="83" spans="3:30" x14ac:dyDescent="0.3">
      <c r="Z83" s="245"/>
      <c r="AA83" s="245"/>
      <c r="AB83" s="245"/>
      <c r="AC83" s="245"/>
      <c r="AD83" s="245"/>
    </row>
    <row r="84" spans="3:30" ht="26.25" x14ac:dyDescent="0.3">
      <c r="P84" s="257">
        <f>SUM(C82:R82)</f>
        <v>56325</v>
      </c>
      <c r="Q84" s="258"/>
    </row>
  </sheetData>
  <mergeCells count="28">
    <mergeCell ref="W75:Y77"/>
    <mergeCell ref="AA75:AD78"/>
    <mergeCell ref="P76:Q77"/>
    <mergeCell ref="Z82:AD83"/>
    <mergeCell ref="P84:Q84"/>
    <mergeCell ref="P72:Q72"/>
    <mergeCell ref="W72:Y72"/>
    <mergeCell ref="AA72:AD72"/>
    <mergeCell ref="C74:D74"/>
    <mergeCell ref="P74:Q74"/>
    <mergeCell ref="W74:Y74"/>
    <mergeCell ref="AA74:AD74"/>
    <mergeCell ref="A59:A67"/>
    <mergeCell ref="AA67:AD67"/>
    <mergeCell ref="AF67:AJ67"/>
    <mergeCell ref="AL67:AM67"/>
    <mergeCell ref="A69:B69"/>
    <mergeCell ref="W69:Y70"/>
    <mergeCell ref="AA69:AD70"/>
    <mergeCell ref="AF69:AJ70"/>
    <mergeCell ref="AL69:AM70"/>
    <mergeCell ref="A70:B70"/>
    <mergeCell ref="A1:B2"/>
    <mergeCell ref="C1:D1"/>
    <mergeCell ref="E1:F1"/>
    <mergeCell ref="A4:A31"/>
    <mergeCell ref="X28:AB28"/>
    <mergeCell ref="A32:A58"/>
  </mergeCells>
  <phoneticPr fontId="33" type="noConversion"/>
  <conditionalFormatting sqref="B7:B11">
    <cfRule type="duplicateValues" dxfId="205" priority="2"/>
  </conditionalFormatting>
  <conditionalFormatting sqref="B59:B66">
    <cfRule type="duplicateValues" dxfId="204" priority="3"/>
  </conditionalFormatting>
  <conditionalFormatting sqref="B12">
    <cfRule type="duplicateValues" dxfId="203" priority="1"/>
  </conditionalFormatting>
  <conditionalFormatting sqref="B4:B6 B13:B30">
    <cfRule type="expression" dxfId="202" priority="5" stopIfTrue="1">
      <formula>AND(COUNTIF($B$4:$B$6, B4)+COUNTIF($B$13:$B$30, B4)&gt;1,NOT(ISBLANK(B4)))</formula>
    </cfRule>
  </conditionalFormatting>
  <conditionalFormatting sqref="B32:B57">
    <cfRule type="duplicateValues" dxfId="201" priority="4"/>
  </conditionalFormatting>
  <printOptions horizontalCentered="1" verticalCentered="1"/>
  <pageMargins left="0" right="0" top="7.874015748031496E-2" bottom="7.874015748031496E-2" header="0" footer="0"/>
  <pageSetup paperSize="9" scale="2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V17"/>
  <sheetViews>
    <sheetView zoomScale="70" zoomScaleNormal="70" workbookViewId="0">
      <pane ySplit="3" topLeftCell="A4" activePane="bottomLeft" state="frozen"/>
      <selection activeCell="T6" sqref="T6"/>
      <selection pane="bottomLeft" activeCell="T6" sqref="T6"/>
    </sheetView>
  </sheetViews>
  <sheetFormatPr defaultRowHeight="16.5" x14ac:dyDescent="0.3"/>
  <cols>
    <col min="1" max="1" width="32.875" customWidth="1"/>
    <col min="2" max="6" width="10" customWidth="1"/>
    <col min="7" max="7" width="5.75" customWidth="1"/>
    <col min="8" max="8" width="18.5" customWidth="1"/>
    <col min="9" max="22" width="10.875" customWidth="1"/>
  </cols>
  <sheetData>
    <row r="1" spans="1:22" ht="113.25" customHeight="1" x14ac:dyDescent="0.3">
      <c r="A1" s="222" t="s">
        <v>110</v>
      </c>
      <c r="B1" s="223"/>
      <c r="C1" s="267" t="s">
        <v>97</v>
      </c>
      <c r="D1" s="268"/>
      <c r="E1" s="228" t="s">
        <v>98</v>
      </c>
      <c r="F1" s="228"/>
      <c r="G1" s="8"/>
      <c r="H1" s="269" t="s">
        <v>18</v>
      </c>
      <c r="I1" s="72" t="s">
        <v>20</v>
      </c>
      <c r="J1" s="109" t="s">
        <v>21</v>
      </c>
      <c r="K1" s="5" t="s">
        <v>101</v>
      </c>
      <c r="L1" s="109" t="s">
        <v>100</v>
      </c>
      <c r="M1" s="5" t="s">
        <v>96</v>
      </c>
      <c r="N1" s="109" t="s">
        <v>99</v>
      </c>
      <c r="O1" s="5" t="s">
        <v>102</v>
      </c>
      <c r="P1" s="109" t="s">
        <v>103</v>
      </c>
      <c r="Q1" s="5" t="s">
        <v>104</v>
      </c>
      <c r="R1" s="109" t="s">
        <v>105</v>
      </c>
      <c r="S1" s="5" t="s">
        <v>106</v>
      </c>
      <c r="T1" s="109" t="s">
        <v>85</v>
      </c>
      <c r="U1" s="5" t="s">
        <v>86</v>
      </c>
      <c r="V1" s="109" t="s">
        <v>88</v>
      </c>
    </row>
    <row r="2" spans="1:22" ht="43.5" customHeight="1" x14ac:dyDescent="0.3">
      <c r="A2" s="224"/>
      <c r="B2" s="225"/>
      <c r="C2" s="73" t="s">
        <v>2</v>
      </c>
      <c r="D2" s="73" t="s">
        <v>22</v>
      </c>
      <c r="E2" s="1" t="s">
        <v>2</v>
      </c>
      <c r="F2" s="1" t="s">
        <v>1</v>
      </c>
      <c r="G2" s="9"/>
      <c r="H2" s="270"/>
      <c r="I2" s="6" t="s">
        <v>3</v>
      </c>
      <c r="J2" s="1" t="s">
        <v>1</v>
      </c>
      <c r="K2" s="6" t="s">
        <v>3</v>
      </c>
      <c r="L2" s="1" t="s">
        <v>1</v>
      </c>
      <c r="M2" s="6" t="s">
        <v>3</v>
      </c>
      <c r="N2" s="1" t="s">
        <v>1</v>
      </c>
      <c r="O2" s="6" t="s">
        <v>3</v>
      </c>
      <c r="P2" s="1" t="s">
        <v>1</v>
      </c>
      <c r="Q2" s="6" t="s">
        <v>3</v>
      </c>
      <c r="R2" s="1" t="s">
        <v>1</v>
      </c>
      <c r="S2" s="6" t="s">
        <v>3</v>
      </c>
      <c r="T2" s="1" t="s">
        <v>1</v>
      </c>
      <c r="U2" s="6" t="s">
        <v>3</v>
      </c>
      <c r="V2" s="1" t="s">
        <v>3</v>
      </c>
    </row>
    <row r="3" spans="1:22" ht="39" customHeight="1" thickBot="1" x14ac:dyDescent="0.35">
      <c r="A3" s="271" t="s">
        <v>10</v>
      </c>
      <c r="B3" s="272"/>
      <c r="C3" s="44">
        <f>SUM(C4:C19)</f>
        <v>9</v>
      </c>
      <c r="D3" s="44">
        <f>SUM(D4:D19)</f>
        <v>0</v>
      </c>
      <c r="E3" s="44">
        <f>SUM(E4:E19)</f>
        <v>0</v>
      </c>
      <c r="F3" s="44">
        <f>SUM(F4:F19)</f>
        <v>0</v>
      </c>
      <c r="G3" s="110"/>
      <c r="H3" s="13" t="s">
        <v>10</v>
      </c>
      <c r="I3" s="44">
        <f t="shared" ref="I3:V3" si="0">SUM(I4:I11)</f>
        <v>0</v>
      </c>
      <c r="J3" s="44">
        <f t="shared" si="0"/>
        <v>0</v>
      </c>
      <c r="K3" s="44">
        <f t="shared" si="0"/>
        <v>1</v>
      </c>
      <c r="L3" s="44">
        <f t="shared" si="0"/>
        <v>0</v>
      </c>
      <c r="M3" s="44">
        <f t="shared" si="0"/>
        <v>0</v>
      </c>
      <c r="N3" s="44">
        <f t="shared" si="0"/>
        <v>0</v>
      </c>
      <c r="O3" s="44">
        <f t="shared" si="0"/>
        <v>1</v>
      </c>
      <c r="P3" s="44">
        <f t="shared" si="0"/>
        <v>0</v>
      </c>
      <c r="Q3" s="44">
        <f t="shared" si="0"/>
        <v>0</v>
      </c>
      <c r="R3" s="44">
        <f t="shared" si="0"/>
        <v>0</v>
      </c>
      <c r="S3" s="44">
        <f t="shared" si="0"/>
        <v>0</v>
      </c>
      <c r="T3" s="44">
        <f t="shared" si="0"/>
        <v>0</v>
      </c>
      <c r="U3" s="44">
        <f t="shared" si="0"/>
        <v>0</v>
      </c>
      <c r="V3" s="93">
        <f t="shared" si="0"/>
        <v>0</v>
      </c>
    </row>
    <row r="4" spans="1:22" ht="82.7" customHeight="1" thickTop="1" x14ac:dyDescent="0.3">
      <c r="A4" s="273" t="s">
        <v>15</v>
      </c>
      <c r="B4" s="274"/>
      <c r="C4" s="57">
        <f>'학교별01.23'!C31</f>
        <v>0</v>
      </c>
      <c r="D4" s="57">
        <f>'학교별01.23'!D31</f>
        <v>0</v>
      </c>
      <c r="E4" s="58">
        <f>'학교별01.23'!E31</f>
        <v>0</v>
      </c>
      <c r="F4" s="59">
        <f>'학교별01.23'!F31</f>
        <v>0</v>
      </c>
      <c r="G4" s="110"/>
      <c r="H4" s="49" t="s">
        <v>15</v>
      </c>
      <c r="I4" s="47">
        <f>'학교별01.23'!H31</f>
        <v>0</v>
      </c>
      <c r="J4" s="45">
        <f>'학교별01.23'!I31</f>
        <v>0</v>
      </c>
      <c r="K4" s="47">
        <f>'학교별01.23'!J31</f>
        <v>1</v>
      </c>
      <c r="L4" s="45">
        <f>'학교별01.23'!K31</f>
        <v>0</v>
      </c>
      <c r="M4" s="47">
        <f>'학교별01.23'!L31</f>
        <v>0</v>
      </c>
      <c r="N4" s="45">
        <f>'학교별01.23'!M31</f>
        <v>0</v>
      </c>
      <c r="O4" s="47">
        <f>'학교별01.23'!N31</f>
        <v>1</v>
      </c>
      <c r="P4" s="45">
        <f>'학교별01.23'!O31</f>
        <v>0</v>
      </c>
      <c r="Q4" s="47">
        <f>'학교별01.23'!P31</f>
        <v>0</v>
      </c>
      <c r="R4" s="45">
        <f>'학교별01.23'!Q31</f>
        <v>0</v>
      </c>
      <c r="S4" s="47">
        <f>'학교별01.23'!R31</f>
        <v>0</v>
      </c>
      <c r="T4" s="45">
        <f>'학교별01.23'!S31</f>
        <v>0</v>
      </c>
      <c r="U4" s="47">
        <f>'학교별01.23'!T31</f>
        <v>0</v>
      </c>
      <c r="V4" s="87">
        <f>'학교별01.23'!U31</f>
        <v>0</v>
      </c>
    </row>
    <row r="5" spans="1:22" ht="82.7" customHeight="1" thickBot="1" x14ac:dyDescent="0.35">
      <c r="A5" s="275"/>
      <c r="B5" s="276"/>
      <c r="C5" s="79"/>
      <c r="D5" s="60"/>
      <c r="E5" s="62"/>
      <c r="F5" s="61"/>
      <c r="G5" s="110"/>
      <c r="H5" s="40"/>
      <c r="I5" s="83"/>
      <c r="J5" s="81"/>
      <c r="K5" s="95"/>
      <c r="L5" s="81"/>
      <c r="M5" s="84"/>
      <c r="N5" s="81"/>
      <c r="O5" s="83"/>
      <c r="P5" s="42"/>
      <c r="Q5" s="41"/>
      <c r="R5" s="42"/>
      <c r="S5" s="83"/>
      <c r="T5" s="42"/>
      <c r="U5" s="41"/>
      <c r="V5" s="94"/>
    </row>
    <row r="6" spans="1:22" ht="18" thickTop="1" thickBot="1" x14ac:dyDescent="0.35">
      <c r="H6" s="33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89"/>
    </row>
    <row r="7" spans="1:22" ht="82.7" customHeight="1" thickTop="1" x14ac:dyDescent="0.3">
      <c r="A7" s="277" t="s">
        <v>26</v>
      </c>
      <c r="B7" s="278"/>
      <c r="C7" s="47">
        <f>'학교별01.23'!C58</f>
        <v>9</v>
      </c>
      <c r="D7" s="47">
        <f>'학교별01.23'!D58</f>
        <v>0</v>
      </c>
      <c r="E7" s="45">
        <f>'학교별01.23'!E58</f>
        <v>0</v>
      </c>
      <c r="F7" s="45">
        <f>'학교별01.23'!F58</f>
        <v>0</v>
      </c>
      <c r="G7" s="37"/>
      <c r="H7" s="55" t="s">
        <v>17</v>
      </c>
      <c r="I7" s="48">
        <f>'학교별01.23'!H58</f>
        <v>0</v>
      </c>
      <c r="J7" s="46">
        <f>'학교별01.23'!I58</f>
        <v>0</v>
      </c>
      <c r="K7" s="48">
        <f>'학교별01.23'!J58</f>
        <v>0</v>
      </c>
      <c r="L7" s="46">
        <f>'학교별01.23'!K58</f>
        <v>0</v>
      </c>
      <c r="M7" s="48">
        <f>'학교별01.23'!L58</f>
        <v>0</v>
      </c>
      <c r="N7" s="46">
        <f>'학교별01.23'!M58</f>
        <v>0</v>
      </c>
      <c r="O7" s="48">
        <f>'학교별01.23'!N58</f>
        <v>0</v>
      </c>
      <c r="P7" s="46">
        <f>'학교별01.23'!O58</f>
        <v>0</v>
      </c>
      <c r="Q7" s="48">
        <f>'학교별01.23'!P58</f>
        <v>0</v>
      </c>
      <c r="R7" s="46">
        <f>'학교별01.23'!Q58</f>
        <v>0</v>
      </c>
      <c r="S7" s="48">
        <f>'학교별01.23'!R58</f>
        <v>0</v>
      </c>
      <c r="T7" s="46">
        <f>'학교별01.23'!S58</f>
        <v>0</v>
      </c>
      <c r="U7" s="48">
        <f>'학교별01.23'!T58</f>
        <v>0</v>
      </c>
      <c r="V7" s="90">
        <f>'학교별01.23'!U58</f>
        <v>0</v>
      </c>
    </row>
    <row r="8" spans="1:22" ht="82.7" customHeight="1" thickBot="1" x14ac:dyDescent="0.35">
      <c r="A8" s="261"/>
      <c r="B8" s="262"/>
      <c r="C8" s="75"/>
      <c r="D8" s="96"/>
      <c r="E8" s="78"/>
      <c r="F8" s="38"/>
      <c r="G8" s="39"/>
      <c r="H8" s="110"/>
      <c r="I8" s="41"/>
      <c r="J8" s="42"/>
      <c r="K8" s="41"/>
      <c r="L8" s="42"/>
      <c r="M8" s="41"/>
      <c r="N8" s="42"/>
      <c r="O8" s="41"/>
      <c r="P8" s="42"/>
      <c r="Q8" s="41"/>
      <c r="R8" s="98"/>
      <c r="S8" s="41"/>
      <c r="T8" s="42"/>
      <c r="U8" s="41"/>
      <c r="V8" s="88"/>
    </row>
    <row r="9" spans="1:22" ht="18" thickTop="1" thickBot="1" x14ac:dyDescent="0.35">
      <c r="H9" s="33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89"/>
    </row>
    <row r="10" spans="1:22" ht="82.7" customHeight="1" thickTop="1" x14ac:dyDescent="0.3">
      <c r="A10" s="263" t="s">
        <v>16</v>
      </c>
      <c r="B10" s="264"/>
      <c r="C10" s="65">
        <f>'학교별01.23'!C67</f>
        <v>0</v>
      </c>
      <c r="D10" s="65">
        <f>'학교별01.23'!D67</f>
        <v>0</v>
      </c>
      <c r="E10" s="66">
        <f>'학교별01.23'!E67</f>
        <v>0</v>
      </c>
      <c r="F10" s="67">
        <f>'학교별01.23'!F67</f>
        <v>0</v>
      </c>
      <c r="G10" s="110"/>
      <c r="H10" s="53" t="s">
        <v>25</v>
      </c>
      <c r="I10" s="52">
        <f>'학교별01.23'!H67</f>
        <v>0</v>
      </c>
      <c r="J10" s="51">
        <f>'학교별01.23'!I67</f>
        <v>0</v>
      </c>
      <c r="K10" s="52">
        <f>'학교별01.23'!J67</f>
        <v>0</v>
      </c>
      <c r="L10" s="51">
        <f>'학교별01.23'!K67</f>
        <v>0</v>
      </c>
      <c r="M10" s="52">
        <f>'학교별01.23'!L67</f>
        <v>0</v>
      </c>
      <c r="N10" s="51">
        <f>'학교별01.23'!M67</f>
        <v>0</v>
      </c>
      <c r="O10" s="52">
        <f>'학교별01.23'!N67</f>
        <v>0</v>
      </c>
      <c r="P10" s="51">
        <f>'학교별01.23'!O67</f>
        <v>0</v>
      </c>
      <c r="Q10" s="52">
        <f>'학교별01.23'!P67</f>
        <v>0</v>
      </c>
      <c r="R10" s="51">
        <f>'학교별01.23'!Q67</f>
        <v>0</v>
      </c>
      <c r="S10" s="52">
        <f>'학교별01.23'!R67</f>
        <v>0</v>
      </c>
      <c r="T10" s="51">
        <f>'학교별01.23'!S67</f>
        <v>0</v>
      </c>
      <c r="U10" s="52">
        <f>'학교별01.23'!T67</f>
        <v>0</v>
      </c>
      <c r="V10" s="91">
        <f>'학교별01.23'!U67</f>
        <v>0</v>
      </c>
    </row>
    <row r="11" spans="1:22" ht="82.7" customHeight="1" thickBot="1" x14ac:dyDescent="0.35">
      <c r="A11" s="265"/>
      <c r="B11" s="266"/>
      <c r="C11" s="68"/>
      <c r="D11" s="69"/>
      <c r="E11" s="70"/>
      <c r="F11" s="71"/>
      <c r="H11" s="64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92"/>
    </row>
    <row r="12" spans="1:22" ht="17.25" thickTop="1" x14ac:dyDescent="0.3"/>
    <row r="17" spans="8:8" x14ac:dyDescent="0.3">
      <c r="H17" t="s">
        <v>83</v>
      </c>
    </row>
  </sheetData>
  <mergeCells count="11">
    <mergeCell ref="H1:H2"/>
    <mergeCell ref="A3:B3"/>
    <mergeCell ref="A4:B4"/>
    <mergeCell ref="A5:B5"/>
    <mergeCell ref="A7:B7"/>
    <mergeCell ref="A8:B8"/>
    <mergeCell ref="A10:B10"/>
    <mergeCell ref="A11:B11"/>
    <mergeCell ref="A1:B2"/>
    <mergeCell ref="C1:D1"/>
    <mergeCell ref="E1:F1"/>
  </mergeCells>
  <phoneticPr fontId="33" type="noConversion"/>
  <conditionalFormatting sqref="A10">
    <cfRule type="duplicateValues" dxfId="200" priority="1"/>
  </conditionalFormatting>
  <conditionalFormatting sqref="A4:A5">
    <cfRule type="duplicateValues" dxfId="199" priority="2"/>
  </conditionalFormatting>
  <conditionalFormatting sqref="A7:A8">
    <cfRule type="duplicateValues" dxfId="198" priority="3"/>
  </conditionalFormatting>
  <printOptions horizontalCentered="1" verticalCentered="1"/>
  <pageMargins left="0" right="0" top="7.874015748031496E-2" bottom="7.874015748031496E-2" header="0" footer="0"/>
  <pageSetup paperSize="9" scale="5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84"/>
  <sheetViews>
    <sheetView zoomScale="70" zoomScaleNormal="70" workbookViewId="0">
      <pane ySplit="3" topLeftCell="A53" activePane="bottomLeft" state="frozen"/>
      <selection activeCell="Y4" sqref="Y4"/>
      <selection pane="bottomLeft" activeCell="Y4" sqref="Y4"/>
    </sheetView>
  </sheetViews>
  <sheetFormatPr defaultRowHeight="16.5" x14ac:dyDescent="0.3"/>
  <cols>
    <col min="1" max="1" width="9" customWidth="1"/>
    <col min="2" max="2" width="33.75" customWidth="1"/>
    <col min="3" max="3" width="10.75" customWidth="1"/>
    <col min="4" max="4" width="10" customWidth="1"/>
    <col min="5" max="5" width="10.5" customWidth="1"/>
    <col min="6" max="6" width="10" customWidth="1"/>
    <col min="7" max="7" width="4.125" customWidth="1"/>
    <col min="8" max="21" width="10.875" customWidth="1"/>
    <col min="22" max="22" width="5.5" customWidth="1"/>
    <col min="23" max="23" width="10.875" bestFit="1" customWidth="1"/>
  </cols>
  <sheetData>
    <row r="1" spans="1:25" ht="113.25" customHeight="1" x14ac:dyDescent="0.3">
      <c r="A1" s="222" t="s">
        <v>111</v>
      </c>
      <c r="B1" s="223"/>
      <c r="C1" s="226" t="s">
        <v>0</v>
      </c>
      <c r="D1" s="227"/>
      <c r="E1" s="228" t="s">
        <v>19</v>
      </c>
      <c r="F1" s="228"/>
      <c r="G1" s="8"/>
      <c r="H1" s="72" t="s">
        <v>20</v>
      </c>
      <c r="I1" s="111" t="s">
        <v>21</v>
      </c>
      <c r="J1" s="5" t="s">
        <v>7</v>
      </c>
      <c r="K1" s="111" t="s">
        <v>4</v>
      </c>
      <c r="L1" s="5" t="s">
        <v>6</v>
      </c>
      <c r="M1" s="111" t="s">
        <v>5</v>
      </c>
      <c r="N1" s="5" t="s">
        <v>9</v>
      </c>
      <c r="O1" s="111" t="s">
        <v>11</v>
      </c>
      <c r="P1" s="5" t="s">
        <v>8</v>
      </c>
      <c r="Q1" s="111" t="s">
        <v>12</v>
      </c>
      <c r="R1" s="5" t="s">
        <v>95</v>
      </c>
      <c r="S1" s="111" t="s">
        <v>85</v>
      </c>
      <c r="T1" s="5" t="s">
        <v>86</v>
      </c>
      <c r="U1" s="111" t="s">
        <v>87</v>
      </c>
    </row>
    <row r="2" spans="1:25" ht="43.5" customHeight="1" x14ac:dyDescent="0.3">
      <c r="A2" s="224"/>
      <c r="B2" s="225"/>
      <c r="C2" s="73" t="s">
        <v>2</v>
      </c>
      <c r="D2" s="21" t="s">
        <v>1</v>
      </c>
      <c r="E2" s="1" t="s">
        <v>2</v>
      </c>
      <c r="F2" s="1" t="s">
        <v>1</v>
      </c>
      <c r="G2" s="9"/>
      <c r="H2" s="6" t="s">
        <v>3</v>
      </c>
      <c r="I2" s="1" t="s">
        <v>1</v>
      </c>
      <c r="J2" s="6" t="s">
        <v>3</v>
      </c>
      <c r="K2" s="1" t="s">
        <v>1</v>
      </c>
      <c r="L2" s="6" t="s">
        <v>3</v>
      </c>
      <c r="M2" s="1" t="s">
        <v>1</v>
      </c>
      <c r="N2" s="6" t="s">
        <v>3</v>
      </c>
      <c r="O2" s="1" t="s">
        <v>1</v>
      </c>
      <c r="P2" s="6" t="s">
        <v>3</v>
      </c>
      <c r="Q2" s="1" t="s">
        <v>1</v>
      </c>
      <c r="R2" s="6" t="s">
        <v>3</v>
      </c>
      <c r="S2" s="1" t="s">
        <v>1</v>
      </c>
      <c r="T2" s="6" t="s">
        <v>3</v>
      </c>
      <c r="U2" s="1" t="s">
        <v>1</v>
      </c>
    </row>
    <row r="3" spans="1:25" ht="26.25" x14ac:dyDescent="0.3">
      <c r="A3" s="97" t="s">
        <v>14</v>
      </c>
      <c r="B3" s="12" t="s">
        <v>10</v>
      </c>
      <c r="C3" s="29">
        <f>C31+C58+C67</f>
        <v>39</v>
      </c>
      <c r="D3" s="30">
        <f>D31+D58+D67</f>
        <v>0</v>
      </c>
      <c r="E3" s="30">
        <f>E31+E58+E67</f>
        <v>0</v>
      </c>
      <c r="F3" s="14">
        <f>F31+F58+F67</f>
        <v>0</v>
      </c>
      <c r="G3" s="112"/>
      <c r="H3" s="2">
        <f t="shared" ref="H3:U3" si="0">H31+H58+H67</f>
        <v>0</v>
      </c>
      <c r="I3" s="2">
        <f t="shared" si="0"/>
        <v>0</v>
      </c>
      <c r="J3" s="85">
        <f t="shared" si="0"/>
        <v>0</v>
      </c>
      <c r="K3" s="2">
        <f t="shared" si="0"/>
        <v>0</v>
      </c>
      <c r="L3" s="2">
        <f t="shared" si="0"/>
        <v>1</v>
      </c>
      <c r="M3" s="2">
        <f t="shared" si="0"/>
        <v>1</v>
      </c>
      <c r="N3" s="2">
        <f t="shared" si="0"/>
        <v>0</v>
      </c>
      <c r="O3" s="2">
        <f t="shared" si="0"/>
        <v>0</v>
      </c>
      <c r="P3" s="2">
        <f t="shared" si="0"/>
        <v>0</v>
      </c>
      <c r="Q3" s="2">
        <f t="shared" si="0"/>
        <v>0</v>
      </c>
      <c r="R3" s="2">
        <f t="shared" si="0"/>
        <v>0</v>
      </c>
      <c r="S3" s="2">
        <f t="shared" si="0"/>
        <v>0</v>
      </c>
      <c r="T3" s="2">
        <f t="shared" si="0"/>
        <v>0</v>
      </c>
      <c r="U3" s="2">
        <f t="shared" si="0"/>
        <v>0</v>
      </c>
      <c r="V3" s="4">
        <f>D3*10</f>
        <v>0</v>
      </c>
      <c r="W3">
        <f>F3*10+E3</f>
        <v>0</v>
      </c>
      <c r="X3" s="4">
        <f>SUM(H3:Q3)</f>
        <v>2</v>
      </c>
      <c r="Y3" s="11">
        <f>SUM(V3:X3)</f>
        <v>2</v>
      </c>
    </row>
    <row r="4" spans="1:25" ht="24" customHeight="1" x14ac:dyDescent="0.3">
      <c r="A4" s="229" t="s">
        <v>34</v>
      </c>
      <c r="B4" s="3" t="s">
        <v>36</v>
      </c>
      <c r="C4" s="7"/>
      <c r="D4" s="7"/>
      <c r="E4" s="50"/>
      <c r="F4" s="50"/>
      <c r="G4" s="112"/>
      <c r="H4" s="7"/>
      <c r="I4" s="50"/>
      <c r="J4" s="10"/>
      <c r="K4" s="50"/>
      <c r="L4" s="7"/>
      <c r="M4" s="50"/>
      <c r="N4" s="10"/>
      <c r="O4" s="50"/>
      <c r="P4" s="7"/>
      <c r="Q4" s="50"/>
      <c r="R4" s="7"/>
      <c r="S4" s="50"/>
      <c r="T4" s="7"/>
      <c r="U4" s="50"/>
    </row>
    <row r="5" spans="1:25" ht="24" customHeight="1" x14ac:dyDescent="0.3">
      <c r="A5" s="230"/>
      <c r="B5" s="3" t="s">
        <v>82</v>
      </c>
      <c r="C5" s="7"/>
      <c r="D5" s="7"/>
      <c r="E5" s="50"/>
      <c r="F5" s="50"/>
      <c r="G5" s="112"/>
      <c r="H5" s="7"/>
      <c r="I5" s="50"/>
      <c r="J5" s="10"/>
      <c r="K5" s="50"/>
      <c r="L5" s="7"/>
      <c r="M5" s="50"/>
      <c r="N5" s="10"/>
      <c r="O5" s="50"/>
      <c r="P5" s="7"/>
      <c r="Q5" s="50"/>
      <c r="R5" s="7"/>
      <c r="S5" s="50"/>
      <c r="T5" s="7"/>
      <c r="U5" s="50"/>
    </row>
    <row r="6" spans="1:25" ht="24" customHeight="1" x14ac:dyDescent="0.3">
      <c r="A6" s="230"/>
      <c r="B6" s="3" t="s">
        <v>37</v>
      </c>
      <c r="C6" s="7"/>
      <c r="D6" s="7"/>
      <c r="E6" s="50"/>
      <c r="F6" s="50"/>
      <c r="G6" s="112"/>
      <c r="H6" s="7"/>
      <c r="I6" s="50"/>
      <c r="J6" s="10"/>
      <c r="K6" s="50"/>
      <c r="L6" s="7"/>
      <c r="M6" s="50"/>
      <c r="N6" s="10"/>
      <c r="O6" s="50"/>
      <c r="P6" s="7"/>
      <c r="Q6" s="50"/>
      <c r="R6" s="7"/>
      <c r="S6" s="50"/>
      <c r="T6" s="7"/>
      <c r="U6" s="50"/>
    </row>
    <row r="7" spans="1:25" ht="24" customHeight="1" x14ac:dyDescent="0.3">
      <c r="A7" s="230"/>
      <c r="B7" s="3" t="s">
        <v>38</v>
      </c>
      <c r="C7" s="7"/>
      <c r="D7" s="7"/>
      <c r="E7" s="50"/>
      <c r="F7" s="50"/>
      <c r="G7" s="112"/>
      <c r="H7" s="7"/>
      <c r="I7" s="50"/>
      <c r="J7" s="10"/>
      <c r="K7" s="50"/>
      <c r="L7" s="7"/>
      <c r="M7" s="50"/>
      <c r="N7" s="10"/>
      <c r="O7" s="50"/>
      <c r="P7" s="7"/>
      <c r="Q7" s="50"/>
      <c r="R7" s="7"/>
      <c r="S7" s="50"/>
      <c r="T7" s="7"/>
      <c r="U7" s="50"/>
    </row>
    <row r="8" spans="1:25" ht="24" customHeight="1" x14ac:dyDescent="0.3">
      <c r="A8" s="230"/>
      <c r="B8" s="3" t="s">
        <v>50</v>
      </c>
      <c r="C8" s="77"/>
      <c r="D8" s="7"/>
      <c r="E8" s="50"/>
      <c r="F8" s="50"/>
      <c r="G8" s="63"/>
      <c r="H8" s="7"/>
      <c r="I8" s="50"/>
      <c r="J8" s="10"/>
      <c r="K8" s="50"/>
      <c r="L8" s="7"/>
      <c r="M8" s="50"/>
      <c r="N8" s="10"/>
      <c r="O8" s="50"/>
      <c r="P8" s="7"/>
      <c r="Q8" s="50"/>
      <c r="R8" s="7"/>
      <c r="S8" s="50"/>
      <c r="T8" s="7"/>
      <c r="U8" s="50"/>
    </row>
    <row r="9" spans="1:25" ht="24" customHeight="1" x14ac:dyDescent="0.3">
      <c r="A9" s="230"/>
      <c r="B9" s="3" t="s">
        <v>72</v>
      </c>
      <c r="C9" s="7"/>
      <c r="D9" s="7"/>
      <c r="E9" s="50"/>
      <c r="F9" s="50"/>
      <c r="G9" s="112"/>
      <c r="H9" s="7"/>
      <c r="I9" s="50"/>
      <c r="J9" s="10"/>
      <c r="K9" s="50"/>
      <c r="L9" s="7"/>
      <c r="M9" s="50"/>
      <c r="N9" s="10"/>
      <c r="O9" s="50"/>
      <c r="P9" s="7"/>
      <c r="Q9" s="50"/>
      <c r="R9" s="7"/>
      <c r="S9" s="50"/>
      <c r="T9" s="7"/>
      <c r="U9" s="50"/>
    </row>
    <row r="10" spans="1:25" ht="24" customHeight="1" x14ac:dyDescent="0.3">
      <c r="A10" s="230"/>
      <c r="B10" s="3" t="s">
        <v>52</v>
      </c>
      <c r="C10" s="7"/>
      <c r="D10" s="7"/>
      <c r="E10" s="50"/>
      <c r="F10" s="50"/>
      <c r="G10" s="112"/>
      <c r="H10" s="7"/>
      <c r="I10" s="50"/>
      <c r="J10" s="10"/>
      <c r="K10" s="50"/>
      <c r="L10" s="7"/>
      <c r="M10" s="50"/>
      <c r="N10" s="10"/>
      <c r="O10" s="50"/>
      <c r="P10" s="7"/>
      <c r="Q10" s="50"/>
      <c r="R10" s="7"/>
      <c r="S10" s="50"/>
      <c r="T10" s="7"/>
      <c r="U10" s="50"/>
    </row>
    <row r="11" spans="1:25" ht="24" customHeight="1" x14ac:dyDescent="0.3">
      <c r="A11" s="230"/>
      <c r="B11" s="3" t="s">
        <v>39</v>
      </c>
      <c r="C11" s="7"/>
      <c r="D11" s="7"/>
      <c r="E11" s="50"/>
      <c r="F11" s="50"/>
      <c r="G11" s="112"/>
      <c r="H11" s="7"/>
      <c r="I11" s="50"/>
      <c r="J11" s="10"/>
      <c r="K11" s="50"/>
      <c r="L11" s="7"/>
      <c r="M11" s="50"/>
      <c r="N11" s="10"/>
      <c r="O11" s="50"/>
      <c r="P11" s="7"/>
      <c r="Q11" s="50"/>
      <c r="R11" s="7"/>
      <c r="S11" s="50"/>
      <c r="T11" s="7"/>
      <c r="U11" s="50"/>
    </row>
    <row r="12" spans="1:25" ht="24" customHeight="1" x14ac:dyDescent="0.3">
      <c r="A12" s="230"/>
      <c r="B12" s="3" t="s">
        <v>40</v>
      </c>
      <c r="C12" s="7"/>
      <c r="D12" s="77"/>
      <c r="E12" s="76"/>
      <c r="F12" s="50"/>
      <c r="G12" s="80"/>
      <c r="H12" s="7"/>
      <c r="I12" s="76"/>
      <c r="J12" s="7"/>
      <c r="K12" s="50"/>
      <c r="L12" s="7"/>
      <c r="M12" s="76"/>
      <c r="N12" s="10"/>
      <c r="O12" s="76"/>
      <c r="P12" s="7"/>
      <c r="Q12" s="76"/>
      <c r="R12" s="10"/>
      <c r="S12" s="76"/>
      <c r="T12" s="77"/>
      <c r="U12" s="76"/>
    </row>
    <row r="13" spans="1:25" ht="24" customHeight="1" x14ac:dyDescent="0.3">
      <c r="A13" s="230"/>
      <c r="B13" s="3" t="s">
        <v>41</v>
      </c>
      <c r="C13" s="7"/>
      <c r="D13" s="7"/>
      <c r="E13" s="50"/>
      <c r="F13" s="50"/>
      <c r="G13" s="112"/>
      <c r="H13" s="7"/>
      <c r="I13" s="50"/>
      <c r="J13" s="10"/>
      <c r="K13" s="50"/>
      <c r="L13" s="7"/>
      <c r="M13" s="50"/>
      <c r="N13" s="10"/>
      <c r="O13" s="50"/>
      <c r="P13" s="7"/>
      <c r="Q13" s="50"/>
      <c r="R13" s="7"/>
      <c r="S13" s="50"/>
      <c r="T13" s="7"/>
      <c r="U13" s="50"/>
    </row>
    <row r="14" spans="1:25" ht="24" customHeight="1" x14ac:dyDescent="0.3">
      <c r="A14" s="230"/>
      <c r="B14" s="3" t="s">
        <v>42</v>
      </c>
      <c r="C14" s="7"/>
      <c r="D14" s="7"/>
      <c r="E14" s="50"/>
      <c r="F14" s="50"/>
      <c r="G14" s="112"/>
      <c r="H14" s="7"/>
      <c r="I14" s="50"/>
      <c r="J14" s="10"/>
      <c r="K14" s="50"/>
      <c r="L14" s="7"/>
      <c r="M14" s="50"/>
      <c r="N14" s="10"/>
      <c r="O14" s="50"/>
      <c r="P14" s="7"/>
      <c r="Q14" s="50"/>
      <c r="R14" s="7"/>
      <c r="S14" s="50"/>
      <c r="T14" s="7"/>
      <c r="U14" s="50"/>
    </row>
    <row r="15" spans="1:25" ht="24" customHeight="1" x14ac:dyDescent="0.3">
      <c r="A15" s="230"/>
      <c r="B15" s="3" t="s">
        <v>43</v>
      </c>
      <c r="C15" s="7"/>
      <c r="D15" s="7"/>
      <c r="E15" s="50"/>
      <c r="F15" s="50"/>
      <c r="G15" s="112"/>
      <c r="H15" s="7"/>
      <c r="I15" s="50"/>
      <c r="J15" s="10"/>
      <c r="K15" s="50"/>
      <c r="L15" s="7"/>
      <c r="M15" s="50"/>
      <c r="N15" s="10"/>
      <c r="O15" s="50"/>
      <c r="P15" s="7"/>
      <c r="Q15" s="50"/>
      <c r="R15" s="7"/>
      <c r="S15" s="50"/>
      <c r="T15" s="7"/>
      <c r="U15" s="50"/>
    </row>
    <row r="16" spans="1:25" ht="24" customHeight="1" x14ac:dyDescent="0.3">
      <c r="A16" s="230"/>
      <c r="B16" s="3" t="s">
        <v>51</v>
      </c>
      <c r="C16" s="7"/>
      <c r="D16" s="7"/>
      <c r="E16" s="50"/>
      <c r="F16" s="50"/>
      <c r="G16" s="112"/>
      <c r="H16" s="7"/>
      <c r="I16" s="50"/>
      <c r="J16" s="10"/>
      <c r="K16" s="50"/>
      <c r="L16" s="7"/>
      <c r="M16" s="50"/>
      <c r="N16" s="10"/>
      <c r="O16" s="50"/>
      <c r="P16" s="7"/>
      <c r="Q16" s="50"/>
      <c r="R16" s="7"/>
      <c r="S16" s="50"/>
      <c r="T16" s="7"/>
      <c r="U16" s="50"/>
    </row>
    <row r="17" spans="1:28" ht="24" customHeight="1" x14ac:dyDescent="0.3">
      <c r="A17" s="230"/>
      <c r="B17" s="3" t="s">
        <v>44</v>
      </c>
      <c r="C17" s="7"/>
      <c r="D17" s="7"/>
      <c r="E17" s="50"/>
      <c r="F17" s="50"/>
      <c r="G17" s="112"/>
      <c r="H17" s="7"/>
      <c r="I17" s="50"/>
      <c r="J17" s="10"/>
      <c r="K17" s="50"/>
      <c r="L17" s="7"/>
      <c r="M17" s="50"/>
      <c r="N17" s="10"/>
      <c r="O17" s="50"/>
      <c r="P17" s="7"/>
      <c r="Q17" s="50"/>
      <c r="R17" s="7"/>
      <c r="S17" s="50"/>
      <c r="T17" s="7"/>
      <c r="U17" s="50"/>
    </row>
    <row r="18" spans="1:28" ht="24" customHeight="1" x14ac:dyDescent="0.3">
      <c r="A18" s="230"/>
      <c r="B18" s="100" t="s">
        <v>91</v>
      </c>
      <c r="C18" s="7"/>
      <c r="D18" s="7"/>
      <c r="E18" s="50"/>
      <c r="F18" s="50"/>
      <c r="G18" s="112"/>
      <c r="H18" s="7"/>
      <c r="I18" s="50"/>
      <c r="J18" s="10"/>
      <c r="K18" s="50"/>
      <c r="L18" s="7"/>
      <c r="M18" s="50"/>
      <c r="N18" s="10"/>
      <c r="O18" s="50"/>
      <c r="P18" s="7"/>
      <c r="Q18" s="50"/>
      <c r="R18" s="7"/>
      <c r="S18" s="50"/>
      <c r="T18" s="7"/>
      <c r="U18" s="50"/>
    </row>
    <row r="19" spans="1:28" ht="24" customHeight="1" x14ac:dyDescent="0.3">
      <c r="A19" s="230"/>
      <c r="B19" s="100" t="s">
        <v>46</v>
      </c>
      <c r="C19" s="7"/>
      <c r="D19" s="7"/>
      <c r="E19" s="50"/>
      <c r="F19" s="50"/>
      <c r="G19" s="112"/>
      <c r="H19" s="7"/>
      <c r="I19" s="50"/>
      <c r="J19" s="10"/>
      <c r="K19" s="50"/>
      <c r="L19" s="7"/>
      <c r="M19" s="50"/>
      <c r="N19" s="10"/>
      <c r="O19" s="50"/>
      <c r="P19" s="7"/>
      <c r="Q19" s="50"/>
      <c r="R19" s="7"/>
      <c r="S19" s="50"/>
      <c r="T19" s="7"/>
      <c r="U19" s="76"/>
    </row>
    <row r="20" spans="1:28" ht="24" customHeight="1" x14ac:dyDescent="0.3">
      <c r="A20" s="230"/>
      <c r="B20" s="100" t="s">
        <v>48</v>
      </c>
      <c r="C20" s="7"/>
      <c r="D20" s="7"/>
      <c r="E20" s="50"/>
      <c r="F20" s="50"/>
      <c r="G20" s="112"/>
      <c r="H20" s="7"/>
      <c r="I20" s="50"/>
      <c r="J20" s="10"/>
      <c r="K20" s="50"/>
      <c r="L20" s="7"/>
      <c r="M20" s="50"/>
      <c r="N20" s="10"/>
      <c r="O20" s="50"/>
      <c r="P20" s="7"/>
      <c r="Q20" s="50"/>
      <c r="R20" s="7"/>
      <c r="S20" s="50"/>
      <c r="T20" s="7"/>
      <c r="U20" s="50"/>
    </row>
    <row r="21" spans="1:28" ht="24" customHeight="1" x14ac:dyDescent="0.3">
      <c r="A21" s="230"/>
      <c r="B21" s="3" t="s">
        <v>75</v>
      </c>
      <c r="C21" s="7"/>
      <c r="D21" s="7"/>
      <c r="E21" s="50"/>
      <c r="F21" s="50"/>
      <c r="G21" s="112"/>
      <c r="H21" s="7"/>
      <c r="I21" s="50"/>
      <c r="J21" s="10"/>
      <c r="K21" s="50"/>
      <c r="L21" s="7"/>
      <c r="M21" s="50"/>
      <c r="N21" s="10"/>
      <c r="O21" s="50"/>
      <c r="P21" s="7"/>
      <c r="Q21" s="50"/>
      <c r="R21" s="7"/>
      <c r="S21" s="50"/>
      <c r="T21" s="7"/>
      <c r="U21" s="50"/>
    </row>
    <row r="22" spans="1:28" ht="24" customHeight="1" x14ac:dyDescent="0.3">
      <c r="A22" s="230"/>
      <c r="B22" s="3" t="s">
        <v>73</v>
      </c>
      <c r="C22" s="7"/>
      <c r="D22" s="7"/>
      <c r="E22" s="50"/>
      <c r="F22" s="50"/>
      <c r="G22" s="112"/>
      <c r="H22" s="7"/>
      <c r="I22" s="50"/>
      <c r="J22" s="10"/>
      <c r="K22" s="50"/>
      <c r="L22" s="7"/>
      <c r="M22" s="50"/>
      <c r="N22" s="10"/>
      <c r="O22" s="50"/>
      <c r="P22" s="7"/>
      <c r="Q22" s="50"/>
      <c r="R22" s="7"/>
      <c r="S22" s="50"/>
      <c r="T22" s="7"/>
      <c r="U22" s="50"/>
    </row>
    <row r="23" spans="1:28" ht="24" customHeight="1" x14ac:dyDescent="0.3">
      <c r="A23" s="230"/>
      <c r="B23" s="3" t="s">
        <v>62</v>
      </c>
      <c r="C23" s="7"/>
      <c r="D23" s="7"/>
      <c r="E23" s="50"/>
      <c r="F23" s="50"/>
      <c r="G23" s="112"/>
      <c r="H23" s="7"/>
      <c r="I23" s="50"/>
      <c r="J23" s="10"/>
      <c r="K23" s="50"/>
      <c r="L23" s="7"/>
      <c r="M23" s="50"/>
      <c r="N23" s="10"/>
      <c r="O23" s="50"/>
      <c r="P23" s="7"/>
      <c r="Q23" s="50"/>
      <c r="R23" s="7"/>
      <c r="S23" s="50"/>
      <c r="T23" s="7"/>
      <c r="U23" s="50"/>
    </row>
    <row r="24" spans="1:28" ht="24" customHeight="1" x14ac:dyDescent="0.3">
      <c r="A24" s="230"/>
      <c r="B24" s="3" t="s">
        <v>81</v>
      </c>
      <c r="C24" s="7"/>
      <c r="D24" s="77"/>
      <c r="E24" s="76"/>
      <c r="F24" s="50"/>
      <c r="G24" s="80"/>
      <c r="H24" s="7"/>
      <c r="I24" s="76"/>
      <c r="J24" s="10"/>
      <c r="K24" s="50"/>
      <c r="L24" s="7"/>
      <c r="M24" s="50"/>
      <c r="N24" s="10"/>
      <c r="O24" s="50"/>
      <c r="P24" s="7"/>
      <c r="Q24" s="50"/>
      <c r="R24" s="7"/>
      <c r="S24" s="50"/>
      <c r="T24" s="7"/>
      <c r="U24" s="50"/>
    </row>
    <row r="25" spans="1:28" ht="24" customHeight="1" x14ac:dyDescent="0.3">
      <c r="A25" s="230"/>
      <c r="B25" s="3" t="s">
        <v>76</v>
      </c>
      <c r="C25" s="7"/>
      <c r="D25" s="7"/>
      <c r="E25" s="50"/>
      <c r="F25" s="50"/>
      <c r="G25" s="112"/>
      <c r="H25" s="7"/>
      <c r="I25" s="50"/>
      <c r="J25" s="10"/>
      <c r="K25" s="50"/>
      <c r="L25" s="7"/>
      <c r="M25" s="50"/>
      <c r="N25" s="10"/>
      <c r="O25" s="50"/>
      <c r="P25" s="7"/>
      <c r="Q25" s="50"/>
      <c r="R25" s="7"/>
      <c r="S25" s="50"/>
      <c r="T25" s="7"/>
      <c r="U25" s="50"/>
      <c r="Y25" s="82"/>
    </row>
    <row r="26" spans="1:28" ht="24" customHeight="1" x14ac:dyDescent="0.3">
      <c r="A26" s="230"/>
      <c r="B26" s="3" t="s">
        <v>89</v>
      </c>
      <c r="C26" s="7"/>
      <c r="D26" s="7"/>
      <c r="E26" s="50"/>
      <c r="F26" s="50"/>
      <c r="G26" s="112"/>
      <c r="H26" s="7"/>
      <c r="I26" s="50"/>
      <c r="J26" s="10"/>
      <c r="K26" s="50"/>
      <c r="L26" s="7"/>
      <c r="M26" s="50"/>
      <c r="N26" s="10"/>
      <c r="O26" s="50"/>
      <c r="P26" s="7"/>
      <c r="Q26" s="50"/>
      <c r="R26" s="7"/>
      <c r="S26" s="50"/>
      <c r="T26" s="7"/>
      <c r="U26" s="50"/>
      <c r="Y26" s="82"/>
    </row>
    <row r="27" spans="1:28" ht="24" customHeight="1" x14ac:dyDescent="0.3">
      <c r="A27" s="230"/>
      <c r="B27" s="3" t="s">
        <v>90</v>
      </c>
      <c r="C27" s="7"/>
      <c r="D27" s="7"/>
      <c r="E27" s="50"/>
      <c r="F27" s="50"/>
      <c r="G27" s="112"/>
      <c r="H27" s="7"/>
      <c r="I27" s="50"/>
      <c r="J27" s="10"/>
      <c r="K27" s="50"/>
      <c r="L27" s="7"/>
      <c r="M27" s="50"/>
      <c r="N27" s="10"/>
      <c r="O27" s="50"/>
      <c r="P27" s="7"/>
      <c r="Q27" s="50"/>
      <c r="R27" s="7"/>
      <c r="S27" s="50"/>
      <c r="T27" s="7"/>
      <c r="U27" s="50"/>
      <c r="Y27" s="82"/>
    </row>
    <row r="28" spans="1:28" ht="24" customHeight="1" x14ac:dyDescent="0.3">
      <c r="A28" s="230"/>
      <c r="B28" s="3" t="s">
        <v>49</v>
      </c>
      <c r="C28" s="7"/>
      <c r="D28" s="7"/>
      <c r="E28" s="50"/>
      <c r="F28" s="50"/>
      <c r="G28" s="112"/>
      <c r="H28" s="7"/>
      <c r="I28" s="50"/>
      <c r="J28" s="86"/>
      <c r="K28" s="50"/>
      <c r="L28" s="7"/>
      <c r="M28" s="50"/>
      <c r="N28" s="10"/>
      <c r="O28" s="50"/>
      <c r="P28" s="7"/>
      <c r="Q28" s="50"/>
      <c r="R28" s="7"/>
      <c r="S28" s="50"/>
      <c r="T28" s="7"/>
      <c r="U28" s="50"/>
      <c r="X28" s="232"/>
      <c r="Y28" s="232"/>
      <c r="Z28" s="232"/>
      <c r="AA28" s="232"/>
      <c r="AB28" s="232"/>
    </row>
    <row r="29" spans="1:28" ht="24" customHeight="1" x14ac:dyDescent="0.3">
      <c r="A29" s="230"/>
      <c r="B29" s="3" t="s">
        <v>74</v>
      </c>
      <c r="C29" s="7"/>
      <c r="D29" s="7"/>
      <c r="E29" s="50"/>
      <c r="F29" s="50"/>
      <c r="H29" s="7"/>
      <c r="I29" s="50"/>
      <c r="J29" s="10"/>
      <c r="K29" s="50"/>
      <c r="L29" s="7"/>
      <c r="M29" s="50"/>
      <c r="N29" s="10"/>
      <c r="O29" s="50"/>
      <c r="P29" s="7"/>
      <c r="Q29" s="50"/>
      <c r="R29" s="7"/>
      <c r="S29" s="50"/>
      <c r="T29" s="7"/>
      <c r="U29" s="50"/>
    </row>
    <row r="30" spans="1:28" ht="24" customHeight="1" x14ac:dyDescent="0.3">
      <c r="A30" s="230"/>
      <c r="B30" s="3" t="s">
        <v>55</v>
      </c>
      <c r="C30" s="7"/>
      <c r="D30" s="7"/>
      <c r="E30" s="50"/>
      <c r="F30" s="50"/>
      <c r="G30" s="112"/>
      <c r="H30" s="7"/>
      <c r="I30" s="50"/>
      <c r="J30" s="10"/>
      <c r="K30" s="50"/>
      <c r="L30" s="7"/>
      <c r="M30" s="50"/>
      <c r="N30" s="10"/>
      <c r="O30" s="50"/>
      <c r="P30" s="7"/>
      <c r="Q30" s="50"/>
      <c r="R30" s="7"/>
      <c r="S30" s="50"/>
      <c r="T30" s="7"/>
      <c r="U30" s="50"/>
    </row>
    <row r="31" spans="1:28" ht="27" thickBot="1" x14ac:dyDescent="0.35">
      <c r="A31" s="231"/>
      <c r="B31" s="31"/>
      <c r="C31" s="31">
        <f>SUM(C4:C30)</f>
        <v>0</v>
      </c>
      <c r="D31" s="31">
        <f>SUM(D4:D30)</f>
        <v>0</v>
      </c>
      <c r="E31" s="31">
        <f>SUM(E4:E30)</f>
        <v>0</v>
      </c>
      <c r="F31" s="31">
        <f>SUM(F4:F30)</f>
        <v>0</v>
      </c>
      <c r="G31" s="112"/>
      <c r="H31" s="2">
        <f t="shared" ref="H31:U31" si="1">SUM(H4:H30)</f>
        <v>0</v>
      </c>
      <c r="I31" s="2">
        <f t="shared" si="1"/>
        <v>0</v>
      </c>
      <c r="J31" s="2">
        <f t="shared" si="1"/>
        <v>0</v>
      </c>
      <c r="K31" s="2">
        <f t="shared" si="1"/>
        <v>0</v>
      </c>
      <c r="L31" s="2">
        <f t="shared" si="1"/>
        <v>0</v>
      </c>
      <c r="M31" s="2">
        <f t="shared" si="1"/>
        <v>0</v>
      </c>
      <c r="N31" s="2">
        <f t="shared" si="1"/>
        <v>0</v>
      </c>
      <c r="O31" s="2">
        <f t="shared" si="1"/>
        <v>0</v>
      </c>
      <c r="P31" s="2">
        <f t="shared" si="1"/>
        <v>0</v>
      </c>
      <c r="Q31" s="2">
        <f t="shared" si="1"/>
        <v>0</v>
      </c>
      <c r="R31" s="2">
        <f t="shared" si="1"/>
        <v>0</v>
      </c>
      <c r="S31" s="2">
        <f t="shared" si="1"/>
        <v>0</v>
      </c>
      <c r="T31" s="2">
        <f t="shared" si="1"/>
        <v>0</v>
      </c>
      <c r="U31" s="2">
        <f t="shared" si="1"/>
        <v>0</v>
      </c>
      <c r="W31" s="35"/>
      <c r="X31" s="18"/>
      <c r="Y31" s="18"/>
    </row>
    <row r="32" spans="1:28" ht="24" customHeight="1" thickTop="1" x14ac:dyDescent="0.3">
      <c r="A32" s="233" t="s">
        <v>27</v>
      </c>
      <c r="B32" s="23" t="s">
        <v>63</v>
      </c>
      <c r="C32" s="28"/>
      <c r="D32" s="28"/>
      <c r="E32" s="15"/>
      <c r="F32" s="16"/>
      <c r="G32" s="25"/>
      <c r="H32" s="43"/>
      <c r="I32" s="50"/>
      <c r="J32" s="10"/>
      <c r="K32" s="50"/>
      <c r="L32" s="7"/>
      <c r="M32" s="50"/>
      <c r="N32" s="7"/>
      <c r="O32" s="50"/>
      <c r="P32" s="7"/>
      <c r="Q32" s="50"/>
      <c r="R32" s="7"/>
      <c r="S32" s="50"/>
      <c r="T32" s="7"/>
      <c r="U32" s="50"/>
      <c r="W32" s="18"/>
      <c r="X32" s="18"/>
      <c r="Y32" s="18"/>
      <c r="Z32" s="18"/>
      <c r="AA32" s="18"/>
    </row>
    <row r="33" spans="1:27" ht="24" customHeight="1" x14ac:dyDescent="0.3">
      <c r="A33" s="233"/>
      <c r="B33" s="24" t="s">
        <v>94</v>
      </c>
      <c r="C33" s="32">
        <v>4</v>
      </c>
      <c r="D33" s="32"/>
      <c r="E33" s="54"/>
      <c r="F33" s="22"/>
      <c r="G33" s="25"/>
      <c r="H33" s="43"/>
      <c r="I33" s="50"/>
      <c r="J33" s="10"/>
      <c r="K33" s="50"/>
      <c r="L33" s="7"/>
      <c r="M33" s="50"/>
      <c r="N33" s="7"/>
      <c r="O33" s="50"/>
      <c r="P33" s="7"/>
      <c r="Q33" s="50"/>
      <c r="R33" s="7"/>
      <c r="S33" s="50"/>
      <c r="T33" s="7"/>
      <c r="U33" s="50"/>
      <c r="W33" s="18"/>
      <c r="X33" s="18"/>
      <c r="Y33" s="18"/>
      <c r="Z33" s="18"/>
      <c r="AA33" s="18"/>
    </row>
    <row r="34" spans="1:27" ht="24" customHeight="1" x14ac:dyDescent="0.3">
      <c r="A34" s="233"/>
      <c r="B34" s="24" t="s">
        <v>54</v>
      </c>
      <c r="C34" s="32">
        <v>2</v>
      </c>
      <c r="D34" s="32"/>
      <c r="E34" s="54"/>
      <c r="F34" s="22"/>
      <c r="G34" s="25"/>
      <c r="H34" s="10"/>
      <c r="I34" s="50"/>
      <c r="J34" s="10"/>
      <c r="K34" s="50"/>
      <c r="L34" s="7"/>
      <c r="M34" s="50"/>
      <c r="N34" s="7"/>
      <c r="O34" s="50"/>
      <c r="P34" s="7"/>
      <c r="Q34" s="76"/>
      <c r="R34" s="7"/>
      <c r="S34" s="50"/>
      <c r="T34" s="7"/>
      <c r="U34" s="50"/>
      <c r="W34" s="18"/>
      <c r="X34" s="18"/>
      <c r="Y34" s="18"/>
      <c r="Z34" s="18"/>
      <c r="AA34" s="18"/>
    </row>
    <row r="35" spans="1:27" ht="24" customHeight="1" x14ac:dyDescent="0.3">
      <c r="A35" s="233"/>
      <c r="B35" s="24" t="s">
        <v>56</v>
      </c>
      <c r="C35" s="32"/>
      <c r="D35" s="32"/>
      <c r="E35" s="54"/>
      <c r="F35" s="22"/>
      <c r="G35" s="25"/>
      <c r="H35" s="43"/>
      <c r="I35" s="50"/>
      <c r="J35" s="10"/>
      <c r="K35" s="50"/>
      <c r="L35" s="7"/>
      <c r="M35" s="50"/>
      <c r="N35" s="7"/>
      <c r="O35" s="50"/>
      <c r="P35" s="7"/>
      <c r="Q35" s="50"/>
      <c r="R35" s="7"/>
      <c r="S35" s="50"/>
      <c r="T35" s="7"/>
      <c r="U35" s="50"/>
      <c r="W35" s="18"/>
      <c r="X35" s="18"/>
      <c r="Y35" s="18"/>
      <c r="Z35" s="18"/>
      <c r="AA35" s="18"/>
    </row>
    <row r="36" spans="1:27" ht="24" customHeight="1" x14ac:dyDescent="0.3">
      <c r="A36" s="233"/>
      <c r="B36" s="24" t="s">
        <v>78</v>
      </c>
      <c r="C36" s="32"/>
      <c r="D36" s="32"/>
      <c r="E36" s="54"/>
      <c r="F36" s="22"/>
      <c r="G36" s="25"/>
      <c r="H36" s="43"/>
      <c r="I36" s="50"/>
      <c r="J36" s="10"/>
      <c r="K36" s="50"/>
      <c r="L36" s="7"/>
      <c r="M36" s="50"/>
      <c r="N36" s="7"/>
      <c r="O36" s="50"/>
      <c r="P36" s="7"/>
      <c r="Q36" s="50"/>
      <c r="R36" s="7"/>
      <c r="S36" s="50"/>
      <c r="T36" s="7"/>
      <c r="U36" s="50"/>
      <c r="W36" s="18"/>
      <c r="X36" s="18"/>
      <c r="Y36" s="18"/>
      <c r="Z36" s="18"/>
      <c r="AA36" s="18"/>
    </row>
    <row r="37" spans="1:27" ht="24" customHeight="1" x14ac:dyDescent="0.3">
      <c r="A37" s="233"/>
      <c r="B37" s="24" t="s">
        <v>53</v>
      </c>
      <c r="C37" s="32">
        <v>2</v>
      </c>
      <c r="D37" s="32"/>
      <c r="E37" s="54"/>
      <c r="F37" s="22"/>
      <c r="G37" s="25"/>
      <c r="H37" s="43"/>
      <c r="I37" s="50"/>
      <c r="J37" s="10"/>
      <c r="K37" s="50"/>
      <c r="L37" s="7"/>
      <c r="M37" s="50"/>
      <c r="N37" s="7"/>
      <c r="O37" s="50"/>
      <c r="P37" s="7"/>
      <c r="Q37" s="50"/>
      <c r="R37" s="7"/>
      <c r="S37" s="50"/>
      <c r="T37" s="7"/>
      <c r="U37" s="50"/>
      <c r="W37" s="18"/>
      <c r="X37" s="18"/>
      <c r="Y37" s="18"/>
      <c r="Z37" s="18"/>
      <c r="AA37" s="18"/>
    </row>
    <row r="38" spans="1:27" ht="24" customHeight="1" x14ac:dyDescent="0.3">
      <c r="A38" s="233"/>
      <c r="B38" s="24" t="s">
        <v>66</v>
      </c>
      <c r="C38" s="32"/>
      <c r="D38" s="32"/>
      <c r="E38" s="54"/>
      <c r="F38" s="22"/>
      <c r="G38" s="25"/>
      <c r="H38" s="43"/>
      <c r="I38" s="50"/>
      <c r="J38" s="10"/>
      <c r="K38" s="50"/>
      <c r="L38" s="7"/>
      <c r="M38" s="50"/>
      <c r="N38" s="7"/>
      <c r="O38" s="50"/>
      <c r="P38" s="7"/>
      <c r="Q38" s="50"/>
      <c r="R38" s="7"/>
      <c r="S38" s="50"/>
      <c r="T38" s="7"/>
      <c r="U38" s="50"/>
      <c r="W38" s="18"/>
      <c r="X38" s="18"/>
      <c r="Y38" s="18"/>
      <c r="Z38" s="18"/>
      <c r="AA38" s="18"/>
    </row>
    <row r="39" spans="1:27" ht="24" customHeight="1" x14ac:dyDescent="0.3">
      <c r="A39" s="233"/>
      <c r="B39" s="24" t="s">
        <v>70</v>
      </c>
      <c r="C39" s="32"/>
      <c r="D39" s="32"/>
      <c r="E39" s="54"/>
      <c r="F39" s="22"/>
      <c r="G39" s="25"/>
      <c r="H39" s="43"/>
      <c r="I39" s="50"/>
      <c r="J39" s="10"/>
      <c r="K39" s="50"/>
      <c r="L39" s="7"/>
      <c r="M39" s="50"/>
      <c r="N39" s="7"/>
      <c r="O39" s="50"/>
      <c r="P39" s="7"/>
      <c r="Q39" s="50"/>
      <c r="R39" s="7"/>
      <c r="S39" s="50"/>
      <c r="T39" s="7"/>
      <c r="U39" s="50"/>
      <c r="W39" s="18"/>
      <c r="X39" s="18"/>
      <c r="Y39" s="18"/>
      <c r="Z39" s="18"/>
      <c r="AA39" s="18"/>
    </row>
    <row r="40" spans="1:27" ht="24" customHeight="1" x14ac:dyDescent="0.3">
      <c r="A40" s="233"/>
      <c r="B40" s="24" t="s">
        <v>58</v>
      </c>
      <c r="C40" s="32"/>
      <c r="D40" s="32"/>
      <c r="E40" s="54"/>
      <c r="F40" s="22"/>
      <c r="G40" s="25"/>
      <c r="H40" s="7"/>
      <c r="I40" s="50"/>
      <c r="J40" s="10"/>
      <c r="K40" s="50"/>
      <c r="L40" s="7"/>
      <c r="M40" s="50"/>
      <c r="N40" s="7"/>
      <c r="O40" s="50"/>
      <c r="P40" s="7"/>
      <c r="Q40" s="50"/>
      <c r="R40" s="7"/>
      <c r="S40" s="50"/>
      <c r="T40" s="7"/>
      <c r="U40" s="50"/>
      <c r="W40" s="18"/>
      <c r="X40" s="18"/>
      <c r="Y40" s="18"/>
      <c r="Z40" s="18"/>
      <c r="AA40" s="18"/>
    </row>
    <row r="41" spans="1:27" ht="24" customHeight="1" x14ac:dyDescent="0.3">
      <c r="A41" s="233"/>
      <c r="B41" s="24" t="s">
        <v>71</v>
      </c>
      <c r="C41" s="32">
        <v>2</v>
      </c>
      <c r="D41" s="32"/>
      <c r="E41" s="54"/>
      <c r="F41" s="22"/>
      <c r="G41" s="25"/>
      <c r="H41" s="43"/>
      <c r="I41" s="50"/>
      <c r="J41" s="10"/>
      <c r="K41" s="50"/>
      <c r="L41" s="7"/>
      <c r="M41" s="50"/>
      <c r="N41" s="7"/>
      <c r="O41" s="50"/>
      <c r="P41" s="7"/>
      <c r="Q41" s="50"/>
      <c r="R41" s="7"/>
      <c r="S41" s="50"/>
      <c r="T41" s="7"/>
      <c r="U41" s="50"/>
      <c r="W41" s="18"/>
      <c r="X41" s="18"/>
      <c r="Y41" s="18"/>
      <c r="Z41" s="18"/>
      <c r="AA41" s="18"/>
    </row>
    <row r="42" spans="1:27" ht="24" customHeight="1" x14ac:dyDescent="0.3">
      <c r="A42" s="233"/>
      <c r="B42" s="24" t="s">
        <v>77</v>
      </c>
      <c r="C42" s="32">
        <v>1</v>
      </c>
      <c r="D42" s="32"/>
      <c r="E42" s="54"/>
      <c r="F42" s="22"/>
      <c r="G42" s="25"/>
      <c r="H42" s="7"/>
      <c r="I42" s="50"/>
      <c r="J42" s="10"/>
      <c r="K42" s="50"/>
      <c r="L42" s="7"/>
      <c r="M42" s="50"/>
      <c r="N42" s="7"/>
      <c r="O42" s="50"/>
      <c r="P42" s="7"/>
      <c r="Q42" s="50"/>
      <c r="R42" s="7"/>
      <c r="S42" s="50"/>
      <c r="T42" s="7"/>
      <c r="U42" s="50"/>
      <c r="W42" s="18"/>
      <c r="X42" s="18"/>
      <c r="Y42" s="18"/>
      <c r="Z42" s="18"/>
      <c r="AA42" s="18"/>
    </row>
    <row r="43" spans="1:27" ht="24" customHeight="1" x14ac:dyDescent="0.3">
      <c r="A43" s="233"/>
      <c r="B43" s="24" t="s">
        <v>57</v>
      </c>
      <c r="C43" s="32">
        <v>2</v>
      </c>
      <c r="D43" s="56"/>
      <c r="E43" s="54"/>
      <c r="F43" s="22"/>
      <c r="G43" s="25"/>
      <c r="H43" s="43"/>
      <c r="I43" s="50"/>
      <c r="J43" s="10"/>
      <c r="K43" s="50"/>
      <c r="L43" s="7"/>
      <c r="M43" s="50"/>
      <c r="N43" s="7"/>
      <c r="O43" s="50"/>
      <c r="P43" s="7"/>
      <c r="Q43" s="76"/>
      <c r="R43" s="7"/>
      <c r="S43" s="50"/>
      <c r="T43" s="7"/>
      <c r="U43" s="50"/>
      <c r="W43" s="18"/>
      <c r="X43" s="18"/>
      <c r="Y43" s="18"/>
      <c r="Z43" s="18"/>
      <c r="AA43" s="18"/>
    </row>
    <row r="44" spans="1:27" ht="24" customHeight="1" x14ac:dyDescent="0.3">
      <c r="A44" s="233"/>
      <c r="B44" s="24" t="s">
        <v>68</v>
      </c>
      <c r="C44" s="32"/>
      <c r="D44" s="32"/>
      <c r="E44" s="54"/>
      <c r="F44" s="22"/>
      <c r="G44" s="25"/>
      <c r="H44" s="43"/>
      <c r="I44" s="50"/>
      <c r="J44" s="10"/>
      <c r="K44" s="50"/>
      <c r="L44" s="7"/>
      <c r="M44" s="50"/>
      <c r="N44" s="7"/>
      <c r="O44" s="50"/>
      <c r="P44" s="7"/>
      <c r="Q44" s="50"/>
      <c r="R44" s="7"/>
      <c r="S44" s="50"/>
      <c r="T44" s="7"/>
      <c r="U44" s="50"/>
      <c r="W44" s="18"/>
      <c r="X44" s="18"/>
      <c r="Y44" s="18"/>
      <c r="Z44" s="18"/>
      <c r="AA44" s="18"/>
    </row>
    <row r="45" spans="1:27" ht="24" customHeight="1" x14ac:dyDescent="0.3">
      <c r="A45" s="233"/>
      <c r="B45" s="24" t="s">
        <v>65</v>
      </c>
      <c r="C45" s="32"/>
      <c r="D45" s="32"/>
      <c r="E45" s="101"/>
      <c r="F45" s="22"/>
      <c r="G45" s="25"/>
      <c r="H45" s="43"/>
      <c r="I45" s="50"/>
      <c r="J45" s="10"/>
      <c r="K45" s="50"/>
      <c r="L45" s="7"/>
      <c r="M45" s="50"/>
      <c r="N45" s="7"/>
      <c r="O45" s="50"/>
      <c r="P45" s="7"/>
      <c r="Q45" s="50"/>
      <c r="R45" s="7"/>
      <c r="S45" s="50"/>
      <c r="T45" s="7"/>
      <c r="U45" s="50"/>
      <c r="W45" s="18"/>
      <c r="X45" s="18"/>
      <c r="Y45" s="18"/>
      <c r="Z45" s="18"/>
      <c r="AA45" s="18"/>
    </row>
    <row r="46" spans="1:27" ht="24" customHeight="1" x14ac:dyDescent="0.3">
      <c r="A46" s="233"/>
      <c r="B46" s="24" t="s">
        <v>67</v>
      </c>
      <c r="C46" s="32">
        <v>20</v>
      </c>
      <c r="D46" s="32"/>
      <c r="E46" s="54"/>
      <c r="F46" s="22"/>
      <c r="G46" s="25"/>
      <c r="H46" s="43"/>
      <c r="I46" s="50"/>
      <c r="J46" s="10"/>
      <c r="K46" s="50"/>
      <c r="L46" s="7"/>
      <c r="M46" s="50"/>
      <c r="N46" s="7"/>
      <c r="O46" s="50"/>
      <c r="P46" s="7"/>
      <c r="Q46" s="50"/>
      <c r="R46" s="7"/>
      <c r="S46" s="50"/>
      <c r="T46" s="7"/>
      <c r="U46" s="50"/>
      <c r="W46" s="18"/>
      <c r="X46" s="18"/>
      <c r="Y46" s="18"/>
      <c r="Z46" s="18"/>
      <c r="AA46" s="18"/>
    </row>
    <row r="47" spans="1:27" ht="24" customHeight="1" x14ac:dyDescent="0.3">
      <c r="A47" s="233"/>
      <c r="B47" s="24" t="s">
        <v>69</v>
      </c>
      <c r="C47" s="32">
        <v>1</v>
      </c>
      <c r="D47" s="32"/>
      <c r="E47" s="54"/>
      <c r="F47" s="22"/>
      <c r="G47" s="25"/>
      <c r="H47" s="43"/>
      <c r="I47" s="50"/>
      <c r="J47" s="10"/>
      <c r="K47" s="50"/>
      <c r="L47" s="7"/>
      <c r="M47" s="50"/>
      <c r="N47" s="7"/>
      <c r="O47" s="50"/>
      <c r="P47" s="7"/>
      <c r="Q47" s="50"/>
      <c r="R47" s="7"/>
      <c r="S47" s="50"/>
      <c r="T47" s="7"/>
      <c r="U47" s="50"/>
      <c r="W47" s="18"/>
      <c r="X47" s="18"/>
      <c r="Y47" s="18"/>
      <c r="Z47" s="18"/>
      <c r="AA47" s="18"/>
    </row>
    <row r="48" spans="1:27" ht="24" customHeight="1" x14ac:dyDescent="0.3">
      <c r="A48" s="233"/>
      <c r="B48" s="24" t="s">
        <v>80</v>
      </c>
      <c r="C48" s="32">
        <v>5</v>
      </c>
      <c r="D48" s="32"/>
      <c r="E48" s="54"/>
      <c r="F48" s="22"/>
      <c r="G48" s="25"/>
      <c r="H48" s="7"/>
      <c r="I48" s="50"/>
      <c r="J48" s="10"/>
      <c r="K48" s="50"/>
      <c r="L48" s="7">
        <v>1</v>
      </c>
      <c r="M48" s="50"/>
      <c r="N48" s="7"/>
      <c r="O48" s="50"/>
      <c r="P48" s="7"/>
      <c r="Q48" s="50"/>
      <c r="R48" s="7"/>
      <c r="S48" s="50"/>
      <c r="T48" s="7"/>
      <c r="U48" s="50"/>
      <c r="W48" s="18"/>
      <c r="X48" s="18"/>
      <c r="Y48" s="18"/>
      <c r="Z48" s="18"/>
      <c r="AA48" s="18"/>
    </row>
    <row r="49" spans="1:27" ht="24" customHeight="1" x14ac:dyDescent="0.3">
      <c r="A49" s="233"/>
      <c r="B49" s="24" t="s">
        <v>64</v>
      </c>
      <c r="C49" s="32"/>
      <c r="D49" s="32"/>
      <c r="E49" s="54"/>
      <c r="F49" s="22"/>
      <c r="G49" s="25"/>
      <c r="H49" s="10"/>
      <c r="I49" s="50"/>
      <c r="J49" s="10"/>
      <c r="K49" s="50"/>
      <c r="L49" s="7"/>
      <c r="M49" s="50"/>
      <c r="N49" s="7"/>
      <c r="O49" s="50"/>
      <c r="P49" s="7"/>
      <c r="Q49" s="50"/>
      <c r="R49" s="7"/>
      <c r="S49" s="50"/>
      <c r="T49" s="7"/>
      <c r="U49" s="50"/>
      <c r="W49" s="18"/>
      <c r="X49" s="18"/>
      <c r="Y49" s="18"/>
      <c r="Z49" s="18"/>
      <c r="AA49" s="18"/>
    </row>
    <row r="50" spans="1:27" ht="24" customHeight="1" x14ac:dyDescent="0.3">
      <c r="A50" s="233"/>
      <c r="B50" s="24" t="s">
        <v>59</v>
      </c>
      <c r="C50" s="32"/>
      <c r="D50" s="32"/>
      <c r="E50" s="54"/>
      <c r="F50" s="22"/>
      <c r="G50" s="25"/>
      <c r="H50" s="10"/>
      <c r="I50" s="50"/>
      <c r="J50" s="10"/>
      <c r="K50" s="50"/>
      <c r="L50" s="7"/>
      <c r="M50" s="50"/>
      <c r="N50" s="7"/>
      <c r="O50" s="50"/>
      <c r="P50" s="7"/>
      <c r="Q50" s="50"/>
      <c r="R50" s="7"/>
      <c r="S50" s="50"/>
      <c r="T50" s="7"/>
      <c r="U50" s="50"/>
      <c r="W50" s="18"/>
      <c r="X50" s="18"/>
      <c r="Y50" s="18"/>
      <c r="Z50" s="18"/>
      <c r="AA50" s="18"/>
    </row>
    <row r="51" spans="1:27" ht="24" customHeight="1" x14ac:dyDescent="0.3">
      <c r="A51" s="233"/>
      <c r="B51" s="24" t="s">
        <v>79</v>
      </c>
      <c r="C51" s="32"/>
      <c r="D51" s="32"/>
      <c r="E51" s="54"/>
      <c r="F51" s="22"/>
      <c r="G51" s="25"/>
      <c r="H51" s="7"/>
      <c r="I51" s="50"/>
      <c r="J51" s="10"/>
      <c r="K51" s="50"/>
      <c r="L51" s="7"/>
      <c r="M51" s="50"/>
      <c r="N51" s="7"/>
      <c r="O51" s="50"/>
      <c r="P51" s="7"/>
      <c r="Q51" s="50"/>
      <c r="R51" s="7"/>
      <c r="S51" s="50"/>
      <c r="T51" s="7"/>
      <c r="U51" s="50"/>
      <c r="W51" s="18"/>
      <c r="X51" s="18"/>
      <c r="Y51" s="18"/>
      <c r="Z51" s="18"/>
      <c r="AA51" s="18"/>
    </row>
    <row r="52" spans="1:27" ht="24" customHeight="1" x14ac:dyDescent="0.3">
      <c r="A52" s="233"/>
      <c r="B52" s="24" t="s">
        <v>60</v>
      </c>
      <c r="C52" s="32"/>
      <c r="D52" s="32"/>
      <c r="E52" s="54"/>
      <c r="F52" s="22"/>
      <c r="G52" s="25"/>
      <c r="H52" s="7"/>
      <c r="I52" s="50"/>
      <c r="J52" s="10"/>
      <c r="K52" s="50"/>
      <c r="L52" s="7"/>
      <c r="M52" s="50"/>
      <c r="N52" s="7"/>
      <c r="O52" s="50"/>
      <c r="P52" s="7"/>
      <c r="Q52" s="50"/>
      <c r="R52" s="7"/>
      <c r="S52" s="50"/>
      <c r="T52" s="7"/>
      <c r="U52" s="50"/>
      <c r="W52" s="18"/>
      <c r="X52" s="18"/>
      <c r="Y52" s="18"/>
      <c r="Z52" s="18"/>
      <c r="AA52" s="18"/>
    </row>
    <row r="53" spans="1:27" ht="24" customHeight="1" x14ac:dyDescent="0.3">
      <c r="A53" s="233"/>
      <c r="B53" s="24" t="s">
        <v>61</v>
      </c>
      <c r="C53" s="32"/>
      <c r="D53" s="32"/>
      <c r="E53" s="54"/>
      <c r="F53" s="22"/>
      <c r="G53" s="25"/>
      <c r="H53" s="43"/>
      <c r="I53" s="50"/>
      <c r="J53" s="10"/>
      <c r="K53" s="50"/>
      <c r="L53" s="7"/>
      <c r="M53" s="50"/>
      <c r="N53" s="7"/>
      <c r="O53" s="50"/>
      <c r="P53" s="7"/>
      <c r="Q53" s="50"/>
      <c r="R53" s="7"/>
      <c r="S53" s="50"/>
      <c r="T53" s="7"/>
      <c r="U53" s="50"/>
      <c r="W53" s="18"/>
      <c r="X53" s="18"/>
      <c r="Y53" s="18"/>
      <c r="Z53" s="18"/>
      <c r="AA53" s="18"/>
    </row>
    <row r="54" spans="1:27" ht="24" customHeight="1" x14ac:dyDescent="0.3">
      <c r="A54" s="233"/>
      <c r="B54" s="24" t="s">
        <v>84</v>
      </c>
      <c r="C54" s="32"/>
      <c r="D54" s="32"/>
      <c r="E54" s="54"/>
      <c r="F54" s="22"/>
      <c r="G54" s="25"/>
      <c r="H54" s="7"/>
      <c r="I54" s="50"/>
      <c r="J54" s="10"/>
      <c r="K54" s="50"/>
      <c r="L54" s="7"/>
      <c r="M54" s="50"/>
      <c r="N54" s="7"/>
      <c r="O54" s="50"/>
      <c r="P54" s="7"/>
      <c r="Q54" s="50"/>
      <c r="R54" s="7"/>
      <c r="S54" s="50"/>
      <c r="T54" s="7"/>
      <c r="U54" s="50"/>
      <c r="W54" s="18"/>
      <c r="X54" s="18"/>
      <c r="Y54" s="18"/>
      <c r="Z54" s="18"/>
      <c r="AA54" s="18"/>
    </row>
    <row r="55" spans="1:27" ht="24" customHeight="1" x14ac:dyDescent="0.3">
      <c r="A55" s="233"/>
      <c r="B55" s="74" t="s">
        <v>47</v>
      </c>
      <c r="C55" s="32"/>
      <c r="D55" s="32"/>
      <c r="E55" s="54"/>
      <c r="F55" s="22"/>
      <c r="G55" s="25"/>
      <c r="H55" s="7"/>
      <c r="I55" s="50"/>
      <c r="J55" s="10"/>
      <c r="K55" s="50"/>
      <c r="L55" s="7"/>
      <c r="M55" s="50"/>
      <c r="N55" s="7"/>
      <c r="O55" s="50"/>
      <c r="P55" s="7"/>
      <c r="Q55" s="50"/>
      <c r="R55" s="7"/>
      <c r="S55" s="50"/>
      <c r="T55" s="7"/>
      <c r="U55" s="50"/>
      <c r="W55" s="18"/>
      <c r="X55" s="18"/>
      <c r="Y55" s="18"/>
      <c r="Z55" s="18"/>
      <c r="AA55" s="18"/>
    </row>
    <row r="56" spans="1:27" ht="24" customHeight="1" x14ac:dyDescent="0.3">
      <c r="A56" s="233"/>
      <c r="B56" s="74" t="s">
        <v>92</v>
      </c>
      <c r="C56" s="32"/>
      <c r="D56" s="32"/>
      <c r="E56" s="54"/>
      <c r="F56" s="22"/>
      <c r="G56" s="25"/>
      <c r="H56" s="7"/>
      <c r="I56" s="50"/>
      <c r="J56" s="10"/>
      <c r="K56" s="50"/>
      <c r="L56" s="7"/>
      <c r="M56" s="50"/>
      <c r="N56" s="7"/>
      <c r="O56" s="50"/>
      <c r="P56" s="7"/>
      <c r="Q56" s="50"/>
      <c r="R56" s="7"/>
      <c r="S56" s="50"/>
      <c r="T56" s="7"/>
      <c r="U56" s="50"/>
      <c r="W56" s="18"/>
      <c r="X56" s="18"/>
      <c r="Y56" s="18"/>
      <c r="Z56" s="18"/>
      <c r="AA56" s="18"/>
    </row>
    <row r="57" spans="1:27" ht="24" customHeight="1" x14ac:dyDescent="0.3">
      <c r="A57" s="233"/>
      <c r="B57" s="74" t="s">
        <v>45</v>
      </c>
      <c r="C57" s="32"/>
      <c r="D57" s="32"/>
      <c r="E57" s="54"/>
      <c r="F57" s="22"/>
      <c r="G57" s="25"/>
      <c r="H57" s="7"/>
      <c r="I57" s="50"/>
      <c r="J57" s="10"/>
      <c r="K57" s="50"/>
      <c r="L57" s="7"/>
      <c r="M57" s="50"/>
      <c r="N57" s="7"/>
      <c r="O57" s="50"/>
      <c r="P57" s="7"/>
      <c r="Q57" s="50"/>
      <c r="R57" s="7"/>
      <c r="S57" s="50"/>
      <c r="T57" s="7"/>
      <c r="U57" s="50"/>
      <c r="W57" s="18"/>
      <c r="X57" s="18"/>
      <c r="Y57" s="18"/>
      <c r="Z57" s="18"/>
      <c r="AA57" s="18"/>
    </row>
    <row r="58" spans="1:27" ht="27" thickBot="1" x14ac:dyDescent="0.35">
      <c r="A58" s="233"/>
      <c r="B58" s="26"/>
      <c r="C58" s="27">
        <f>SUM(C32:C57)</f>
        <v>39</v>
      </c>
      <c r="D58" s="27">
        <f>SUM(D32:D57)</f>
        <v>0</v>
      </c>
      <c r="E58" s="27">
        <f>SUM(E32:E57)</f>
        <v>0</v>
      </c>
      <c r="F58" s="27">
        <f>SUM(F32:F57)</f>
        <v>0</v>
      </c>
      <c r="G58" s="112"/>
      <c r="H58" s="2">
        <f t="shared" ref="H58:U58" si="2">SUM(H32:H57)</f>
        <v>0</v>
      </c>
      <c r="I58" s="2">
        <f t="shared" si="2"/>
        <v>0</v>
      </c>
      <c r="J58" s="2">
        <f t="shared" si="2"/>
        <v>0</v>
      </c>
      <c r="K58" s="2">
        <f t="shared" si="2"/>
        <v>0</v>
      </c>
      <c r="L58" s="2">
        <f t="shared" si="2"/>
        <v>1</v>
      </c>
      <c r="M58" s="2">
        <f t="shared" si="2"/>
        <v>0</v>
      </c>
      <c r="N58" s="2">
        <f t="shared" si="2"/>
        <v>0</v>
      </c>
      <c r="O58" s="2">
        <f t="shared" si="2"/>
        <v>0</v>
      </c>
      <c r="P58" s="2">
        <f t="shared" si="2"/>
        <v>0</v>
      </c>
      <c r="Q58" s="2">
        <f t="shared" si="2"/>
        <v>0</v>
      </c>
      <c r="R58" s="2">
        <f t="shared" si="2"/>
        <v>0</v>
      </c>
      <c r="S58" s="2">
        <f t="shared" si="2"/>
        <v>0</v>
      </c>
      <c r="T58" s="2">
        <f t="shared" si="2"/>
        <v>0</v>
      </c>
      <c r="U58" s="2">
        <f t="shared" si="2"/>
        <v>0</v>
      </c>
    </row>
    <row r="59" spans="1:27" ht="24" customHeight="1" thickTop="1" x14ac:dyDescent="0.3">
      <c r="A59" s="252" t="s">
        <v>13</v>
      </c>
      <c r="B59" s="3" t="s">
        <v>28</v>
      </c>
      <c r="C59" s="7"/>
      <c r="D59" s="7"/>
      <c r="E59" s="50"/>
      <c r="F59" s="50"/>
      <c r="G59" s="112"/>
      <c r="H59" s="7"/>
      <c r="I59" s="50"/>
      <c r="J59" s="10"/>
      <c r="K59" s="50"/>
      <c r="L59" s="7"/>
      <c r="M59" s="50"/>
      <c r="N59" s="7"/>
      <c r="O59" s="50"/>
      <c r="P59" s="7"/>
      <c r="Q59" s="50"/>
      <c r="R59" s="7"/>
      <c r="S59" s="50"/>
      <c r="T59" s="7"/>
      <c r="U59" s="50"/>
    </row>
    <row r="60" spans="1:27" ht="24" customHeight="1" x14ac:dyDescent="0.3">
      <c r="A60" s="252"/>
      <c r="B60" s="3" t="s">
        <v>29</v>
      </c>
      <c r="C60" s="7"/>
      <c r="D60" s="7"/>
      <c r="E60" s="50"/>
      <c r="F60" s="50"/>
      <c r="G60" s="112"/>
      <c r="H60" s="7"/>
      <c r="I60" s="50"/>
      <c r="J60" s="10"/>
      <c r="K60" s="50"/>
      <c r="L60" s="7"/>
      <c r="M60" s="50">
        <v>1</v>
      </c>
      <c r="N60" s="7"/>
      <c r="O60" s="50"/>
      <c r="P60" s="7"/>
      <c r="Q60" s="50"/>
      <c r="R60" s="7"/>
      <c r="S60" s="50"/>
      <c r="T60" s="7"/>
      <c r="U60" s="50"/>
    </row>
    <row r="61" spans="1:27" ht="24" customHeight="1" x14ac:dyDescent="0.3">
      <c r="A61" s="252"/>
      <c r="B61" s="3" t="s">
        <v>35</v>
      </c>
      <c r="C61" s="7"/>
      <c r="D61" s="7"/>
      <c r="E61" s="50"/>
      <c r="F61" s="50"/>
      <c r="G61" s="112"/>
      <c r="H61" s="7"/>
      <c r="I61" s="50"/>
      <c r="J61" s="10"/>
      <c r="K61" s="50"/>
      <c r="L61" s="7"/>
      <c r="M61" s="50"/>
      <c r="N61" s="7"/>
      <c r="O61" s="50"/>
      <c r="P61" s="7"/>
      <c r="Q61" s="50"/>
      <c r="R61" s="7"/>
      <c r="S61" s="50"/>
      <c r="T61" s="7"/>
      <c r="U61" s="50"/>
    </row>
    <row r="62" spans="1:27" ht="24" customHeight="1" x14ac:dyDescent="0.3">
      <c r="A62" s="252"/>
      <c r="B62" s="3" t="s">
        <v>33</v>
      </c>
      <c r="C62" s="7"/>
      <c r="D62" s="7"/>
      <c r="E62" s="50"/>
      <c r="F62" s="50"/>
      <c r="G62" s="112"/>
      <c r="H62" s="7"/>
      <c r="I62" s="50"/>
      <c r="J62" s="10"/>
      <c r="K62" s="50"/>
      <c r="L62" s="7"/>
      <c r="M62" s="50"/>
      <c r="N62" s="7"/>
      <c r="O62" s="50"/>
      <c r="P62" s="7"/>
      <c r="Q62" s="50"/>
      <c r="R62" s="7"/>
      <c r="S62" s="50"/>
      <c r="T62" s="7"/>
      <c r="U62" s="50"/>
    </row>
    <row r="63" spans="1:27" ht="24" customHeight="1" x14ac:dyDescent="0.3">
      <c r="A63" s="252"/>
      <c r="B63" s="3" t="s">
        <v>30</v>
      </c>
      <c r="C63" s="7"/>
      <c r="D63" s="7"/>
      <c r="E63" s="50"/>
      <c r="F63" s="50"/>
      <c r="G63" s="112"/>
      <c r="H63" s="7"/>
      <c r="I63" s="50"/>
      <c r="J63" s="10"/>
      <c r="K63" s="50"/>
      <c r="L63" s="7"/>
      <c r="M63" s="50"/>
      <c r="N63" s="7"/>
      <c r="O63" s="50"/>
      <c r="P63" s="7"/>
      <c r="Q63" s="50"/>
      <c r="R63" s="7"/>
      <c r="S63" s="50"/>
      <c r="T63" s="7"/>
      <c r="U63" s="50"/>
    </row>
    <row r="64" spans="1:27" ht="24" customHeight="1" x14ac:dyDescent="0.3">
      <c r="A64" s="252"/>
      <c r="B64" s="3" t="s">
        <v>31</v>
      </c>
      <c r="C64" s="7"/>
      <c r="D64" s="7"/>
      <c r="E64" s="50"/>
      <c r="F64" s="50"/>
      <c r="G64" s="112"/>
      <c r="H64" s="7"/>
      <c r="I64" s="50"/>
      <c r="J64" s="10"/>
      <c r="K64" s="50"/>
      <c r="L64" s="7"/>
      <c r="M64" s="50"/>
      <c r="N64" s="7"/>
      <c r="O64" s="50"/>
      <c r="P64" s="7"/>
      <c r="Q64" s="50"/>
      <c r="R64" s="7"/>
      <c r="S64" s="50"/>
      <c r="T64" s="7"/>
      <c r="U64" s="50"/>
    </row>
    <row r="65" spans="1:39" ht="24" customHeight="1" x14ac:dyDescent="0.3">
      <c r="A65" s="252"/>
      <c r="B65" s="3" t="s">
        <v>32</v>
      </c>
      <c r="C65" s="7"/>
      <c r="D65" s="7"/>
      <c r="E65" s="50"/>
      <c r="F65" s="50"/>
      <c r="G65" s="112"/>
      <c r="H65" s="7"/>
      <c r="I65" s="50"/>
      <c r="J65" s="10"/>
      <c r="K65" s="50"/>
      <c r="L65" s="7"/>
      <c r="M65" s="50"/>
      <c r="N65" s="7"/>
      <c r="O65" s="50"/>
      <c r="P65" s="7"/>
      <c r="Q65" s="50"/>
      <c r="R65" s="7"/>
      <c r="S65" s="50"/>
      <c r="T65" s="7"/>
      <c r="U65" s="50"/>
    </row>
    <row r="66" spans="1:39" ht="24" customHeight="1" x14ac:dyDescent="0.3">
      <c r="A66" s="252"/>
      <c r="B66" s="99" t="s">
        <v>93</v>
      </c>
      <c r="C66" s="7"/>
      <c r="D66" s="7"/>
      <c r="E66" s="50"/>
      <c r="F66" s="50"/>
      <c r="G66" s="112"/>
      <c r="H66" s="7"/>
      <c r="I66" s="50"/>
      <c r="J66" s="10"/>
      <c r="K66" s="50"/>
      <c r="L66" s="7"/>
      <c r="M66" s="50"/>
      <c r="N66" s="7"/>
      <c r="O66" s="50"/>
      <c r="P66" s="7"/>
      <c r="Q66" s="50"/>
      <c r="R66" s="7"/>
      <c r="S66" s="50"/>
      <c r="T66" s="7"/>
      <c r="U66" s="50"/>
    </row>
    <row r="67" spans="1:39" ht="26.25" x14ac:dyDescent="0.3">
      <c r="A67" s="253"/>
      <c r="B67" s="36"/>
      <c r="C67" s="17">
        <f>SUM(C59:C66)</f>
        <v>0</v>
      </c>
      <c r="D67" s="17">
        <f>SUM(D59:D66)</f>
        <v>0</v>
      </c>
      <c r="E67" s="17">
        <f>SUM(E59:E66)</f>
        <v>0</v>
      </c>
      <c r="F67" s="17">
        <f>SUM(F59:F66)</f>
        <v>0</v>
      </c>
      <c r="G67" s="112"/>
      <c r="H67" s="17">
        <f t="shared" ref="H67:S67" si="3">SUM(H59:H66)</f>
        <v>0</v>
      </c>
      <c r="I67" s="17">
        <f t="shared" si="3"/>
        <v>0</v>
      </c>
      <c r="J67" s="17">
        <f t="shared" si="3"/>
        <v>0</v>
      </c>
      <c r="K67" s="17">
        <f t="shared" si="3"/>
        <v>0</v>
      </c>
      <c r="L67" s="17">
        <f t="shared" si="3"/>
        <v>0</v>
      </c>
      <c r="M67" s="17">
        <f t="shared" si="3"/>
        <v>1</v>
      </c>
      <c r="N67" s="17">
        <f t="shared" si="3"/>
        <v>0</v>
      </c>
      <c r="O67" s="17">
        <f t="shared" si="3"/>
        <v>0</v>
      </c>
      <c r="P67" s="17">
        <f t="shared" si="3"/>
        <v>0</v>
      </c>
      <c r="Q67" s="17">
        <f t="shared" si="3"/>
        <v>0</v>
      </c>
      <c r="R67" s="17">
        <f t="shared" si="3"/>
        <v>0</v>
      </c>
      <c r="S67" s="17">
        <f t="shared" si="3"/>
        <v>0</v>
      </c>
      <c r="T67" s="17">
        <f>SUM(T59:T66)</f>
        <v>0</v>
      </c>
      <c r="U67" s="17">
        <f>SUM(U59:U66)</f>
        <v>0</v>
      </c>
      <c r="AA67" s="254"/>
      <c r="AB67" s="254"/>
      <c r="AC67" s="254"/>
      <c r="AD67" s="254"/>
      <c r="AF67" s="234"/>
      <c r="AG67" s="234"/>
      <c r="AH67" s="234"/>
      <c r="AI67" s="234"/>
      <c r="AJ67" s="234"/>
      <c r="AL67" s="234"/>
      <c r="AM67" s="234"/>
    </row>
    <row r="69" spans="1:39" ht="19.5" customHeight="1" x14ac:dyDescent="0.35">
      <c r="A69" s="235" t="s">
        <v>23</v>
      </c>
      <c r="B69" s="235"/>
      <c r="C69" s="20">
        <v>41000</v>
      </c>
      <c r="D69" s="20">
        <v>4100</v>
      </c>
      <c r="E69" s="20">
        <v>55000</v>
      </c>
      <c r="F69" s="20">
        <v>5500</v>
      </c>
      <c r="H69" s="19">
        <v>5500</v>
      </c>
      <c r="I69" s="19">
        <v>4100</v>
      </c>
      <c r="J69" s="19">
        <v>6800</v>
      </c>
      <c r="K69" s="20">
        <v>5200</v>
      </c>
      <c r="L69" s="20">
        <v>20700</v>
      </c>
      <c r="M69" s="20">
        <v>6400</v>
      </c>
      <c r="N69" s="19">
        <v>18700</v>
      </c>
      <c r="O69" s="20">
        <v>21700</v>
      </c>
      <c r="P69" s="106">
        <v>8300</v>
      </c>
      <c r="Q69" s="19">
        <v>15200</v>
      </c>
      <c r="R69" s="20">
        <v>13100</v>
      </c>
      <c r="S69" s="19">
        <v>8500</v>
      </c>
      <c r="T69" s="19">
        <v>8500</v>
      </c>
      <c r="U69" s="19">
        <v>8500</v>
      </c>
      <c r="W69" s="236">
        <f>P72*0.85</f>
        <v>1382185</v>
      </c>
      <c r="X69" s="237"/>
      <c r="Y69" s="238"/>
      <c r="AA69" s="242">
        <f>P74-P72</f>
        <v>0</v>
      </c>
      <c r="AB69" s="243"/>
      <c r="AC69" s="243"/>
      <c r="AD69" s="243"/>
      <c r="AF69" s="234"/>
      <c r="AG69" s="234"/>
      <c r="AH69" s="234"/>
      <c r="AI69" s="234"/>
      <c r="AJ69" s="234"/>
      <c r="AL69" s="234"/>
      <c r="AM69" s="234"/>
    </row>
    <row r="70" spans="1:39" ht="19.5" customHeight="1" x14ac:dyDescent="0.35">
      <c r="A70" s="235" t="s">
        <v>24</v>
      </c>
      <c r="B70" s="235"/>
      <c r="C70" s="20">
        <f>C69*C3</f>
        <v>1599000</v>
      </c>
      <c r="D70" s="20">
        <f>D69*D3</f>
        <v>0</v>
      </c>
      <c r="E70" s="20">
        <f>E69*E3</f>
        <v>0</v>
      </c>
      <c r="F70" s="20">
        <f>F69*F3</f>
        <v>0</v>
      </c>
      <c r="H70" s="20">
        <f t="shared" ref="H70:U70" si="4">H69*H3</f>
        <v>0</v>
      </c>
      <c r="I70" s="20">
        <f t="shared" si="4"/>
        <v>0</v>
      </c>
      <c r="J70" s="20">
        <f t="shared" si="4"/>
        <v>0</v>
      </c>
      <c r="K70" s="20">
        <f t="shared" si="4"/>
        <v>0</v>
      </c>
      <c r="L70" s="20">
        <f t="shared" si="4"/>
        <v>20700</v>
      </c>
      <c r="M70" s="20">
        <f t="shared" si="4"/>
        <v>6400</v>
      </c>
      <c r="N70" s="20">
        <f t="shared" si="4"/>
        <v>0</v>
      </c>
      <c r="O70" s="20">
        <f t="shared" si="4"/>
        <v>0</v>
      </c>
      <c r="P70" s="20">
        <f t="shared" si="4"/>
        <v>0</v>
      </c>
      <c r="Q70" s="20">
        <f t="shared" si="4"/>
        <v>0</v>
      </c>
      <c r="R70" s="20">
        <f t="shared" si="4"/>
        <v>0</v>
      </c>
      <c r="S70" s="20">
        <f t="shared" si="4"/>
        <v>0</v>
      </c>
      <c r="T70" s="20">
        <f t="shared" si="4"/>
        <v>0</v>
      </c>
      <c r="U70" s="20">
        <f t="shared" si="4"/>
        <v>0</v>
      </c>
      <c r="W70" s="239"/>
      <c r="X70" s="240"/>
      <c r="Y70" s="241"/>
      <c r="AA70" s="243"/>
      <c r="AB70" s="243"/>
      <c r="AC70" s="243"/>
      <c r="AD70" s="243"/>
      <c r="AF70" s="234"/>
      <c r="AG70" s="234"/>
      <c r="AH70" s="234"/>
      <c r="AI70" s="234"/>
      <c r="AJ70" s="234"/>
      <c r="AL70" s="234"/>
      <c r="AM70" s="234"/>
    </row>
    <row r="72" spans="1:39" ht="26.25" x14ac:dyDescent="0.3">
      <c r="P72" s="259">
        <f>SUM(C70:U70)</f>
        <v>1626100</v>
      </c>
      <c r="Q72" s="260"/>
      <c r="W72" s="247"/>
      <c r="X72" s="248"/>
      <c r="Y72" s="248"/>
      <c r="AA72" s="249"/>
      <c r="AB72" s="250"/>
      <c r="AC72" s="250"/>
      <c r="AD72" s="251"/>
    </row>
    <row r="74" spans="1:39" ht="26.25" x14ac:dyDescent="0.3">
      <c r="C74" s="244"/>
      <c r="D74" s="245"/>
      <c r="P74" s="246">
        <v>1626100</v>
      </c>
      <c r="Q74" s="246"/>
      <c r="W74" s="247">
        <f>P74*0.85</f>
        <v>1382185</v>
      </c>
      <c r="X74" s="248"/>
      <c r="Y74" s="248"/>
      <c r="AA74" s="249"/>
      <c r="AB74" s="250"/>
      <c r="AC74" s="250"/>
      <c r="AD74" s="251"/>
    </row>
    <row r="75" spans="1:39" x14ac:dyDescent="0.3">
      <c r="Q75" s="18"/>
      <c r="S75" s="18"/>
      <c r="U75" s="18"/>
      <c r="W75" s="245"/>
      <c r="X75" s="245"/>
      <c r="Y75" s="245"/>
      <c r="AA75" s="255"/>
      <c r="AB75" s="256"/>
      <c r="AC75" s="256"/>
      <c r="AD75" s="256"/>
    </row>
    <row r="76" spans="1:39" x14ac:dyDescent="0.3">
      <c r="P76" s="244"/>
      <c r="Q76" s="245"/>
      <c r="W76" s="245"/>
      <c r="X76" s="245"/>
      <c r="Y76" s="245"/>
      <c r="AA76" s="245"/>
      <c r="AB76" s="245"/>
      <c r="AC76" s="245"/>
      <c r="AD76" s="245"/>
    </row>
    <row r="77" spans="1:39" x14ac:dyDescent="0.3">
      <c r="P77" s="245"/>
      <c r="Q77" s="245"/>
      <c r="W77" s="245"/>
      <c r="X77" s="245"/>
      <c r="Y77" s="245"/>
      <c r="AA77" s="245"/>
      <c r="AB77" s="245"/>
      <c r="AC77" s="245"/>
      <c r="AD77" s="245"/>
    </row>
    <row r="78" spans="1:39" x14ac:dyDescent="0.3">
      <c r="P78" s="18"/>
      <c r="Q78" s="18"/>
      <c r="S78" s="18"/>
      <c r="U78" s="18"/>
      <c r="AA78" s="245"/>
      <c r="AB78" s="245"/>
      <c r="AC78" s="245"/>
      <c r="AD78" s="245"/>
    </row>
    <row r="79" spans="1:39" x14ac:dyDescent="0.3">
      <c r="C79">
        <f>C69*0.85</f>
        <v>34850</v>
      </c>
      <c r="D79">
        <f t="shared" ref="D79:R79" si="5">D69*0.85</f>
        <v>3485</v>
      </c>
      <c r="E79">
        <f t="shared" si="5"/>
        <v>46750</v>
      </c>
      <c r="F79">
        <f t="shared" si="5"/>
        <v>4675</v>
      </c>
      <c r="H79">
        <f t="shared" si="5"/>
        <v>4675</v>
      </c>
      <c r="I79">
        <f t="shared" si="5"/>
        <v>3485</v>
      </c>
      <c r="J79">
        <f t="shared" si="5"/>
        <v>5780</v>
      </c>
      <c r="K79">
        <f t="shared" si="5"/>
        <v>4420</v>
      </c>
      <c r="L79">
        <f t="shared" si="5"/>
        <v>17595</v>
      </c>
      <c r="M79">
        <f t="shared" si="5"/>
        <v>5440</v>
      </c>
      <c r="N79">
        <f t="shared" si="5"/>
        <v>15895</v>
      </c>
      <c r="O79">
        <f t="shared" si="5"/>
        <v>18445</v>
      </c>
      <c r="P79">
        <f t="shared" si="5"/>
        <v>7055</v>
      </c>
      <c r="Q79">
        <f t="shared" si="5"/>
        <v>12920</v>
      </c>
      <c r="R79">
        <f t="shared" si="5"/>
        <v>11135</v>
      </c>
      <c r="S79">
        <f>S69*0.85</f>
        <v>7225</v>
      </c>
      <c r="T79">
        <f>T69*0.85</f>
        <v>7225</v>
      </c>
      <c r="U79">
        <f>U69*0.85</f>
        <v>7225</v>
      </c>
    </row>
    <row r="80" spans="1:39" x14ac:dyDescent="0.3">
      <c r="C80">
        <v>29500</v>
      </c>
      <c r="D80">
        <v>2950</v>
      </c>
      <c r="E80">
        <v>51000</v>
      </c>
      <c r="F80">
        <v>5100</v>
      </c>
      <c r="H80">
        <v>3600</v>
      </c>
      <c r="I80">
        <v>2950</v>
      </c>
      <c r="J80">
        <v>4000</v>
      </c>
      <c r="K80">
        <v>4200</v>
      </c>
      <c r="L80">
        <v>15000</v>
      </c>
      <c r="M80">
        <v>4500</v>
      </c>
      <c r="N80">
        <v>9500</v>
      </c>
      <c r="O80">
        <v>12000</v>
      </c>
      <c r="P80">
        <v>8000</v>
      </c>
      <c r="Q80">
        <v>12000</v>
      </c>
      <c r="R80">
        <v>8500</v>
      </c>
    </row>
    <row r="81" spans="3:30" x14ac:dyDescent="0.3">
      <c r="C81">
        <f>C79-C80</f>
        <v>5350</v>
      </c>
      <c r="D81">
        <f t="shared" ref="D81:R81" si="6">D79-D80</f>
        <v>535</v>
      </c>
      <c r="E81">
        <f t="shared" si="6"/>
        <v>-4250</v>
      </c>
      <c r="F81">
        <f t="shared" si="6"/>
        <v>-425</v>
      </c>
      <c r="H81">
        <f t="shared" si="6"/>
        <v>1075</v>
      </c>
      <c r="I81">
        <f t="shared" si="6"/>
        <v>535</v>
      </c>
      <c r="J81">
        <f t="shared" si="6"/>
        <v>1780</v>
      </c>
      <c r="K81">
        <f t="shared" si="6"/>
        <v>220</v>
      </c>
      <c r="L81">
        <f t="shared" si="6"/>
        <v>2595</v>
      </c>
      <c r="M81">
        <f t="shared" si="6"/>
        <v>940</v>
      </c>
      <c r="N81">
        <f t="shared" si="6"/>
        <v>6395</v>
      </c>
      <c r="O81">
        <f t="shared" si="6"/>
        <v>6445</v>
      </c>
      <c r="P81">
        <f t="shared" si="6"/>
        <v>-945</v>
      </c>
      <c r="Q81">
        <f t="shared" si="6"/>
        <v>920</v>
      </c>
      <c r="R81">
        <f t="shared" si="6"/>
        <v>2635</v>
      </c>
    </row>
    <row r="82" spans="3:30" x14ac:dyDescent="0.3">
      <c r="C82">
        <f>C81*C3</f>
        <v>208650</v>
      </c>
      <c r="D82">
        <f t="shared" ref="D82:R82" si="7">D81*D3</f>
        <v>0</v>
      </c>
      <c r="E82">
        <f t="shared" si="7"/>
        <v>0</v>
      </c>
      <c r="F82">
        <f t="shared" si="7"/>
        <v>0</v>
      </c>
      <c r="G82">
        <f t="shared" si="7"/>
        <v>0</v>
      </c>
      <c r="H82">
        <f t="shared" si="7"/>
        <v>0</v>
      </c>
      <c r="I82">
        <f t="shared" si="7"/>
        <v>0</v>
      </c>
      <c r="J82">
        <f t="shared" si="7"/>
        <v>0</v>
      </c>
      <c r="K82">
        <f t="shared" si="7"/>
        <v>0</v>
      </c>
      <c r="L82">
        <f t="shared" si="7"/>
        <v>2595</v>
      </c>
      <c r="M82">
        <f t="shared" si="7"/>
        <v>940</v>
      </c>
      <c r="N82">
        <f t="shared" si="7"/>
        <v>0</v>
      </c>
      <c r="O82">
        <f t="shared" si="7"/>
        <v>0</v>
      </c>
      <c r="P82">
        <f t="shared" si="7"/>
        <v>0</v>
      </c>
      <c r="Q82">
        <f t="shared" si="7"/>
        <v>0</v>
      </c>
      <c r="R82">
        <f t="shared" si="7"/>
        <v>0</v>
      </c>
      <c r="Z82" s="245"/>
      <c r="AA82" s="245"/>
      <c r="AB82" s="245"/>
      <c r="AC82" s="245"/>
      <c r="AD82" s="245"/>
    </row>
    <row r="83" spans="3:30" x14ac:dyDescent="0.3">
      <c r="Z83" s="245"/>
      <c r="AA83" s="245"/>
      <c r="AB83" s="245"/>
      <c r="AC83" s="245"/>
      <c r="AD83" s="245"/>
    </row>
    <row r="84" spans="3:30" ht="26.25" x14ac:dyDescent="0.3">
      <c r="P84" s="257">
        <f>SUM(C82:R82)</f>
        <v>212185</v>
      </c>
      <c r="Q84" s="258"/>
    </row>
  </sheetData>
  <mergeCells count="28">
    <mergeCell ref="A1:B2"/>
    <mergeCell ref="C1:D1"/>
    <mergeCell ref="E1:F1"/>
    <mergeCell ref="A4:A31"/>
    <mergeCell ref="X28:AB28"/>
    <mergeCell ref="A32:A58"/>
    <mergeCell ref="AF67:AJ67"/>
    <mergeCell ref="AL67:AM67"/>
    <mergeCell ref="A69:B69"/>
    <mergeCell ref="W69:Y70"/>
    <mergeCell ref="AA69:AD70"/>
    <mergeCell ref="AF69:AJ70"/>
    <mergeCell ref="AL69:AM70"/>
    <mergeCell ref="A70:B70"/>
    <mergeCell ref="C74:D74"/>
    <mergeCell ref="P74:Q74"/>
    <mergeCell ref="W74:Y74"/>
    <mergeCell ref="AA74:AD74"/>
    <mergeCell ref="A59:A67"/>
    <mergeCell ref="AA67:AD67"/>
    <mergeCell ref="W75:Y77"/>
    <mergeCell ref="AA75:AD78"/>
    <mergeCell ref="P76:Q77"/>
    <mergeCell ref="Z82:AD83"/>
    <mergeCell ref="P84:Q84"/>
    <mergeCell ref="P72:Q72"/>
    <mergeCell ref="W72:Y72"/>
    <mergeCell ref="AA72:AD72"/>
  </mergeCells>
  <phoneticPr fontId="34" type="noConversion"/>
  <conditionalFormatting sqref="B7:B11">
    <cfRule type="duplicateValues" dxfId="197" priority="2"/>
  </conditionalFormatting>
  <conditionalFormatting sqref="B59:B66">
    <cfRule type="duplicateValues" dxfId="196" priority="3"/>
  </conditionalFormatting>
  <conditionalFormatting sqref="B12">
    <cfRule type="duplicateValues" dxfId="195" priority="1"/>
  </conditionalFormatting>
  <conditionalFormatting sqref="B4:B6 B13:B30">
    <cfRule type="expression" dxfId="194" priority="5" stopIfTrue="1">
      <formula>AND(COUNTIF($B$4:$B$6, B4)+COUNTIF($B$13:$B$30, B4)&gt;1,NOT(ISBLANK(B4)))</formula>
    </cfRule>
  </conditionalFormatting>
  <conditionalFormatting sqref="B32:B57">
    <cfRule type="duplicateValues" dxfId="193" priority="4"/>
  </conditionalFormatting>
  <printOptions horizontalCentered="1" verticalCentered="1"/>
  <pageMargins left="0" right="0" top="7.874015748031496E-2" bottom="7.874015748031496E-2" header="0" footer="0"/>
  <pageSetup paperSize="9" scale="2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V17"/>
  <sheetViews>
    <sheetView zoomScale="70" zoomScaleNormal="70" workbookViewId="0">
      <pane ySplit="3" topLeftCell="A4" activePane="bottomLeft" state="frozen"/>
      <selection activeCell="Y4" sqref="Y4"/>
      <selection pane="bottomLeft" activeCell="Y4" sqref="Y4"/>
    </sheetView>
  </sheetViews>
  <sheetFormatPr defaultRowHeight="16.5" x14ac:dyDescent="0.3"/>
  <cols>
    <col min="1" max="1" width="32.875" customWidth="1"/>
    <col min="2" max="6" width="10" customWidth="1"/>
    <col min="7" max="7" width="5.75" customWidth="1"/>
    <col min="8" max="8" width="18.5" customWidth="1"/>
    <col min="9" max="22" width="10.875" customWidth="1"/>
  </cols>
  <sheetData>
    <row r="1" spans="1:22" ht="113.25" customHeight="1" x14ac:dyDescent="0.3">
      <c r="A1" s="222" t="s">
        <v>111</v>
      </c>
      <c r="B1" s="223"/>
      <c r="C1" s="267" t="s">
        <v>97</v>
      </c>
      <c r="D1" s="268"/>
      <c r="E1" s="228" t="s">
        <v>98</v>
      </c>
      <c r="F1" s="228"/>
      <c r="G1" s="8"/>
      <c r="H1" s="269" t="s">
        <v>18</v>
      </c>
      <c r="I1" s="72" t="s">
        <v>20</v>
      </c>
      <c r="J1" s="111" t="s">
        <v>21</v>
      </c>
      <c r="K1" s="5" t="s">
        <v>101</v>
      </c>
      <c r="L1" s="111" t="s">
        <v>100</v>
      </c>
      <c r="M1" s="5" t="s">
        <v>96</v>
      </c>
      <c r="N1" s="111" t="s">
        <v>99</v>
      </c>
      <c r="O1" s="5" t="s">
        <v>102</v>
      </c>
      <c r="P1" s="111" t="s">
        <v>103</v>
      </c>
      <c r="Q1" s="5" t="s">
        <v>104</v>
      </c>
      <c r="R1" s="111" t="s">
        <v>105</v>
      </c>
      <c r="S1" s="5" t="s">
        <v>106</v>
      </c>
      <c r="T1" s="111" t="s">
        <v>85</v>
      </c>
      <c r="U1" s="5" t="s">
        <v>86</v>
      </c>
      <c r="V1" s="111" t="s">
        <v>88</v>
      </c>
    </row>
    <row r="2" spans="1:22" ht="43.5" customHeight="1" x14ac:dyDescent="0.3">
      <c r="A2" s="224"/>
      <c r="B2" s="225"/>
      <c r="C2" s="73" t="s">
        <v>2</v>
      </c>
      <c r="D2" s="73" t="s">
        <v>22</v>
      </c>
      <c r="E2" s="1" t="s">
        <v>2</v>
      </c>
      <c r="F2" s="1" t="s">
        <v>1</v>
      </c>
      <c r="G2" s="9"/>
      <c r="H2" s="270"/>
      <c r="I2" s="6" t="s">
        <v>3</v>
      </c>
      <c r="J2" s="1" t="s">
        <v>1</v>
      </c>
      <c r="K2" s="6" t="s">
        <v>3</v>
      </c>
      <c r="L2" s="1" t="s">
        <v>1</v>
      </c>
      <c r="M2" s="6" t="s">
        <v>3</v>
      </c>
      <c r="N2" s="1" t="s">
        <v>1</v>
      </c>
      <c r="O2" s="6" t="s">
        <v>3</v>
      </c>
      <c r="P2" s="1" t="s">
        <v>1</v>
      </c>
      <c r="Q2" s="6" t="s">
        <v>3</v>
      </c>
      <c r="R2" s="1" t="s">
        <v>1</v>
      </c>
      <c r="S2" s="6" t="s">
        <v>3</v>
      </c>
      <c r="T2" s="1" t="s">
        <v>1</v>
      </c>
      <c r="U2" s="6" t="s">
        <v>3</v>
      </c>
      <c r="V2" s="1" t="s">
        <v>3</v>
      </c>
    </row>
    <row r="3" spans="1:22" ht="39" customHeight="1" thickBot="1" x14ac:dyDescent="0.35">
      <c r="A3" s="271" t="s">
        <v>10</v>
      </c>
      <c r="B3" s="272"/>
      <c r="C3" s="44">
        <f>SUM(C4:C19)</f>
        <v>39</v>
      </c>
      <c r="D3" s="44">
        <f>SUM(D4:D19)</f>
        <v>0</v>
      </c>
      <c r="E3" s="44">
        <f>SUM(E4:E19)</f>
        <v>0</v>
      </c>
      <c r="F3" s="44">
        <f>SUM(F4:F19)</f>
        <v>0</v>
      </c>
      <c r="G3" s="112"/>
      <c r="H3" s="13" t="s">
        <v>10</v>
      </c>
      <c r="I3" s="44">
        <f t="shared" ref="I3:V3" si="0">SUM(I4:I11)</f>
        <v>0</v>
      </c>
      <c r="J3" s="44">
        <f t="shared" si="0"/>
        <v>0</v>
      </c>
      <c r="K3" s="44">
        <f t="shared" si="0"/>
        <v>0</v>
      </c>
      <c r="L3" s="44">
        <f t="shared" si="0"/>
        <v>0</v>
      </c>
      <c r="M3" s="44">
        <f t="shared" si="0"/>
        <v>1</v>
      </c>
      <c r="N3" s="44">
        <f t="shared" si="0"/>
        <v>1</v>
      </c>
      <c r="O3" s="44">
        <f t="shared" si="0"/>
        <v>0</v>
      </c>
      <c r="P3" s="44">
        <f t="shared" si="0"/>
        <v>0</v>
      </c>
      <c r="Q3" s="44">
        <f t="shared" si="0"/>
        <v>0</v>
      </c>
      <c r="R3" s="44">
        <f t="shared" si="0"/>
        <v>0</v>
      </c>
      <c r="S3" s="44">
        <f t="shared" si="0"/>
        <v>0</v>
      </c>
      <c r="T3" s="44">
        <f t="shared" si="0"/>
        <v>0</v>
      </c>
      <c r="U3" s="44">
        <f t="shared" si="0"/>
        <v>0</v>
      </c>
      <c r="V3" s="93">
        <f t="shared" si="0"/>
        <v>0</v>
      </c>
    </row>
    <row r="4" spans="1:22" ht="82.7" customHeight="1" thickTop="1" x14ac:dyDescent="0.3">
      <c r="A4" s="273" t="s">
        <v>15</v>
      </c>
      <c r="B4" s="274"/>
      <c r="C4" s="57">
        <f>'학교별01.30'!C31</f>
        <v>0</v>
      </c>
      <c r="D4" s="57">
        <f>'학교별01.30'!D31</f>
        <v>0</v>
      </c>
      <c r="E4" s="58">
        <f>'학교별01.30'!E31</f>
        <v>0</v>
      </c>
      <c r="F4" s="59">
        <f>'학교별01.30'!F31</f>
        <v>0</v>
      </c>
      <c r="G4" s="112"/>
      <c r="H4" s="49" t="s">
        <v>15</v>
      </c>
      <c r="I4" s="47">
        <f>'학교별01.30'!H31</f>
        <v>0</v>
      </c>
      <c r="J4" s="45">
        <f>'학교별01.30'!I31</f>
        <v>0</v>
      </c>
      <c r="K4" s="47">
        <f>'학교별01.30'!J31</f>
        <v>0</v>
      </c>
      <c r="L4" s="45">
        <f>'학교별01.30'!K31</f>
        <v>0</v>
      </c>
      <c r="M4" s="47">
        <f>'학교별01.30'!L31</f>
        <v>0</v>
      </c>
      <c r="N4" s="45">
        <f>'학교별01.30'!M31</f>
        <v>0</v>
      </c>
      <c r="O4" s="47">
        <f>'학교별01.30'!N31</f>
        <v>0</v>
      </c>
      <c r="P4" s="45">
        <f>'학교별01.30'!O31</f>
        <v>0</v>
      </c>
      <c r="Q4" s="47">
        <f>'학교별01.30'!P31</f>
        <v>0</v>
      </c>
      <c r="R4" s="45">
        <f>'학교별01.30'!Q31</f>
        <v>0</v>
      </c>
      <c r="S4" s="47">
        <f>'학교별01.30'!R31</f>
        <v>0</v>
      </c>
      <c r="T4" s="45">
        <f>'학교별01.30'!S31</f>
        <v>0</v>
      </c>
      <c r="U4" s="47">
        <f>'학교별01.30'!T31</f>
        <v>0</v>
      </c>
      <c r="V4" s="87">
        <f>'학교별01.30'!U31</f>
        <v>0</v>
      </c>
    </row>
    <row r="5" spans="1:22" ht="82.7" customHeight="1" thickBot="1" x14ac:dyDescent="0.35">
      <c r="A5" s="275"/>
      <c r="B5" s="276"/>
      <c r="C5" s="79"/>
      <c r="D5" s="60"/>
      <c r="E5" s="62"/>
      <c r="F5" s="61"/>
      <c r="G5" s="112"/>
      <c r="H5" s="40"/>
      <c r="I5" s="83"/>
      <c r="J5" s="81"/>
      <c r="K5" s="95"/>
      <c r="L5" s="81"/>
      <c r="M5" s="84"/>
      <c r="N5" s="81"/>
      <c r="O5" s="83"/>
      <c r="P5" s="42"/>
      <c r="Q5" s="41"/>
      <c r="R5" s="42"/>
      <c r="S5" s="83"/>
      <c r="T5" s="42"/>
      <c r="U5" s="41"/>
      <c r="V5" s="94"/>
    </row>
    <row r="6" spans="1:22" ht="18" thickTop="1" thickBot="1" x14ac:dyDescent="0.35">
      <c r="H6" s="33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89"/>
    </row>
    <row r="7" spans="1:22" ht="82.7" customHeight="1" thickTop="1" x14ac:dyDescent="0.3">
      <c r="A7" s="277" t="s">
        <v>26</v>
      </c>
      <c r="B7" s="278"/>
      <c r="C7" s="47">
        <f>'학교별01.30'!C58</f>
        <v>39</v>
      </c>
      <c r="D7" s="47">
        <f>'학교별01.30'!D58</f>
        <v>0</v>
      </c>
      <c r="E7" s="45">
        <f>'학교별01.30'!E58</f>
        <v>0</v>
      </c>
      <c r="F7" s="45">
        <f>'학교별01.30'!F58</f>
        <v>0</v>
      </c>
      <c r="G7" s="37"/>
      <c r="H7" s="55" t="s">
        <v>17</v>
      </c>
      <c r="I7" s="48">
        <f>'학교별01.30'!H58</f>
        <v>0</v>
      </c>
      <c r="J7" s="46">
        <f>'학교별01.30'!I58</f>
        <v>0</v>
      </c>
      <c r="K7" s="48">
        <f>'학교별01.30'!J58</f>
        <v>0</v>
      </c>
      <c r="L7" s="46">
        <f>'학교별01.30'!K58</f>
        <v>0</v>
      </c>
      <c r="M7" s="48">
        <f>'학교별01.30'!L58</f>
        <v>1</v>
      </c>
      <c r="N7" s="46">
        <f>'학교별01.30'!M58</f>
        <v>0</v>
      </c>
      <c r="O7" s="48">
        <f>'학교별01.30'!N58</f>
        <v>0</v>
      </c>
      <c r="P7" s="46">
        <f>'학교별01.30'!O58</f>
        <v>0</v>
      </c>
      <c r="Q7" s="48">
        <f>'학교별01.30'!P58</f>
        <v>0</v>
      </c>
      <c r="R7" s="46">
        <f>'학교별01.30'!Q58</f>
        <v>0</v>
      </c>
      <c r="S7" s="48">
        <f>'학교별01.30'!R58</f>
        <v>0</v>
      </c>
      <c r="T7" s="46">
        <f>'학교별01.30'!S58</f>
        <v>0</v>
      </c>
      <c r="U7" s="48">
        <f>'학교별01.30'!T58</f>
        <v>0</v>
      </c>
      <c r="V7" s="90">
        <f>'학교별01.30'!U58</f>
        <v>0</v>
      </c>
    </row>
    <row r="8" spans="1:22" ht="82.7" customHeight="1" thickBot="1" x14ac:dyDescent="0.35">
      <c r="A8" s="261"/>
      <c r="B8" s="262"/>
      <c r="C8" s="75"/>
      <c r="D8" s="96"/>
      <c r="E8" s="78"/>
      <c r="F8" s="38"/>
      <c r="G8" s="39"/>
      <c r="H8" s="112"/>
      <c r="I8" s="41"/>
      <c r="J8" s="42"/>
      <c r="K8" s="41"/>
      <c r="L8" s="42"/>
      <c r="M8" s="41"/>
      <c r="N8" s="42"/>
      <c r="O8" s="41"/>
      <c r="P8" s="42"/>
      <c r="Q8" s="41"/>
      <c r="R8" s="98"/>
      <c r="S8" s="41"/>
      <c r="T8" s="42"/>
      <c r="U8" s="41"/>
      <c r="V8" s="88"/>
    </row>
    <row r="9" spans="1:22" ht="18" thickTop="1" thickBot="1" x14ac:dyDescent="0.35">
      <c r="H9" s="33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89"/>
    </row>
    <row r="10" spans="1:22" ht="82.7" customHeight="1" thickTop="1" x14ac:dyDescent="0.3">
      <c r="A10" s="263" t="s">
        <v>16</v>
      </c>
      <c r="B10" s="264"/>
      <c r="C10" s="65">
        <f>'학교별01.30'!C67</f>
        <v>0</v>
      </c>
      <c r="D10" s="65">
        <f>'학교별01.30'!D67</f>
        <v>0</v>
      </c>
      <c r="E10" s="66">
        <f>'학교별01.30'!E67</f>
        <v>0</v>
      </c>
      <c r="F10" s="67">
        <f>'학교별01.30'!F67</f>
        <v>0</v>
      </c>
      <c r="G10" s="112"/>
      <c r="H10" s="53" t="s">
        <v>25</v>
      </c>
      <c r="I10" s="52">
        <f>'학교별01.30'!H67</f>
        <v>0</v>
      </c>
      <c r="J10" s="51">
        <f>'학교별01.30'!I67</f>
        <v>0</v>
      </c>
      <c r="K10" s="52">
        <f>'학교별01.30'!J67</f>
        <v>0</v>
      </c>
      <c r="L10" s="51">
        <f>'학교별01.30'!K67</f>
        <v>0</v>
      </c>
      <c r="M10" s="52">
        <f>'학교별01.30'!L67</f>
        <v>0</v>
      </c>
      <c r="N10" s="51">
        <f>'학교별01.30'!M67</f>
        <v>1</v>
      </c>
      <c r="O10" s="52">
        <f>'학교별01.30'!N67</f>
        <v>0</v>
      </c>
      <c r="P10" s="51">
        <f>'학교별01.30'!O67</f>
        <v>0</v>
      </c>
      <c r="Q10" s="52">
        <f>'학교별01.30'!P67</f>
        <v>0</v>
      </c>
      <c r="R10" s="51">
        <f>'학교별01.30'!Q67</f>
        <v>0</v>
      </c>
      <c r="S10" s="52">
        <f>'학교별01.30'!R67</f>
        <v>0</v>
      </c>
      <c r="T10" s="51">
        <f>'학교별01.30'!S67</f>
        <v>0</v>
      </c>
      <c r="U10" s="52">
        <f>'학교별01.30'!T67</f>
        <v>0</v>
      </c>
      <c r="V10" s="91">
        <f>'학교별01.30'!U67</f>
        <v>0</v>
      </c>
    </row>
    <row r="11" spans="1:22" ht="82.7" customHeight="1" thickBot="1" x14ac:dyDescent="0.35">
      <c r="A11" s="265"/>
      <c r="B11" s="266"/>
      <c r="C11" s="68"/>
      <c r="D11" s="69"/>
      <c r="E11" s="70"/>
      <c r="F11" s="71"/>
      <c r="H11" s="64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92"/>
    </row>
    <row r="12" spans="1:22" ht="17.25" thickTop="1" x14ac:dyDescent="0.3"/>
    <row r="17" spans="8:8" x14ac:dyDescent="0.3">
      <c r="H17" t="s">
        <v>83</v>
      </c>
    </row>
  </sheetData>
  <mergeCells count="11">
    <mergeCell ref="A8:B8"/>
    <mergeCell ref="A10:B10"/>
    <mergeCell ref="A11:B11"/>
    <mergeCell ref="A1:B2"/>
    <mergeCell ref="C1:D1"/>
    <mergeCell ref="E1:F1"/>
    <mergeCell ref="H1:H2"/>
    <mergeCell ref="A3:B3"/>
    <mergeCell ref="A4:B4"/>
    <mergeCell ref="A5:B5"/>
    <mergeCell ref="A7:B7"/>
  </mergeCells>
  <phoneticPr fontId="34" type="noConversion"/>
  <conditionalFormatting sqref="A10">
    <cfRule type="duplicateValues" dxfId="192" priority="1"/>
  </conditionalFormatting>
  <conditionalFormatting sqref="A4:A5">
    <cfRule type="duplicateValues" dxfId="191" priority="2"/>
  </conditionalFormatting>
  <conditionalFormatting sqref="A7:A8">
    <cfRule type="duplicateValues" dxfId="190" priority="3"/>
  </conditionalFormatting>
  <printOptions horizontalCentered="1" verticalCentered="1"/>
  <pageMargins left="0" right="0" top="7.874015748031496E-2" bottom="7.874015748031496E-2" header="0" footer="0"/>
  <pageSetup paperSize="9" scale="5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84"/>
  <sheetViews>
    <sheetView zoomScale="70" zoomScaleNormal="70" workbookViewId="0">
      <pane ySplit="3" topLeftCell="A55" activePane="bottomLeft" state="frozen"/>
      <selection activeCell="X4" sqref="X4"/>
      <selection pane="bottomLeft" activeCell="X4" sqref="X4"/>
    </sheetView>
  </sheetViews>
  <sheetFormatPr defaultRowHeight="16.5" x14ac:dyDescent="0.3"/>
  <cols>
    <col min="1" max="1" width="9" customWidth="1"/>
    <col min="2" max="2" width="33.75" customWidth="1"/>
    <col min="3" max="3" width="10.75" customWidth="1"/>
    <col min="4" max="4" width="10" customWidth="1"/>
    <col min="5" max="5" width="10.5" customWidth="1"/>
    <col min="6" max="6" width="10" customWidth="1"/>
    <col min="7" max="7" width="4.125" customWidth="1"/>
    <col min="8" max="21" width="10.875" customWidth="1"/>
    <col min="22" max="22" width="5.5" customWidth="1"/>
    <col min="23" max="23" width="10.875" bestFit="1" customWidth="1"/>
  </cols>
  <sheetData>
    <row r="1" spans="1:25" ht="113.25" customHeight="1" x14ac:dyDescent="0.3">
      <c r="A1" s="222" t="s">
        <v>112</v>
      </c>
      <c r="B1" s="223"/>
      <c r="C1" s="226" t="s">
        <v>0</v>
      </c>
      <c r="D1" s="227"/>
      <c r="E1" s="228" t="s">
        <v>19</v>
      </c>
      <c r="F1" s="228"/>
      <c r="G1" s="8"/>
      <c r="H1" s="72" t="s">
        <v>20</v>
      </c>
      <c r="I1" s="113" t="s">
        <v>21</v>
      </c>
      <c r="J1" s="5" t="s">
        <v>7</v>
      </c>
      <c r="K1" s="113" t="s">
        <v>4</v>
      </c>
      <c r="L1" s="5" t="s">
        <v>6</v>
      </c>
      <c r="M1" s="113" t="s">
        <v>5</v>
      </c>
      <c r="N1" s="5" t="s">
        <v>9</v>
      </c>
      <c r="O1" s="113" t="s">
        <v>11</v>
      </c>
      <c r="P1" s="5" t="s">
        <v>8</v>
      </c>
      <c r="Q1" s="113" t="s">
        <v>12</v>
      </c>
      <c r="R1" s="5" t="s">
        <v>95</v>
      </c>
      <c r="S1" s="113" t="s">
        <v>85</v>
      </c>
      <c r="T1" s="5" t="s">
        <v>86</v>
      </c>
      <c r="U1" s="113" t="s">
        <v>87</v>
      </c>
    </row>
    <row r="2" spans="1:25" ht="43.5" customHeight="1" x14ac:dyDescent="0.3">
      <c r="A2" s="224"/>
      <c r="B2" s="225"/>
      <c r="C2" s="73" t="s">
        <v>2</v>
      </c>
      <c r="D2" s="21" t="s">
        <v>1</v>
      </c>
      <c r="E2" s="1" t="s">
        <v>2</v>
      </c>
      <c r="F2" s="1" t="s">
        <v>1</v>
      </c>
      <c r="G2" s="9"/>
      <c r="H2" s="6" t="s">
        <v>3</v>
      </c>
      <c r="I2" s="1" t="s">
        <v>1</v>
      </c>
      <c r="J2" s="6" t="s">
        <v>3</v>
      </c>
      <c r="K2" s="1" t="s">
        <v>1</v>
      </c>
      <c r="L2" s="6" t="s">
        <v>3</v>
      </c>
      <c r="M2" s="1" t="s">
        <v>1</v>
      </c>
      <c r="N2" s="6" t="s">
        <v>3</v>
      </c>
      <c r="O2" s="1" t="s">
        <v>1</v>
      </c>
      <c r="P2" s="6" t="s">
        <v>3</v>
      </c>
      <c r="Q2" s="1" t="s">
        <v>1</v>
      </c>
      <c r="R2" s="6" t="s">
        <v>3</v>
      </c>
      <c r="S2" s="1" t="s">
        <v>1</v>
      </c>
      <c r="T2" s="6" t="s">
        <v>3</v>
      </c>
      <c r="U2" s="1" t="s">
        <v>1</v>
      </c>
    </row>
    <row r="3" spans="1:25" ht="26.25" x14ac:dyDescent="0.3">
      <c r="A3" s="97" t="s">
        <v>14</v>
      </c>
      <c r="B3" s="12" t="s">
        <v>10</v>
      </c>
      <c r="C3" s="29">
        <f>C31+C58+C67</f>
        <v>10</v>
      </c>
      <c r="D3" s="30">
        <f>D31+D58+D67</f>
        <v>0</v>
      </c>
      <c r="E3" s="30">
        <f>E31+E58+E67</f>
        <v>0</v>
      </c>
      <c r="F3" s="14">
        <f>F31+F58+F67</f>
        <v>0</v>
      </c>
      <c r="G3" s="114"/>
      <c r="H3" s="2">
        <f t="shared" ref="H3:U3" si="0">H31+H58+H67</f>
        <v>0</v>
      </c>
      <c r="I3" s="2">
        <f t="shared" si="0"/>
        <v>0</v>
      </c>
      <c r="J3" s="85">
        <f t="shared" si="0"/>
        <v>0</v>
      </c>
      <c r="K3" s="2">
        <f t="shared" si="0"/>
        <v>0</v>
      </c>
      <c r="L3" s="2">
        <f t="shared" si="0"/>
        <v>1</v>
      </c>
      <c r="M3" s="2">
        <f t="shared" si="0"/>
        <v>0</v>
      </c>
      <c r="N3" s="2">
        <f t="shared" si="0"/>
        <v>0</v>
      </c>
      <c r="O3" s="2">
        <f t="shared" si="0"/>
        <v>0</v>
      </c>
      <c r="P3" s="2">
        <f t="shared" si="0"/>
        <v>0</v>
      </c>
      <c r="Q3" s="2">
        <f t="shared" si="0"/>
        <v>0</v>
      </c>
      <c r="R3" s="2">
        <f t="shared" si="0"/>
        <v>0</v>
      </c>
      <c r="S3" s="2">
        <f t="shared" si="0"/>
        <v>0</v>
      </c>
      <c r="T3" s="2">
        <f t="shared" si="0"/>
        <v>0</v>
      </c>
      <c r="U3" s="2">
        <f t="shared" si="0"/>
        <v>0</v>
      </c>
      <c r="V3" s="4">
        <f>D3*10</f>
        <v>0</v>
      </c>
      <c r="W3">
        <f>F3*10+E3</f>
        <v>0</v>
      </c>
      <c r="X3" s="4">
        <f>SUM(H3:Q3)</f>
        <v>1</v>
      </c>
      <c r="Y3" s="11">
        <f>SUM(V3:X3)</f>
        <v>1</v>
      </c>
    </row>
    <row r="4" spans="1:25" ht="24" customHeight="1" x14ac:dyDescent="0.3">
      <c r="A4" s="229" t="s">
        <v>34</v>
      </c>
      <c r="B4" s="3" t="s">
        <v>36</v>
      </c>
      <c r="C4" s="7"/>
      <c r="D4" s="7"/>
      <c r="E4" s="50"/>
      <c r="F4" s="50"/>
      <c r="G4" s="114"/>
      <c r="H4" s="7"/>
      <c r="I4" s="50"/>
      <c r="J4" s="10"/>
      <c r="K4" s="50"/>
      <c r="L4" s="7"/>
      <c r="M4" s="50"/>
      <c r="N4" s="10"/>
      <c r="O4" s="50"/>
      <c r="P4" s="7"/>
      <c r="Q4" s="50"/>
      <c r="R4" s="7"/>
      <c r="S4" s="50"/>
      <c r="T4" s="7"/>
      <c r="U4" s="50"/>
    </row>
    <row r="5" spans="1:25" ht="24" customHeight="1" x14ac:dyDescent="0.3">
      <c r="A5" s="230"/>
      <c r="B5" s="3" t="s">
        <v>82</v>
      </c>
      <c r="C5" s="7"/>
      <c r="D5" s="7"/>
      <c r="E5" s="50"/>
      <c r="F5" s="50"/>
      <c r="G5" s="114"/>
      <c r="H5" s="7"/>
      <c r="I5" s="50"/>
      <c r="J5" s="10"/>
      <c r="K5" s="50"/>
      <c r="L5" s="7"/>
      <c r="M5" s="50"/>
      <c r="N5" s="10"/>
      <c r="O5" s="50"/>
      <c r="P5" s="7"/>
      <c r="Q5" s="50"/>
      <c r="R5" s="7"/>
      <c r="S5" s="50"/>
      <c r="T5" s="7"/>
      <c r="U5" s="50"/>
    </row>
    <row r="6" spans="1:25" ht="24" customHeight="1" x14ac:dyDescent="0.3">
      <c r="A6" s="230"/>
      <c r="B6" s="3" t="s">
        <v>37</v>
      </c>
      <c r="C6" s="7"/>
      <c r="D6" s="7"/>
      <c r="E6" s="50"/>
      <c r="F6" s="50"/>
      <c r="G6" s="114"/>
      <c r="H6" s="7"/>
      <c r="I6" s="50"/>
      <c r="J6" s="10"/>
      <c r="K6" s="50"/>
      <c r="L6" s="7"/>
      <c r="M6" s="50"/>
      <c r="N6" s="10"/>
      <c r="O6" s="50"/>
      <c r="P6" s="7"/>
      <c r="Q6" s="50"/>
      <c r="R6" s="7"/>
      <c r="S6" s="50"/>
      <c r="T6" s="7"/>
      <c r="U6" s="50"/>
    </row>
    <row r="7" spans="1:25" ht="24" customHeight="1" x14ac:dyDescent="0.3">
      <c r="A7" s="230"/>
      <c r="B7" s="3" t="s">
        <v>38</v>
      </c>
      <c r="C7" s="7"/>
      <c r="D7" s="7"/>
      <c r="E7" s="50"/>
      <c r="F7" s="50"/>
      <c r="G7" s="114"/>
      <c r="H7" s="7"/>
      <c r="I7" s="50"/>
      <c r="J7" s="10"/>
      <c r="K7" s="50"/>
      <c r="L7" s="7"/>
      <c r="M7" s="50"/>
      <c r="N7" s="10"/>
      <c r="O7" s="50"/>
      <c r="P7" s="7"/>
      <c r="Q7" s="50"/>
      <c r="R7" s="7"/>
      <c r="S7" s="50"/>
      <c r="T7" s="7"/>
      <c r="U7" s="50"/>
    </row>
    <row r="8" spans="1:25" ht="24" customHeight="1" x14ac:dyDescent="0.3">
      <c r="A8" s="230"/>
      <c r="B8" s="3" t="s">
        <v>50</v>
      </c>
      <c r="C8" s="77"/>
      <c r="D8" s="7"/>
      <c r="E8" s="50"/>
      <c r="F8" s="50"/>
      <c r="G8" s="63"/>
      <c r="H8" s="7"/>
      <c r="I8" s="50"/>
      <c r="J8" s="10"/>
      <c r="K8" s="50"/>
      <c r="L8" s="7"/>
      <c r="M8" s="50"/>
      <c r="N8" s="10"/>
      <c r="O8" s="50"/>
      <c r="P8" s="7"/>
      <c r="Q8" s="50"/>
      <c r="R8" s="7"/>
      <c r="S8" s="50"/>
      <c r="T8" s="7"/>
      <c r="U8" s="50"/>
    </row>
    <row r="9" spans="1:25" ht="24" customHeight="1" x14ac:dyDescent="0.3">
      <c r="A9" s="230"/>
      <c r="B9" s="3" t="s">
        <v>72</v>
      </c>
      <c r="C9" s="7"/>
      <c r="D9" s="7"/>
      <c r="E9" s="50"/>
      <c r="F9" s="50"/>
      <c r="G9" s="114"/>
      <c r="H9" s="7"/>
      <c r="I9" s="50"/>
      <c r="J9" s="10"/>
      <c r="K9" s="50"/>
      <c r="L9" s="7"/>
      <c r="M9" s="50"/>
      <c r="N9" s="10"/>
      <c r="O9" s="50"/>
      <c r="P9" s="7"/>
      <c r="Q9" s="50"/>
      <c r="R9" s="7"/>
      <c r="S9" s="50"/>
      <c r="T9" s="7"/>
      <c r="U9" s="50"/>
    </row>
    <row r="10" spans="1:25" ht="24" customHeight="1" x14ac:dyDescent="0.3">
      <c r="A10" s="230"/>
      <c r="B10" s="3" t="s">
        <v>52</v>
      </c>
      <c r="C10" s="7"/>
      <c r="D10" s="7"/>
      <c r="E10" s="50"/>
      <c r="F10" s="50"/>
      <c r="G10" s="114"/>
      <c r="H10" s="7"/>
      <c r="I10" s="50"/>
      <c r="J10" s="10"/>
      <c r="K10" s="50"/>
      <c r="L10" s="7"/>
      <c r="M10" s="50"/>
      <c r="N10" s="10"/>
      <c r="O10" s="50"/>
      <c r="P10" s="7"/>
      <c r="Q10" s="50"/>
      <c r="R10" s="7"/>
      <c r="S10" s="50"/>
      <c r="T10" s="7"/>
      <c r="U10" s="50"/>
    </row>
    <row r="11" spans="1:25" ht="24" customHeight="1" x14ac:dyDescent="0.3">
      <c r="A11" s="230"/>
      <c r="B11" s="3" t="s">
        <v>39</v>
      </c>
      <c r="C11" s="7"/>
      <c r="D11" s="7"/>
      <c r="E11" s="50"/>
      <c r="F11" s="50"/>
      <c r="G11" s="114"/>
      <c r="H11" s="7"/>
      <c r="I11" s="50"/>
      <c r="J11" s="10"/>
      <c r="K11" s="50"/>
      <c r="L11" s="7"/>
      <c r="M11" s="50"/>
      <c r="N11" s="10"/>
      <c r="O11" s="50"/>
      <c r="P11" s="7"/>
      <c r="Q11" s="50"/>
      <c r="R11" s="7"/>
      <c r="S11" s="50"/>
      <c r="T11" s="7"/>
      <c r="U11" s="50"/>
    </row>
    <row r="12" spans="1:25" ht="24" customHeight="1" x14ac:dyDescent="0.3">
      <c r="A12" s="230"/>
      <c r="B12" s="3" t="s">
        <v>40</v>
      </c>
      <c r="C12" s="7"/>
      <c r="D12" s="77"/>
      <c r="E12" s="76"/>
      <c r="F12" s="50"/>
      <c r="G12" s="80"/>
      <c r="H12" s="7"/>
      <c r="I12" s="76"/>
      <c r="J12" s="7"/>
      <c r="K12" s="50"/>
      <c r="L12" s="7"/>
      <c r="M12" s="76"/>
      <c r="N12" s="10"/>
      <c r="O12" s="76"/>
      <c r="P12" s="7"/>
      <c r="Q12" s="76"/>
      <c r="R12" s="10"/>
      <c r="S12" s="76"/>
      <c r="T12" s="77"/>
      <c r="U12" s="76"/>
    </row>
    <row r="13" spans="1:25" ht="24" customHeight="1" x14ac:dyDescent="0.3">
      <c r="A13" s="230"/>
      <c r="B13" s="3" t="s">
        <v>41</v>
      </c>
      <c r="C13" s="7"/>
      <c r="D13" s="7"/>
      <c r="E13" s="50"/>
      <c r="F13" s="50"/>
      <c r="G13" s="114"/>
      <c r="H13" s="7"/>
      <c r="I13" s="50"/>
      <c r="J13" s="10"/>
      <c r="K13" s="50"/>
      <c r="L13" s="7"/>
      <c r="M13" s="50"/>
      <c r="N13" s="10"/>
      <c r="O13" s="50"/>
      <c r="P13" s="7"/>
      <c r="Q13" s="50"/>
      <c r="R13" s="7"/>
      <c r="S13" s="50"/>
      <c r="T13" s="7"/>
      <c r="U13" s="50"/>
    </row>
    <row r="14" spans="1:25" ht="24" customHeight="1" x14ac:dyDescent="0.3">
      <c r="A14" s="230"/>
      <c r="B14" s="3" t="s">
        <v>42</v>
      </c>
      <c r="C14" s="7"/>
      <c r="D14" s="7"/>
      <c r="E14" s="50"/>
      <c r="F14" s="50"/>
      <c r="G14" s="114"/>
      <c r="H14" s="7"/>
      <c r="I14" s="50"/>
      <c r="J14" s="10"/>
      <c r="K14" s="50"/>
      <c r="L14" s="7"/>
      <c r="M14" s="50"/>
      <c r="N14" s="10"/>
      <c r="O14" s="50"/>
      <c r="P14" s="7"/>
      <c r="Q14" s="50"/>
      <c r="R14" s="7"/>
      <c r="S14" s="50"/>
      <c r="T14" s="7"/>
      <c r="U14" s="50"/>
    </row>
    <row r="15" spans="1:25" ht="24" customHeight="1" x14ac:dyDescent="0.3">
      <c r="A15" s="230"/>
      <c r="B15" s="3" t="s">
        <v>43</v>
      </c>
      <c r="C15" s="7"/>
      <c r="D15" s="7"/>
      <c r="E15" s="50"/>
      <c r="F15" s="50"/>
      <c r="G15" s="114"/>
      <c r="H15" s="7"/>
      <c r="I15" s="50"/>
      <c r="J15" s="10"/>
      <c r="K15" s="50"/>
      <c r="L15" s="7"/>
      <c r="M15" s="50"/>
      <c r="N15" s="10"/>
      <c r="O15" s="50"/>
      <c r="P15" s="7"/>
      <c r="Q15" s="50"/>
      <c r="R15" s="7"/>
      <c r="S15" s="50"/>
      <c r="T15" s="7"/>
      <c r="U15" s="50"/>
    </row>
    <row r="16" spans="1:25" ht="24" customHeight="1" x14ac:dyDescent="0.3">
      <c r="A16" s="230"/>
      <c r="B16" s="3" t="s">
        <v>51</v>
      </c>
      <c r="C16" s="7"/>
      <c r="D16" s="7"/>
      <c r="E16" s="50"/>
      <c r="F16" s="50"/>
      <c r="G16" s="114"/>
      <c r="H16" s="7"/>
      <c r="I16" s="50"/>
      <c r="J16" s="10"/>
      <c r="K16" s="50"/>
      <c r="L16" s="7"/>
      <c r="M16" s="50"/>
      <c r="N16" s="10"/>
      <c r="O16" s="50"/>
      <c r="P16" s="7"/>
      <c r="Q16" s="50"/>
      <c r="R16" s="7"/>
      <c r="S16" s="50"/>
      <c r="T16" s="7"/>
      <c r="U16" s="50"/>
    </row>
    <row r="17" spans="1:28" ht="24" customHeight="1" x14ac:dyDescent="0.3">
      <c r="A17" s="230"/>
      <c r="B17" s="3" t="s">
        <v>44</v>
      </c>
      <c r="C17" s="7"/>
      <c r="D17" s="7"/>
      <c r="E17" s="50"/>
      <c r="F17" s="50"/>
      <c r="G17" s="114"/>
      <c r="H17" s="7"/>
      <c r="I17" s="50"/>
      <c r="J17" s="10"/>
      <c r="K17" s="50"/>
      <c r="L17" s="7"/>
      <c r="M17" s="50"/>
      <c r="N17" s="10"/>
      <c r="O17" s="50"/>
      <c r="P17" s="7"/>
      <c r="Q17" s="50"/>
      <c r="R17" s="7"/>
      <c r="S17" s="50"/>
      <c r="T17" s="7"/>
      <c r="U17" s="50"/>
    </row>
    <row r="18" spans="1:28" ht="24" customHeight="1" x14ac:dyDescent="0.3">
      <c r="A18" s="230"/>
      <c r="B18" s="100" t="s">
        <v>91</v>
      </c>
      <c r="C18" s="7"/>
      <c r="D18" s="7"/>
      <c r="E18" s="50"/>
      <c r="F18" s="50"/>
      <c r="G18" s="114"/>
      <c r="H18" s="7"/>
      <c r="I18" s="50"/>
      <c r="J18" s="10"/>
      <c r="K18" s="50"/>
      <c r="L18" s="7"/>
      <c r="M18" s="50"/>
      <c r="N18" s="10"/>
      <c r="O18" s="50"/>
      <c r="P18" s="7"/>
      <c r="Q18" s="50"/>
      <c r="R18" s="7"/>
      <c r="S18" s="50"/>
      <c r="T18" s="7"/>
      <c r="U18" s="50"/>
    </row>
    <row r="19" spans="1:28" ht="24" customHeight="1" x14ac:dyDescent="0.3">
      <c r="A19" s="230"/>
      <c r="B19" s="100" t="s">
        <v>46</v>
      </c>
      <c r="C19" s="7"/>
      <c r="D19" s="7"/>
      <c r="E19" s="50"/>
      <c r="F19" s="50"/>
      <c r="G19" s="114"/>
      <c r="H19" s="7"/>
      <c r="I19" s="50"/>
      <c r="J19" s="10"/>
      <c r="K19" s="50"/>
      <c r="L19" s="7"/>
      <c r="M19" s="50"/>
      <c r="N19" s="10"/>
      <c r="O19" s="50"/>
      <c r="P19" s="7"/>
      <c r="Q19" s="50"/>
      <c r="R19" s="7"/>
      <c r="S19" s="50"/>
      <c r="T19" s="7"/>
      <c r="U19" s="76"/>
    </row>
    <row r="20" spans="1:28" ht="24" customHeight="1" x14ac:dyDescent="0.3">
      <c r="A20" s="230"/>
      <c r="B20" s="100" t="s">
        <v>48</v>
      </c>
      <c r="C20" s="7"/>
      <c r="D20" s="7"/>
      <c r="E20" s="50"/>
      <c r="F20" s="50"/>
      <c r="G20" s="114"/>
      <c r="H20" s="7"/>
      <c r="I20" s="50"/>
      <c r="J20" s="10"/>
      <c r="K20" s="50"/>
      <c r="L20" s="7"/>
      <c r="M20" s="50"/>
      <c r="N20" s="10"/>
      <c r="O20" s="50"/>
      <c r="P20" s="7"/>
      <c r="Q20" s="50"/>
      <c r="R20" s="7"/>
      <c r="S20" s="50"/>
      <c r="T20" s="7"/>
      <c r="U20" s="50"/>
    </row>
    <row r="21" spans="1:28" ht="24" customHeight="1" x14ac:dyDescent="0.3">
      <c r="A21" s="230"/>
      <c r="B21" s="3" t="s">
        <v>75</v>
      </c>
      <c r="C21" s="7"/>
      <c r="D21" s="7"/>
      <c r="E21" s="50"/>
      <c r="F21" s="50"/>
      <c r="G21" s="114"/>
      <c r="H21" s="7"/>
      <c r="I21" s="50"/>
      <c r="J21" s="10"/>
      <c r="K21" s="50"/>
      <c r="L21" s="7"/>
      <c r="M21" s="50"/>
      <c r="N21" s="10"/>
      <c r="O21" s="50"/>
      <c r="P21" s="7"/>
      <c r="Q21" s="50"/>
      <c r="R21" s="7"/>
      <c r="S21" s="50"/>
      <c r="T21" s="7"/>
      <c r="U21" s="50"/>
    </row>
    <row r="22" spans="1:28" ht="24" customHeight="1" x14ac:dyDescent="0.3">
      <c r="A22" s="230"/>
      <c r="B22" s="3" t="s">
        <v>73</v>
      </c>
      <c r="C22" s="7"/>
      <c r="D22" s="7"/>
      <c r="E22" s="50"/>
      <c r="F22" s="50"/>
      <c r="G22" s="114"/>
      <c r="H22" s="7"/>
      <c r="I22" s="50"/>
      <c r="J22" s="10"/>
      <c r="K22" s="50"/>
      <c r="L22" s="7"/>
      <c r="M22" s="50"/>
      <c r="N22" s="10"/>
      <c r="O22" s="50"/>
      <c r="P22" s="7"/>
      <c r="Q22" s="50"/>
      <c r="R22" s="7"/>
      <c r="S22" s="50"/>
      <c r="T22" s="7"/>
      <c r="U22" s="50"/>
    </row>
    <row r="23" spans="1:28" ht="24" customHeight="1" x14ac:dyDescent="0.3">
      <c r="A23" s="230"/>
      <c r="B23" s="3" t="s">
        <v>62</v>
      </c>
      <c r="C23" s="7"/>
      <c r="D23" s="7"/>
      <c r="E23" s="50"/>
      <c r="F23" s="50"/>
      <c r="G23" s="114"/>
      <c r="H23" s="7"/>
      <c r="I23" s="50"/>
      <c r="J23" s="10"/>
      <c r="K23" s="50"/>
      <c r="L23" s="7"/>
      <c r="M23" s="50"/>
      <c r="N23" s="10"/>
      <c r="O23" s="50"/>
      <c r="P23" s="7"/>
      <c r="Q23" s="50"/>
      <c r="R23" s="7"/>
      <c r="S23" s="50"/>
      <c r="T23" s="7"/>
      <c r="U23" s="50"/>
    </row>
    <row r="24" spans="1:28" ht="24" customHeight="1" x14ac:dyDescent="0.3">
      <c r="A24" s="230"/>
      <c r="B24" s="3" t="s">
        <v>81</v>
      </c>
      <c r="C24" s="7"/>
      <c r="D24" s="77"/>
      <c r="E24" s="76"/>
      <c r="F24" s="50"/>
      <c r="G24" s="80"/>
      <c r="H24" s="7"/>
      <c r="I24" s="76"/>
      <c r="J24" s="10"/>
      <c r="K24" s="50"/>
      <c r="L24" s="7"/>
      <c r="M24" s="50"/>
      <c r="N24" s="10"/>
      <c r="O24" s="50"/>
      <c r="P24" s="7"/>
      <c r="Q24" s="50"/>
      <c r="R24" s="7"/>
      <c r="S24" s="50"/>
      <c r="T24" s="7"/>
      <c r="U24" s="50"/>
    </row>
    <row r="25" spans="1:28" ht="24" customHeight="1" x14ac:dyDescent="0.3">
      <c r="A25" s="230"/>
      <c r="B25" s="3" t="s">
        <v>76</v>
      </c>
      <c r="C25" s="7"/>
      <c r="D25" s="7"/>
      <c r="E25" s="50"/>
      <c r="F25" s="50"/>
      <c r="G25" s="114"/>
      <c r="H25" s="7"/>
      <c r="I25" s="50"/>
      <c r="J25" s="10"/>
      <c r="K25" s="50"/>
      <c r="L25" s="7"/>
      <c r="M25" s="50"/>
      <c r="N25" s="10"/>
      <c r="O25" s="50"/>
      <c r="P25" s="7"/>
      <c r="Q25" s="50"/>
      <c r="R25" s="7"/>
      <c r="S25" s="50"/>
      <c r="T25" s="7"/>
      <c r="U25" s="50"/>
      <c r="Y25" s="82"/>
    </row>
    <row r="26" spans="1:28" ht="24" customHeight="1" x14ac:dyDescent="0.3">
      <c r="A26" s="230"/>
      <c r="B26" s="3" t="s">
        <v>89</v>
      </c>
      <c r="C26" s="7"/>
      <c r="D26" s="7"/>
      <c r="E26" s="50"/>
      <c r="F26" s="50"/>
      <c r="G26" s="114"/>
      <c r="H26" s="7"/>
      <c r="I26" s="50"/>
      <c r="J26" s="10"/>
      <c r="K26" s="50"/>
      <c r="L26" s="7"/>
      <c r="M26" s="50"/>
      <c r="N26" s="10"/>
      <c r="O26" s="50"/>
      <c r="P26" s="7"/>
      <c r="Q26" s="50"/>
      <c r="R26" s="7"/>
      <c r="S26" s="50"/>
      <c r="T26" s="7"/>
      <c r="U26" s="50"/>
      <c r="Y26" s="82"/>
    </row>
    <row r="27" spans="1:28" ht="24" customHeight="1" x14ac:dyDescent="0.3">
      <c r="A27" s="230"/>
      <c r="B27" s="3" t="s">
        <v>90</v>
      </c>
      <c r="C27" s="7"/>
      <c r="D27" s="7"/>
      <c r="E27" s="50"/>
      <c r="F27" s="50"/>
      <c r="G27" s="114"/>
      <c r="H27" s="7"/>
      <c r="I27" s="50"/>
      <c r="J27" s="10"/>
      <c r="K27" s="50"/>
      <c r="L27" s="7"/>
      <c r="M27" s="50"/>
      <c r="N27" s="10"/>
      <c r="O27" s="50"/>
      <c r="P27" s="7"/>
      <c r="Q27" s="50"/>
      <c r="R27" s="7"/>
      <c r="S27" s="50"/>
      <c r="T27" s="7"/>
      <c r="U27" s="50"/>
      <c r="Y27" s="82"/>
    </row>
    <row r="28" spans="1:28" ht="24" customHeight="1" x14ac:dyDescent="0.3">
      <c r="A28" s="230"/>
      <c r="B28" s="3" t="s">
        <v>49</v>
      </c>
      <c r="C28" s="7"/>
      <c r="D28" s="7"/>
      <c r="E28" s="50"/>
      <c r="F28" s="50"/>
      <c r="G28" s="114"/>
      <c r="H28" s="7"/>
      <c r="I28" s="50"/>
      <c r="J28" s="86"/>
      <c r="K28" s="50"/>
      <c r="L28" s="7"/>
      <c r="M28" s="50"/>
      <c r="N28" s="10"/>
      <c r="O28" s="50"/>
      <c r="P28" s="7"/>
      <c r="Q28" s="50"/>
      <c r="R28" s="7"/>
      <c r="S28" s="50"/>
      <c r="T28" s="7"/>
      <c r="U28" s="50"/>
      <c r="X28" s="232"/>
      <c r="Y28" s="232"/>
      <c r="Z28" s="232"/>
      <c r="AA28" s="232"/>
      <c r="AB28" s="232"/>
    </row>
    <row r="29" spans="1:28" ht="24" customHeight="1" x14ac:dyDescent="0.3">
      <c r="A29" s="230"/>
      <c r="B29" s="3" t="s">
        <v>74</v>
      </c>
      <c r="C29" s="7"/>
      <c r="D29" s="7"/>
      <c r="E29" s="50"/>
      <c r="F29" s="50"/>
      <c r="H29" s="7"/>
      <c r="I29" s="50"/>
      <c r="J29" s="10"/>
      <c r="K29" s="50"/>
      <c r="L29" s="7"/>
      <c r="M29" s="50"/>
      <c r="N29" s="10"/>
      <c r="O29" s="50"/>
      <c r="P29" s="7"/>
      <c r="Q29" s="50"/>
      <c r="R29" s="7"/>
      <c r="S29" s="50"/>
      <c r="T29" s="7"/>
      <c r="U29" s="50"/>
    </row>
    <row r="30" spans="1:28" ht="24" customHeight="1" x14ac:dyDescent="0.3">
      <c r="A30" s="230"/>
      <c r="B30" s="3" t="s">
        <v>55</v>
      </c>
      <c r="C30" s="7"/>
      <c r="D30" s="7"/>
      <c r="E30" s="50"/>
      <c r="F30" s="50"/>
      <c r="G30" s="114"/>
      <c r="H30" s="7"/>
      <c r="I30" s="50"/>
      <c r="J30" s="10"/>
      <c r="K30" s="50"/>
      <c r="L30" s="7"/>
      <c r="M30" s="50"/>
      <c r="N30" s="10"/>
      <c r="O30" s="50"/>
      <c r="P30" s="7"/>
      <c r="Q30" s="50"/>
      <c r="R30" s="7"/>
      <c r="S30" s="50"/>
      <c r="T30" s="7"/>
      <c r="U30" s="50"/>
    </row>
    <row r="31" spans="1:28" ht="27" thickBot="1" x14ac:dyDescent="0.35">
      <c r="A31" s="231"/>
      <c r="B31" s="31"/>
      <c r="C31" s="31">
        <f>SUM(C4:C30)</f>
        <v>0</v>
      </c>
      <c r="D31" s="31">
        <f>SUM(D4:D30)</f>
        <v>0</v>
      </c>
      <c r="E31" s="31">
        <f>SUM(E4:E30)</f>
        <v>0</v>
      </c>
      <c r="F31" s="31">
        <f>SUM(F4:F30)</f>
        <v>0</v>
      </c>
      <c r="G31" s="114"/>
      <c r="H31" s="2">
        <f t="shared" ref="H31:U31" si="1">SUM(H4:H30)</f>
        <v>0</v>
      </c>
      <c r="I31" s="2">
        <f t="shared" si="1"/>
        <v>0</v>
      </c>
      <c r="J31" s="2">
        <f t="shared" si="1"/>
        <v>0</v>
      </c>
      <c r="K31" s="2">
        <f t="shared" si="1"/>
        <v>0</v>
      </c>
      <c r="L31" s="2">
        <f t="shared" si="1"/>
        <v>0</v>
      </c>
      <c r="M31" s="2">
        <f t="shared" si="1"/>
        <v>0</v>
      </c>
      <c r="N31" s="2">
        <f t="shared" si="1"/>
        <v>0</v>
      </c>
      <c r="O31" s="2">
        <f t="shared" si="1"/>
        <v>0</v>
      </c>
      <c r="P31" s="2">
        <f t="shared" si="1"/>
        <v>0</v>
      </c>
      <c r="Q31" s="2">
        <f t="shared" si="1"/>
        <v>0</v>
      </c>
      <c r="R31" s="2">
        <f t="shared" si="1"/>
        <v>0</v>
      </c>
      <c r="S31" s="2">
        <f t="shared" si="1"/>
        <v>0</v>
      </c>
      <c r="T31" s="2">
        <f t="shared" si="1"/>
        <v>0</v>
      </c>
      <c r="U31" s="2">
        <f t="shared" si="1"/>
        <v>0</v>
      </c>
      <c r="W31" s="35"/>
      <c r="X31" s="18"/>
      <c r="Y31" s="18"/>
    </row>
    <row r="32" spans="1:28" ht="24" customHeight="1" thickTop="1" x14ac:dyDescent="0.3">
      <c r="A32" s="233" t="s">
        <v>27</v>
      </c>
      <c r="B32" s="23" t="s">
        <v>63</v>
      </c>
      <c r="C32" s="28"/>
      <c r="D32" s="28"/>
      <c r="E32" s="15"/>
      <c r="F32" s="16"/>
      <c r="G32" s="25"/>
      <c r="H32" s="43"/>
      <c r="I32" s="50"/>
      <c r="J32" s="10"/>
      <c r="K32" s="50"/>
      <c r="L32" s="7"/>
      <c r="M32" s="50"/>
      <c r="N32" s="7"/>
      <c r="O32" s="50"/>
      <c r="P32" s="7"/>
      <c r="Q32" s="50"/>
      <c r="R32" s="7"/>
      <c r="S32" s="50"/>
      <c r="T32" s="7"/>
      <c r="U32" s="50"/>
      <c r="W32" s="18"/>
      <c r="X32" s="18"/>
      <c r="Y32" s="18"/>
      <c r="Z32" s="18"/>
      <c r="AA32" s="18"/>
    </row>
    <row r="33" spans="1:27" ht="24" customHeight="1" x14ac:dyDescent="0.3">
      <c r="A33" s="233"/>
      <c r="B33" s="24" t="s">
        <v>94</v>
      </c>
      <c r="C33" s="32">
        <v>2</v>
      </c>
      <c r="D33" s="32"/>
      <c r="E33" s="54"/>
      <c r="F33" s="22"/>
      <c r="G33" s="25"/>
      <c r="H33" s="43"/>
      <c r="I33" s="50"/>
      <c r="J33" s="10"/>
      <c r="K33" s="50"/>
      <c r="L33" s="7"/>
      <c r="M33" s="50"/>
      <c r="N33" s="7"/>
      <c r="O33" s="50"/>
      <c r="P33" s="7"/>
      <c r="Q33" s="50"/>
      <c r="R33" s="7"/>
      <c r="S33" s="50"/>
      <c r="T33" s="7"/>
      <c r="U33" s="50"/>
      <c r="W33" s="18"/>
      <c r="X33" s="18"/>
      <c r="Y33" s="18"/>
      <c r="Z33" s="18"/>
      <c r="AA33" s="18"/>
    </row>
    <row r="34" spans="1:27" ht="24" customHeight="1" x14ac:dyDescent="0.3">
      <c r="A34" s="233"/>
      <c r="B34" s="24" t="s">
        <v>54</v>
      </c>
      <c r="C34" s="32">
        <v>2</v>
      </c>
      <c r="D34" s="32"/>
      <c r="E34" s="54"/>
      <c r="F34" s="22"/>
      <c r="G34" s="25"/>
      <c r="H34" s="10"/>
      <c r="I34" s="50"/>
      <c r="J34" s="10"/>
      <c r="K34" s="50"/>
      <c r="L34" s="7">
        <v>1</v>
      </c>
      <c r="M34" s="50"/>
      <c r="N34" s="7"/>
      <c r="O34" s="50"/>
      <c r="P34" s="7"/>
      <c r="Q34" s="76"/>
      <c r="R34" s="7"/>
      <c r="S34" s="50"/>
      <c r="T34" s="7"/>
      <c r="U34" s="50"/>
      <c r="W34" s="18"/>
      <c r="X34" s="18"/>
      <c r="Y34" s="18"/>
      <c r="Z34" s="18"/>
      <c r="AA34" s="18"/>
    </row>
    <row r="35" spans="1:27" ht="24" customHeight="1" x14ac:dyDescent="0.3">
      <c r="A35" s="233"/>
      <c r="B35" s="24" t="s">
        <v>56</v>
      </c>
      <c r="C35" s="32"/>
      <c r="D35" s="32"/>
      <c r="E35" s="54"/>
      <c r="F35" s="22"/>
      <c r="G35" s="25"/>
      <c r="H35" s="43"/>
      <c r="I35" s="50"/>
      <c r="J35" s="10"/>
      <c r="K35" s="50"/>
      <c r="L35" s="7"/>
      <c r="M35" s="50"/>
      <c r="N35" s="7"/>
      <c r="O35" s="50"/>
      <c r="P35" s="7"/>
      <c r="Q35" s="50"/>
      <c r="R35" s="7"/>
      <c r="S35" s="50"/>
      <c r="T35" s="7"/>
      <c r="U35" s="50"/>
      <c r="W35" s="18"/>
      <c r="X35" s="18"/>
      <c r="Y35" s="18"/>
      <c r="Z35" s="18"/>
      <c r="AA35" s="18"/>
    </row>
    <row r="36" spans="1:27" ht="24" customHeight="1" x14ac:dyDescent="0.3">
      <c r="A36" s="233"/>
      <c r="B36" s="24" t="s">
        <v>78</v>
      </c>
      <c r="C36" s="32"/>
      <c r="D36" s="32"/>
      <c r="E36" s="54"/>
      <c r="F36" s="22"/>
      <c r="G36" s="25"/>
      <c r="H36" s="43"/>
      <c r="I36" s="50"/>
      <c r="J36" s="10"/>
      <c r="K36" s="50"/>
      <c r="L36" s="7"/>
      <c r="M36" s="50"/>
      <c r="N36" s="7"/>
      <c r="O36" s="50"/>
      <c r="P36" s="7"/>
      <c r="Q36" s="50"/>
      <c r="R36" s="7"/>
      <c r="S36" s="50"/>
      <c r="T36" s="7"/>
      <c r="U36" s="50"/>
      <c r="W36" s="18"/>
      <c r="X36" s="18"/>
      <c r="Y36" s="18"/>
      <c r="Z36" s="18"/>
      <c r="AA36" s="18"/>
    </row>
    <row r="37" spans="1:27" ht="24" customHeight="1" x14ac:dyDescent="0.3">
      <c r="A37" s="233"/>
      <c r="B37" s="24" t="s">
        <v>53</v>
      </c>
      <c r="C37" s="32"/>
      <c r="D37" s="32"/>
      <c r="E37" s="54"/>
      <c r="F37" s="22"/>
      <c r="G37" s="25"/>
      <c r="H37" s="43"/>
      <c r="I37" s="50"/>
      <c r="J37" s="10"/>
      <c r="K37" s="50"/>
      <c r="L37" s="7"/>
      <c r="M37" s="50"/>
      <c r="N37" s="7"/>
      <c r="O37" s="50"/>
      <c r="P37" s="7"/>
      <c r="Q37" s="50"/>
      <c r="R37" s="7"/>
      <c r="S37" s="50"/>
      <c r="T37" s="7"/>
      <c r="U37" s="50"/>
      <c r="W37" s="18"/>
      <c r="X37" s="18"/>
      <c r="Y37" s="18"/>
      <c r="Z37" s="18"/>
      <c r="AA37" s="18"/>
    </row>
    <row r="38" spans="1:27" ht="24" customHeight="1" x14ac:dyDescent="0.3">
      <c r="A38" s="233"/>
      <c r="B38" s="24" t="s">
        <v>66</v>
      </c>
      <c r="C38" s="32"/>
      <c r="D38" s="32"/>
      <c r="E38" s="54"/>
      <c r="F38" s="22"/>
      <c r="G38" s="25"/>
      <c r="H38" s="43"/>
      <c r="I38" s="50"/>
      <c r="J38" s="10"/>
      <c r="K38" s="50"/>
      <c r="L38" s="7"/>
      <c r="M38" s="50"/>
      <c r="N38" s="7"/>
      <c r="O38" s="50"/>
      <c r="P38" s="7"/>
      <c r="Q38" s="50"/>
      <c r="R38" s="7"/>
      <c r="S38" s="50"/>
      <c r="T38" s="7"/>
      <c r="U38" s="50"/>
      <c r="W38" s="18"/>
      <c r="X38" s="18"/>
      <c r="Y38" s="18"/>
      <c r="Z38" s="18"/>
      <c r="AA38" s="18"/>
    </row>
    <row r="39" spans="1:27" ht="24" customHeight="1" x14ac:dyDescent="0.3">
      <c r="A39" s="233"/>
      <c r="B39" s="24" t="s">
        <v>70</v>
      </c>
      <c r="C39" s="32"/>
      <c r="D39" s="32"/>
      <c r="E39" s="54"/>
      <c r="F39" s="22"/>
      <c r="G39" s="25"/>
      <c r="H39" s="43"/>
      <c r="I39" s="50"/>
      <c r="J39" s="10"/>
      <c r="K39" s="50"/>
      <c r="L39" s="7"/>
      <c r="M39" s="50"/>
      <c r="N39" s="7"/>
      <c r="O39" s="50"/>
      <c r="P39" s="7"/>
      <c r="Q39" s="50"/>
      <c r="R39" s="7"/>
      <c r="S39" s="50"/>
      <c r="T39" s="7"/>
      <c r="U39" s="50"/>
      <c r="W39" s="18"/>
      <c r="X39" s="18"/>
      <c r="Y39" s="18"/>
      <c r="Z39" s="18"/>
      <c r="AA39" s="18"/>
    </row>
    <row r="40" spans="1:27" ht="24" customHeight="1" x14ac:dyDescent="0.3">
      <c r="A40" s="233"/>
      <c r="B40" s="24" t="s">
        <v>58</v>
      </c>
      <c r="C40" s="32"/>
      <c r="D40" s="32"/>
      <c r="E40" s="54"/>
      <c r="F40" s="22"/>
      <c r="G40" s="25"/>
      <c r="H40" s="7"/>
      <c r="I40" s="50"/>
      <c r="J40" s="10"/>
      <c r="K40" s="50"/>
      <c r="L40" s="7"/>
      <c r="M40" s="50"/>
      <c r="N40" s="7"/>
      <c r="O40" s="50"/>
      <c r="P40" s="7"/>
      <c r="Q40" s="50"/>
      <c r="R40" s="7"/>
      <c r="S40" s="50"/>
      <c r="T40" s="7"/>
      <c r="U40" s="50"/>
      <c r="W40" s="18"/>
      <c r="X40" s="18"/>
      <c r="Y40" s="18"/>
      <c r="Z40" s="18"/>
      <c r="AA40" s="18"/>
    </row>
    <row r="41" spans="1:27" ht="24" customHeight="1" x14ac:dyDescent="0.3">
      <c r="A41" s="233"/>
      <c r="B41" s="24" t="s">
        <v>71</v>
      </c>
      <c r="C41" s="32">
        <v>2</v>
      </c>
      <c r="D41" s="32"/>
      <c r="E41" s="54"/>
      <c r="F41" s="22"/>
      <c r="G41" s="25"/>
      <c r="H41" s="43"/>
      <c r="I41" s="50"/>
      <c r="J41" s="10"/>
      <c r="K41" s="50"/>
      <c r="L41" s="7"/>
      <c r="M41" s="50"/>
      <c r="N41" s="7"/>
      <c r="O41" s="50"/>
      <c r="P41" s="7"/>
      <c r="Q41" s="50"/>
      <c r="R41" s="7"/>
      <c r="S41" s="50"/>
      <c r="T41" s="7"/>
      <c r="U41" s="50"/>
      <c r="W41" s="18"/>
      <c r="X41" s="18"/>
      <c r="Y41" s="18"/>
      <c r="Z41" s="18"/>
      <c r="AA41" s="18"/>
    </row>
    <row r="42" spans="1:27" ht="24" customHeight="1" x14ac:dyDescent="0.3">
      <c r="A42" s="233"/>
      <c r="B42" s="24" t="s">
        <v>77</v>
      </c>
      <c r="C42" s="32">
        <v>1</v>
      </c>
      <c r="D42" s="32"/>
      <c r="E42" s="54"/>
      <c r="F42" s="22"/>
      <c r="G42" s="25"/>
      <c r="H42" s="7"/>
      <c r="I42" s="50"/>
      <c r="J42" s="10"/>
      <c r="K42" s="50"/>
      <c r="L42" s="7"/>
      <c r="M42" s="50"/>
      <c r="N42" s="7"/>
      <c r="O42" s="50"/>
      <c r="P42" s="7"/>
      <c r="Q42" s="50"/>
      <c r="R42" s="7"/>
      <c r="S42" s="50"/>
      <c r="T42" s="7"/>
      <c r="U42" s="50"/>
      <c r="W42" s="18"/>
      <c r="X42" s="18"/>
      <c r="Y42" s="18"/>
      <c r="Z42" s="18"/>
      <c r="AA42" s="18"/>
    </row>
    <row r="43" spans="1:27" ht="24" customHeight="1" x14ac:dyDescent="0.3">
      <c r="A43" s="233"/>
      <c r="B43" s="24" t="s">
        <v>57</v>
      </c>
      <c r="C43" s="32">
        <v>2</v>
      </c>
      <c r="D43" s="56"/>
      <c r="E43" s="54"/>
      <c r="F43" s="22"/>
      <c r="G43" s="25"/>
      <c r="H43" s="43"/>
      <c r="I43" s="50"/>
      <c r="J43" s="10"/>
      <c r="K43" s="50"/>
      <c r="L43" s="7"/>
      <c r="M43" s="50"/>
      <c r="N43" s="7"/>
      <c r="O43" s="50"/>
      <c r="P43" s="7"/>
      <c r="Q43" s="76"/>
      <c r="R43" s="7"/>
      <c r="S43" s="50"/>
      <c r="T43" s="7"/>
      <c r="U43" s="50"/>
      <c r="W43" s="18"/>
      <c r="X43" s="18"/>
      <c r="Y43" s="18"/>
      <c r="Z43" s="18"/>
      <c r="AA43" s="18"/>
    </row>
    <row r="44" spans="1:27" ht="24" customHeight="1" x14ac:dyDescent="0.3">
      <c r="A44" s="233"/>
      <c r="B44" s="24" t="s">
        <v>68</v>
      </c>
      <c r="C44" s="32"/>
      <c r="D44" s="32"/>
      <c r="E44" s="54"/>
      <c r="F44" s="22"/>
      <c r="G44" s="25"/>
      <c r="H44" s="43"/>
      <c r="I44" s="50"/>
      <c r="J44" s="10"/>
      <c r="K44" s="50"/>
      <c r="L44" s="7"/>
      <c r="M44" s="50"/>
      <c r="N44" s="7"/>
      <c r="O44" s="50"/>
      <c r="P44" s="7"/>
      <c r="Q44" s="50"/>
      <c r="R44" s="7"/>
      <c r="S44" s="50"/>
      <c r="T44" s="7"/>
      <c r="U44" s="50"/>
      <c r="W44" s="18"/>
      <c r="X44" s="18"/>
      <c r="Y44" s="18"/>
      <c r="Z44" s="18"/>
      <c r="AA44" s="18"/>
    </row>
    <row r="45" spans="1:27" ht="24" customHeight="1" x14ac:dyDescent="0.3">
      <c r="A45" s="233"/>
      <c r="B45" s="24" t="s">
        <v>65</v>
      </c>
      <c r="C45" s="32"/>
      <c r="D45" s="32"/>
      <c r="E45" s="101"/>
      <c r="F45" s="22"/>
      <c r="G45" s="25"/>
      <c r="H45" s="43"/>
      <c r="I45" s="50"/>
      <c r="J45" s="10"/>
      <c r="K45" s="50"/>
      <c r="L45" s="7"/>
      <c r="M45" s="50"/>
      <c r="N45" s="7"/>
      <c r="O45" s="50"/>
      <c r="P45" s="7"/>
      <c r="Q45" s="50"/>
      <c r="R45" s="7"/>
      <c r="S45" s="50"/>
      <c r="T45" s="7"/>
      <c r="U45" s="50"/>
      <c r="W45" s="18"/>
      <c r="X45" s="18"/>
      <c r="Y45" s="18"/>
      <c r="Z45" s="18"/>
      <c r="AA45" s="18"/>
    </row>
    <row r="46" spans="1:27" ht="24" customHeight="1" x14ac:dyDescent="0.3">
      <c r="A46" s="233"/>
      <c r="B46" s="24" t="s">
        <v>67</v>
      </c>
      <c r="C46" s="32"/>
      <c r="D46" s="32"/>
      <c r="E46" s="54"/>
      <c r="F46" s="22"/>
      <c r="G46" s="25"/>
      <c r="H46" s="43"/>
      <c r="I46" s="50"/>
      <c r="J46" s="10"/>
      <c r="K46" s="50"/>
      <c r="L46" s="7"/>
      <c r="M46" s="50"/>
      <c r="N46" s="7"/>
      <c r="O46" s="50"/>
      <c r="P46" s="7"/>
      <c r="Q46" s="50"/>
      <c r="R46" s="7"/>
      <c r="S46" s="50"/>
      <c r="T46" s="7"/>
      <c r="U46" s="50"/>
      <c r="W46" s="18"/>
      <c r="X46" s="18"/>
      <c r="Y46" s="18"/>
      <c r="Z46" s="18"/>
      <c r="AA46" s="18"/>
    </row>
    <row r="47" spans="1:27" ht="24" customHeight="1" x14ac:dyDescent="0.3">
      <c r="A47" s="233"/>
      <c r="B47" s="24" t="s">
        <v>69</v>
      </c>
      <c r="C47" s="32">
        <v>1</v>
      </c>
      <c r="D47" s="32"/>
      <c r="E47" s="54"/>
      <c r="F47" s="22"/>
      <c r="G47" s="25"/>
      <c r="H47" s="43"/>
      <c r="I47" s="50"/>
      <c r="J47" s="10"/>
      <c r="K47" s="50"/>
      <c r="L47" s="7"/>
      <c r="M47" s="50"/>
      <c r="N47" s="7"/>
      <c r="O47" s="50"/>
      <c r="P47" s="7"/>
      <c r="Q47" s="50"/>
      <c r="R47" s="7"/>
      <c r="S47" s="50"/>
      <c r="T47" s="7"/>
      <c r="U47" s="50"/>
      <c r="W47" s="18"/>
      <c r="X47" s="18"/>
      <c r="Y47" s="18"/>
      <c r="Z47" s="18"/>
      <c r="AA47" s="18"/>
    </row>
    <row r="48" spans="1:27" ht="24" customHeight="1" x14ac:dyDescent="0.3">
      <c r="A48" s="233"/>
      <c r="B48" s="24" t="s">
        <v>80</v>
      </c>
      <c r="C48" s="32"/>
      <c r="D48" s="32"/>
      <c r="E48" s="54"/>
      <c r="F48" s="22"/>
      <c r="G48" s="25"/>
      <c r="H48" s="7"/>
      <c r="I48" s="50"/>
      <c r="J48" s="10"/>
      <c r="K48" s="50"/>
      <c r="L48" s="7"/>
      <c r="M48" s="50"/>
      <c r="N48" s="7"/>
      <c r="O48" s="50"/>
      <c r="P48" s="7"/>
      <c r="Q48" s="50"/>
      <c r="R48" s="7"/>
      <c r="S48" s="50"/>
      <c r="T48" s="7"/>
      <c r="U48" s="50"/>
      <c r="W48" s="18"/>
      <c r="X48" s="18"/>
      <c r="Y48" s="18"/>
      <c r="Z48" s="18"/>
      <c r="AA48" s="18"/>
    </row>
    <row r="49" spans="1:27" ht="24" customHeight="1" x14ac:dyDescent="0.3">
      <c r="A49" s="233"/>
      <c r="B49" s="24" t="s">
        <v>64</v>
      </c>
      <c r="C49" s="32"/>
      <c r="D49" s="32"/>
      <c r="E49" s="54"/>
      <c r="F49" s="22"/>
      <c r="G49" s="25"/>
      <c r="H49" s="10"/>
      <c r="I49" s="50"/>
      <c r="J49" s="10"/>
      <c r="K49" s="50"/>
      <c r="L49" s="7"/>
      <c r="M49" s="50"/>
      <c r="N49" s="7"/>
      <c r="O49" s="50"/>
      <c r="P49" s="7"/>
      <c r="Q49" s="50"/>
      <c r="R49" s="7"/>
      <c r="S49" s="50"/>
      <c r="T49" s="7"/>
      <c r="U49" s="50"/>
      <c r="W49" s="18"/>
      <c r="X49" s="18"/>
      <c r="Y49" s="18"/>
      <c r="Z49" s="18"/>
      <c r="AA49" s="18"/>
    </row>
    <row r="50" spans="1:27" ht="24" customHeight="1" x14ac:dyDescent="0.3">
      <c r="A50" s="233"/>
      <c r="B50" s="24" t="s">
        <v>59</v>
      </c>
      <c r="C50" s="32"/>
      <c r="D50" s="32"/>
      <c r="E50" s="54"/>
      <c r="F50" s="22"/>
      <c r="G50" s="25"/>
      <c r="H50" s="10"/>
      <c r="I50" s="50"/>
      <c r="J50" s="10"/>
      <c r="K50" s="50"/>
      <c r="L50" s="7"/>
      <c r="M50" s="50"/>
      <c r="N50" s="7"/>
      <c r="O50" s="50"/>
      <c r="P50" s="7"/>
      <c r="Q50" s="50"/>
      <c r="R50" s="7"/>
      <c r="S50" s="50"/>
      <c r="T50" s="7"/>
      <c r="U50" s="50"/>
      <c r="W50" s="18"/>
      <c r="X50" s="18"/>
      <c r="Y50" s="18"/>
      <c r="Z50" s="18"/>
      <c r="AA50" s="18"/>
    </row>
    <row r="51" spans="1:27" ht="24" customHeight="1" x14ac:dyDescent="0.3">
      <c r="A51" s="233"/>
      <c r="B51" s="24" t="s">
        <v>79</v>
      </c>
      <c r="C51" s="32"/>
      <c r="D51" s="32"/>
      <c r="E51" s="54"/>
      <c r="F51" s="22"/>
      <c r="G51" s="25"/>
      <c r="H51" s="7"/>
      <c r="I51" s="50"/>
      <c r="J51" s="10"/>
      <c r="K51" s="50"/>
      <c r="L51" s="7"/>
      <c r="M51" s="50"/>
      <c r="N51" s="7"/>
      <c r="O51" s="50"/>
      <c r="P51" s="7"/>
      <c r="Q51" s="50"/>
      <c r="R51" s="7"/>
      <c r="S51" s="50"/>
      <c r="T51" s="7"/>
      <c r="U51" s="50"/>
      <c r="W51" s="18"/>
      <c r="X51" s="18"/>
      <c r="Y51" s="18"/>
      <c r="Z51" s="18"/>
      <c r="AA51" s="18"/>
    </row>
    <row r="52" spans="1:27" ht="24" customHeight="1" x14ac:dyDescent="0.3">
      <c r="A52" s="233"/>
      <c r="B52" s="24" t="s">
        <v>60</v>
      </c>
      <c r="C52" s="32"/>
      <c r="D52" s="32"/>
      <c r="E52" s="54"/>
      <c r="F52" s="22"/>
      <c r="G52" s="25"/>
      <c r="H52" s="7"/>
      <c r="I52" s="50"/>
      <c r="J52" s="10"/>
      <c r="K52" s="50"/>
      <c r="L52" s="7"/>
      <c r="M52" s="50"/>
      <c r="N52" s="7"/>
      <c r="O52" s="50"/>
      <c r="P52" s="7"/>
      <c r="Q52" s="50"/>
      <c r="R52" s="7"/>
      <c r="S52" s="50"/>
      <c r="T52" s="7"/>
      <c r="U52" s="50"/>
      <c r="W52" s="18"/>
      <c r="X52" s="18"/>
      <c r="Y52" s="18"/>
      <c r="Z52" s="18"/>
      <c r="AA52" s="18"/>
    </row>
    <row r="53" spans="1:27" ht="24" customHeight="1" x14ac:dyDescent="0.3">
      <c r="A53" s="233"/>
      <c r="B53" s="24" t="s">
        <v>61</v>
      </c>
      <c r="C53" s="32"/>
      <c r="D53" s="32"/>
      <c r="E53" s="54"/>
      <c r="F53" s="22"/>
      <c r="G53" s="25"/>
      <c r="H53" s="43"/>
      <c r="I53" s="50"/>
      <c r="J53" s="10"/>
      <c r="K53" s="50"/>
      <c r="L53" s="7"/>
      <c r="M53" s="50"/>
      <c r="N53" s="7"/>
      <c r="O53" s="50"/>
      <c r="P53" s="7"/>
      <c r="Q53" s="50"/>
      <c r="R53" s="7"/>
      <c r="S53" s="50"/>
      <c r="T53" s="7"/>
      <c r="U53" s="50"/>
      <c r="W53" s="18"/>
      <c r="X53" s="18"/>
      <c r="Y53" s="18"/>
      <c r="Z53" s="18"/>
      <c r="AA53" s="18"/>
    </row>
    <row r="54" spans="1:27" ht="24" customHeight="1" x14ac:dyDescent="0.3">
      <c r="A54" s="233"/>
      <c r="B54" s="24" t="s">
        <v>84</v>
      </c>
      <c r="C54" s="32"/>
      <c r="D54" s="32"/>
      <c r="E54" s="54"/>
      <c r="F54" s="22"/>
      <c r="G54" s="25"/>
      <c r="H54" s="7"/>
      <c r="I54" s="50"/>
      <c r="J54" s="10"/>
      <c r="K54" s="50"/>
      <c r="L54" s="7"/>
      <c r="M54" s="50"/>
      <c r="N54" s="7"/>
      <c r="O54" s="50"/>
      <c r="P54" s="7"/>
      <c r="Q54" s="50"/>
      <c r="R54" s="7"/>
      <c r="S54" s="50"/>
      <c r="T54" s="7"/>
      <c r="U54" s="50"/>
      <c r="W54" s="18"/>
      <c r="X54" s="18"/>
      <c r="Y54" s="18"/>
      <c r="Z54" s="18"/>
      <c r="AA54" s="18"/>
    </row>
    <row r="55" spans="1:27" ht="24" customHeight="1" x14ac:dyDescent="0.3">
      <c r="A55" s="233"/>
      <c r="B55" s="74" t="s">
        <v>47</v>
      </c>
      <c r="C55" s="32"/>
      <c r="D55" s="32"/>
      <c r="E55" s="54"/>
      <c r="F55" s="22"/>
      <c r="G55" s="25"/>
      <c r="H55" s="7"/>
      <c r="I55" s="50"/>
      <c r="J55" s="10"/>
      <c r="K55" s="50"/>
      <c r="L55" s="7"/>
      <c r="M55" s="50"/>
      <c r="N55" s="7"/>
      <c r="O55" s="50"/>
      <c r="P55" s="7"/>
      <c r="Q55" s="50"/>
      <c r="R55" s="7"/>
      <c r="S55" s="50"/>
      <c r="T55" s="7"/>
      <c r="U55" s="50"/>
      <c r="W55" s="18"/>
      <c r="X55" s="18"/>
      <c r="Y55" s="18"/>
      <c r="Z55" s="18"/>
      <c r="AA55" s="18"/>
    </row>
    <row r="56" spans="1:27" ht="24" customHeight="1" x14ac:dyDescent="0.3">
      <c r="A56" s="233"/>
      <c r="B56" s="74" t="s">
        <v>92</v>
      </c>
      <c r="C56" s="32"/>
      <c r="D56" s="32"/>
      <c r="E56" s="54"/>
      <c r="F56" s="22"/>
      <c r="G56" s="25"/>
      <c r="H56" s="7"/>
      <c r="I56" s="50"/>
      <c r="J56" s="10"/>
      <c r="K56" s="50"/>
      <c r="L56" s="7"/>
      <c r="M56" s="50"/>
      <c r="N56" s="7"/>
      <c r="O56" s="50"/>
      <c r="P56" s="7"/>
      <c r="Q56" s="50"/>
      <c r="R56" s="7"/>
      <c r="S56" s="50"/>
      <c r="T56" s="7"/>
      <c r="U56" s="50"/>
      <c r="W56" s="18"/>
      <c r="X56" s="18"/>
      <c r="Y56" s="18"/>
      <c r="Z56" s="18"/>
      <c r="AA56" s="18"/>
    </row>
    <row r="57" spans="1:27" ht="24" customHeight="1" x14ac:dyDescent="0.3">
      <c r="A57" s="233"/>
      <c r="B57" s="74" t="s">
        <v>45</v>
      </c>
      <c r="C57" s="32"/>
      <c r="D57" s="32"/>
      <c r="E57" s="54"/>
      <c r="F57" s="22"/>
      <c r="G57" s="25"/>
      <c r="H57" s="7"/>
      <c r="I57" s="50"/>
      <c r="J57" s="10"/>
      <c r="K57" s="50"/>
      <c r="L57" s="7"/>
      <c r="M57" s="50"/>
      <c r="N57" s="7"/>
      <c r="O57" s="50"/>
      <c r="P57" s="7"/>
      <c r="Q57" s="50"/>
      <c r="R57" s="7"/>
      <c r="S57" s="50"/>
      <c r="T57" s="7"/>
      <c r="U57" s="50"/>
      <c r="W57" s="18"/>
      <c r="X57" s="18"/>
      <c r="Y57" s="18"/>
      <c r="Z57" s="18"/>
      <c r="AA57" s="18"/>
    </row>
    <row r="58" spans="1:27" ht="27" thickBot="1" x14ac:dyDescent="0.35">
      <c r="A58" s="233"/>
      <c r="B58" s="26"/>
      <c r="C58" s="27">
        <f>SUM(C32:C57)</f>
        <v>10</v>
      </c>
      <c r="D58" s="27">
        <f>SUM(D32:D57)</f>
        <v>0</v>
      </c>
      <c r="E58" s="27">
        <f>SUM(E32:E57)</f>
        <v>0</v>
      </c>
      <c r="F58" s="27">
        <f>SUM(F32:F57)</f>
        <v>0</v>
      </c>
      <c r="G58" s="114"/>
      <c r="H58" s="2">
        <f t="shared" ref="H58:U58" si="2">SUM(H32:H57)</f>
        <v>0</v>
      </c>
      <c r="I58" s="2">
        <f t="shared" si="2"/>
        <v>0</v>
      </c>
      <c r="J58" s="2">
        <f t="shared" si="2"/>
        <v>0</v>
      </c>
      <c r="K58" s="2">
        <f t="shared" si="2"/>
        <v>0</v>
      </c>
      <c r="L58" s="2">
        <f t="shared" si="2"/>
        <v>1</v>
      </c>
      <c r="M58" s="2">
        <f t="shared" si="2"/>
        <v>0</v>
      </c>
      <c r="N58" s="2">
        <f t="shared" si="2"/>
        <v>0</v>
      </c>
      <c r="O58" s="2">
        <f t="shared" si="2"/>
        <v>0</v>
      </c>
      <c r="P58" s="2">
        <f t="shared" si="2"/>
        <v>0</v>
      </c>
      <c r="Q58" s="2">
        <f t="shared" si="2"/>
        <v>0</v>
      </c>
      <c r="R58" s="2">
        <f t="shared" si="2"/>
        <v>0</v>
      </c>
      <c r="S58" s="2">
        <f t="shared" si="2"/>
        <v>0</v>
      </c>
      <c r="T58" s="2">
        <f t="shared" si="2"/>
        <v>0</v>
      </c>
      <c r="U58" s="2">
        <f t="shared" si="2"/>
        <v>0</v>
      </c>
    </row>
    <row r="59" spans="1:27" ht="24" customHeight="1" thickTop="1" x14ac:dyDescent="0.3">
      <c r="A59" s="252" t="s">
        <v>13</v>
      </c>
      <c r="B59" s="3" t="s">
        <v>28</v>
      </c>
      <c r="C59" s="7"/>
      <c r="D59" s="7"/>
      <c r="E59" s="50"/>
      <c r="F59" s="50"/>
      <c r="G59" s="114"/>
      <c r="H59" s="7"/>
      <c r="I59" s="50"/>
      <c r="J59" s="10"/>
      <c r="K59" s="50"/>
      <c r="L59" s="7"/>
      <c r="M59" s="50"/>
      <c r="N59" s="7"/>
      <c r="O59" s="50"/>
      <c r="P59" s="7"/>
      <c r="Q59" s="50"/>
      <c r="R59" s="7"/>
      <c r="S59" s="50"/>
      <c r="T59" s="7"/>
      <c r="U59" s="50"/>
    </row>
    <row r="60" spans="1:27" ht="24" customHeight="1" x14ac:dyDescent="0.3">
      <c r="A60" s="252"/>
      <c r="B60" s="3" t="s">
        <v>29</v>
      </c>
      <c r="C60" s="7"/>
      <c r="D60" s="7"/>
      <c r="E60" s="50"/>
      <c r="F60" s="50"/>
      <c r="G60" s="114"/>
      <c r="H60" s="7"/>
      <c r="I60" s="50"/>
      <c r="J60" s="10"/>
      <c r="K60" s="50"/>
      <c r="L60" s="7"/>
      <c r="M60" s="50"/>
      <c r="N60" s="7"/>
      <c r="O60" s="50"/>
      <c r="P60" s="7"/>
      <c r="Q60" s="50"/>
      <c r="R60" s="7"/>
      <c r="S60" s="50"/>
      <c r="T60" s="7"/>
      <c r="U60" s="50"/>
    </row>
    <row r="61" spans="1:27" ht="24" customHeight="1" x14ac:dyDescent="0.3">
      <c r="A61" s="252"/>
      <c r="B61" s="3" t="s">
        <v>35</v>
      </c>
      <c r="C61" s="7"/>
      <c r="D61" s="7"/>
      <c r="E61" s="50"/>
      <c r="F61" s="50"/>
      <c r="G61" s="114"/>
      <c r="H61" s="7"/>
      <c r="I61" s="50"/>
      <c r="J61" s="10"/>
      <c r="K61" s="50"/>
      <c r="L61" s="7"/>
      <c r="M61" s="50"/>
      <c r="N61" s="7"/>
      <c r="O61" s="50"/>
      <c r="P61" s="7"/>
      <c r="Q61" s="50"/>
      <c r="R61" s="7"/>
      <c r="S61" s="50"/>
      <c r="T61" s="7"/>
      <c r="U61" s="50"/>
    </row>
    <row r="62" spans="1:27" ht="24" customHeight="1" x14ac:dyDescent="0.3">
      <c r="A62" s="252"/>
      <c r="B62" s="3" t="s">
        <v>33</v>
      </c>
      <c r="C62" s="7"/>
      <c r="D62" s="7"/>
      <c r="E62" s="50"/>
      <c r="F62" s="50"/>
      <c r="G62" s="114"/>
      <c r="H62" s="7"/>
      <c r="I62" s="50"/>
      <c r="J62" s="10"/>
      <c r="K62" s="50"/>
      <c r="L62" s="7"/>
      <c r="M62" s="50"/>
      <c r="N62" s="7"/>
      <c r="O62" s="50"/>
      <c r="P62" s="7"/>
      <c r="Q62" s="50"/>
      <c r="R62" s="7"/>
      <c r="S62" s="50"/>
      <c r="T62" s="7"/>
      <c r="U62" s="50"/>
    </row>
    <row r="63" spans="1:27" ht="24" customHeight="1" x14ac:dyDescent="0.3">
      <c r="A63" s="252"/>
      <c r="B63" s="3" t="s">
        <v>30</v>
      </c>
      <c r="C63" s="7"/>
      <c r="D63" s="7"/>
      <c r="E63" s="50"/>
      <c r="F63" s="50"/>
      <c r="G63" s="114"/>
      <c r="H63" s="7"/>
      <c r="I63" s="50"/>
      <c r="J63" s="10"/>
      <c r="K63" s="50"/>
      <c r="L63" s="7"/>
      <c r="M63" s="50"/>
      <c r="N63" s="7"/>
      <c r="O63" s="50"/>
      <c r="P63" s="7"/>
      <c r="Q63" s="50"/>
      <c r="R63" s="7"/>
      <c r="S63" s="50"/>
      <c r="T63" s="7"/>
      <c r="U63" s="50"/>
    </row>
    <row r="64" spans="1:27" ht="24" customHeight="1" x14ac:dyDescent="0.3">
      <c r="A64" s="252"/>
      <c r="B64" s="3" t="s">
        <v>31</v>
      </c>
      <c r="C64" s="7"/>
      <c r="D64" s="7"/>
      <c r="E64" s="50"/>
      <c r="F64" s="50"/>
      <c r="G64" s="114"/>
      <c r="H64" s="7"/>
      <c r="I64" s="50"/>
      <c r="J64" s="10"/>
      <c r="K64" s="50"/>
      <c r="L64" s="7"/>
      <c r="M64" s="50"/>
      <c r="N64" s="7"/>
      <c r="O64" s="50"/>
      <c r="P64" s="7"/>
      <c r="Q64" s="50"/>
      <c r="R64" s="7"/>
      <c r="S64" s="50"/>
      <c r="T64" s="7"/>
      <c r="U64" s="50"/>
    </row>
    <row r="65" spans="1:39" ht="24" customHeight="1" x14ac:dyDescent="0.3">
      <c r="A65" s="252"/>
      <c r="B65" s="3" t="s">
        <v>32</v>
      </c>
      <c r="C65" s="7"/>
      <c r="D65" s="7"/>
      <c r="E65" s="50"/>
      <c r="F65" s="50"/>
      <c r="G65" s="114"/>
      <c r="H65" s="7"/>
      <c r="I65" s="50"/>
      <c r="J65" s="10"/>
      <c r="K65" s="50"/>
      <c r="L65" s="7"/>
      <c r="M65" s="50"/>
      <c r="N65" s="7"/>
      <c r="O65" s="50"/>
      <c r="P65" s="7"/>
      <c r="Q65" s="50"/>
      <c r="R65" s="7"/>
      <c r="S65" s="50"/>
      <c r="T65" s="7"/>
      <c r="U65" s="50"/>
    </row>
    <row r="66" spans="1:39" ht="24" customHeight="1" x14ac:dyDescent="0.3">
      <c r="A66" s="252"/>
      <c r="B66" s="99" t="s">
        <v>93</v>
      </c>
      <c r="C66" s="7"/>
      <c r="D66" s="7"/>
      <c r="E66" s="50"/>
      <c r="F66" s="50"/>
      <c r="G66" s="114"/>
      <c r="H66" s="7"/>
      <c r="I66" s="50"/>
      <c r="J66" s="10"/>
      <c r="K66" s="50"/>
      <c r="L66" s="7"/>
      <c r="M66" s="50"/>
      <c r="N66" s="7"/>
      <c r="O66" s="50"/>
      <c r="P66" s="7"/>
      <c r="Q66" s="50"/>
      <c r="R66" s="7"/>
      <c r="S66" s="50"/>
      <c r="T66" s="7"/>
      <c r="U66" s="50"/>
    </row>
    <row r="67" spans="1:39" ht="26.25" x14ac:dyDescent="0.3">
      <c r="A67" s="253"/>
      <c r="B67" s="36"/>
      <c r="C67" s="17">
        <f>SUM(C59:C66)</f>
        <v>0</v>
      </c>
      <c r="D67" s="17">
        <f>SUM(D59:D66)</f>
        <v>0</v>
      </c>
      <c r="E67" s="17">
        <f>SUM(E59:E66)</f>
        <v>0</v>
      </c>
      <c r="F67" s="17">
        <f>SUM(F59:F66)</f>
        <v>0</v>
      </c>
      <c r="G67" s="114"/>
      <c r="H67" s="17">
        <f t="shared" ref="H67:S67" si="3">SUM(H59:H66)</f>
        <v>0</v>
      </c>
      <c r="I67" s="17">
        <f t="shared" si="3"/>
        <v>0</v>
      </c>
      <c r="J67" s="17">
        <f t="shared" si="3"/>
        <v>0</v>
      </c>
      <c r="K67" s="17">
        <f t="shared" si="3"/>
        <v>0</v>
      </c>
      <c r="L67" s="17">
        <f t="shared" si="3"/>
        <v>0</v>
      </c>
      <c r="M67" s="17">
        <f t="shared" si="3"/>
        <v>0</v>
      </c>
      <c r="N67" s="17">
        <f t="shared" si="3"/>
        <v>0</v>
      </c>
      <c r="O67" s="17">
        <f t="shared" si="3"/>
        <v>0</v>
      </c>
      <c r="P67" s="17">
        <f t="shared" si="3"/>
        <v>0</v>
      </c>
      <c r="Q67" s="17">
        <f t="shared" si="3"/>
        <v>0</v>
      </c>
      <c r="R67" s="17">
        <f t="shared" si="3"/>
        <v>0</v>
      </c>
      <c r="S67" s="17">
        <f t="shared" si="3"/>
        <v>0</v>
      </c>
      <c r="T67" s="17">
        <f>SUM(T59:T66)</f>
        <v>0</v>
      </c>
      <c r="U67" s="17">
        <f>SUM(U59:U66)</f>
        <v>0</v>
      </c>
      <c r="AA67" s="254"/>
      <c r="AB67" s="254"/>
      <c r="AC67" s="254"/>
      <c r="AD67" s="254"/>
      <c r="AF67" s="234"/>
      <c r="AG67" s="234"/>
      <c r="AH67" s="234"/>
      <c r="AI67" s="234"/>
      <c r="AJ67" s="234"/>
      <c r="AL67" s="234"/>
      <c r="AM67" s="234"/>
    </row>
    <row r="69" spans="1:39" ht="19.5" customHeight="1" x14ac:dyDescent="0.35">
      <c r="A69" s="235" t="s">
        <v>23</v>
      </c>
      <c r="B69" s="235"/>
      <c r="C69" s="20">
        <v>41000</v>
      </c>
      <c r="D69" s="20">
        <v>4100</v>
      </c>
      <c r="E69" s="20">
        <v>55000</v>
      </c>
      <c r="F69" s="20">
        <v>5500</v>
      </c>
      <c r="H69" s="19">
        <v>5500</v>
      </c>
      <c r="I69" s="19">
        <v>4100</v>
      </c>
      <c r="J69" s="19">
        <v>6800</v>
      </c>
      <c r="K69" s="20">
        <v>5200</v>
      </c>
      <c r="L69" s="20">
        <v>20700</v>
      </c>
      <c r="M69" s="20">
        <v>6400</v>
      </c>
      <c r="N69" s="19">
        <v>18700</v>
      </c>
      <c r="O69" s="20">
        <v>21700</v>
      </c>
      <c r="P69" s="106">
        <v>8300</v>
      </c>
      <c r="Q69" s="19">
        <v>15200</v>
      </c>
      <c r="R69" s="20">
        <v>13100</v>
      </c>
      <c r="S69" s="19">
        <v>8500</v>
      </c>
      <c r="T69" s="19">
        <v>8500</v>
      </c>
      <c r="U69" s="19">
        <v>8500</v>
      </c>
      <c r="W69" s="236">
        <f>P72*0.85</f>
        <v>366095</v>
      </c>
      <c r="X69" s="237"/>
      <c r="Y69" s="238"/>
      <c r="AA69" s="242">
        <f>P74-P72</f>
        <v>0</v>
      </c>
      <c r="AB69" s="243"/>
      <c r="AC69" s="243"/>
      <c r="AD69" s="243"/>
      <c r="AF69" s="234"/>
      <c r="AG69" s="234"/>
      <c r="AH69" s="234"/>
      <c r="AI69" s="234"/>
      <c r="AJ69" s="234"/>
      <c r="AL69" s="234"/>
      <c r="AM69" s="234"/>
    </row>
    <row r="70" spans="1:39" ht="19.5" customHeight="1" x14ac:dyDescent="0.35">
      <c r="A70" s="235" t="s">
        <v>24</v>
      </c>
      <c r="B70" s="235"/>
      <c r="C70" s="20">
        <f>C69*C3</f>
        <v>410000</v>
      </c>
      <c r="D70" s="20">
        <f>D69*D3</f>
        <v>0</v>
      </c>
      <c r="E70" s="20">
        <f>E69*E3</f>
        <v>0</v>
      </c>
      <c r="F70" s="20">
        <f>F69*F3</f>
        <v>0</v>
      </c>
      <c r="H70" s="20">
        <f t="shared" ref="H70:U70" si="4">H69*H3</f>
        <v>0</v>
      </c>
      <c r="I70" s="20">
        <f t="shared" si="4"/>
        <v>0</v>
      </c>
      <c r="J70" s="20">
        <f t="shared" si="4"/>
        <v>0</v>
      </c>
      <c r="K70" s="20">
        <f t="shared" si="4"/>
        <v>0</v>
      </c>
      <c r="L70" s="20">
        <f t="shared" si="4"/>
        <v>20700</v>
      </c>
      <c r="M70" s="20">
        <f t="shared" si="4"/>
        <v>0</v>
      </c>
      <c r="N70" s="20">
        <f t="shared" si="4"/>
        <v>0</v>
      </c>
      <c r="O70" s="20">
        <f t="shared" si="4"/>
        <v>0</v>
      </c>
      <c r="P70" s="20">
        <f t="shared" si="4"/>
        <v>0</v>
      </c>
      <c r="Q70" s="20">
        <f t="shared" si="4"/>
        <v>0</v>
      </c>
      <c r="R70" s="20">
        <f t="shared" si="4"/>
        <v>0</v>
      </c>
      <c r="S70" s="20">
        <f t="shared" si="4"/>
        <v>0</v>
      </c>
      <c r="T70" s="20">
        <f t="shared" si="4"/>
        <v>0</v>
      </c>
      <c r="U70" s="20">
        <f t="shared" si="4"/>
        <v>0</v>
      </c>
      <c r="W70" s="239"/>
      <c r="X70" s="240"/>
      <c r="Y70" s="241"/>
      <c r="AA70" s="243"/>
      <c r="AB70" s="243"/>
      <c r="AC70" s="243"/>
      <c r="AD70" s="243"/>
      <c r="AF70" s="234"/>
      <c r="AG70" s="234"/>
      <c r="AH70" s="234"/>
      <c r="AI70" s="234"/>
      <c r="AJ70" s="234"/>
      <c r="AL70" s="234"/>
      <c r="AM70" s="234"/>
    </row>
    <row r="72" spans="1:39" ht="26.25" x14ac:dyDescent="0.3">
      <c r="P72" s="259">
        <f>SUM(C70:U70)</f>
        <v>430700</v>
      </c>
      <c r="Q72" s="260"/>
      <c r="W72" s="247"/>
      <c r="X72" s="248"/>
      <c r="Y72" s="248"/>
      <c r="AA72" s="249"/>
      <c r="AB72" s="250"/>
      <c r="AC72" s="250"/>
      <c r="AD72" s="251"/>
    </row>
    <row r="74" spans="1:39" ht="26.25" x14ac:dyDescent="0.3">
      <c r="C74" s="244"/>
      <c r="D74" s="245"/>
      <c r="P74" s="246">
        <v>430700</v>
      </c>
      <c r="Q74" s="246"/>
      <c r="W74" s="247">
        <f>P74*0.85</f>
        <v>366095</v>
      </c>
      <c r="X74" s="248"/>
      <c r="Y74" s="248"/>
      <c r="AA74" s="249"/>
      <c r="AB74" s="250"/>
      <c r="AC74" s="250"/>
      <c r="AD74" s="251"/>
    </row>
    <row r="75" spans="1:39" x14ac:dyDescent="0.3">
      <c r="Q75" s="18"/>
      <c r="S75" s="18"/>
      <c r="U75" s="18"/>
      <c r="W75" s="245"/>
      <c r="X75" s="245"/>
      <c r="Y75" s="245"/>
      <c r="AA75" s="255"/>
      <c r="AB75" s="256"/>
      <c r="AC75" s="256"/>
      <c r="AD75" s="256"/>
    </row>
    <row r="76" spans="1:39" x14ac:dyDescent="0.3">
      <c r="P76" s="244"/>
      <c r="Q76" s="245"/>
      <c r="W76" s="245"/>
      <c r="X76" s="245"/>
      <c r="Y76" s="245"/>
      <c r="AA76" s="245"/>
      <c r="AB76" s="245"/>
      <c r="AC76" s="245"/>
      <c r="AD76" s="245"/>
    </row>
    <row r="77" spans="1:39" x14ac:dyDescent="0.3">
      <c r="P77" s="245"/>
      <c r="Q77" s="245"/>
      <c r="W77" s="245"/>
      <c r="X77" s="245"/>
      <c r="Y77" s="245"/>
      <c r="AA77" s="245"/>
      <c r="AB77" s="245"/>
      <c r="AC77" s="245"/>
      <c r="AD77" s="245"/>
    </row>
    <row r="78" spans="1:39" x14ac:dyDescent="0.3">
      <c r="P78" s="18"/>
      <c r="Q78" s="18"/>
      <c r="S78" s="18"/>
      <c r="U78" s="18"/>
      <c r="AA78" s="245"/>
      <c r="AB78" s="245"/>
      <c r="AC78" s="245"/>
      <c r="AD78" s="245"/>
    </row>
    <row r="79" spans="1:39" x14ac:dyDescent="0.3">
      <c r="C79">
        <f>C69*0.85</f>
        <v>34850</v>
      </c>
      <c r="D79">
        <f t="shared" ref="D79:R79" si="5">D69*0.85</f>
        <v>3485</v>
      </c>
      <c r="E79">
        <f t="shared" si="5"/>
        <v>46750</v>
      </c>
      <c r="F79">
        <f t="shared" si="5"/>
        <v>4675</v>
      </c>
      <c r="H79">
        <f t="shared" si="5"/>
        <v>4675</v>
      </c>
      <c r="I79">
        <f t="shared" si="5"/>
        <v>3485</v>
      </c>
      <c r="J79">
        <f t="shared" si="5"/>
        <v>5780</v>
      </c>
      <c r="K79">
        <f t="shared" si="5"/>
        <v>4420</v>
      </c>
      <c r="L79">
        <f t="shared" si="5"/>
        <v>17595</v>
      </c>
      <c r="M79">
        <f t="shared" si="5"/>
        <v>5440</v>
      </c>
      <c r="N79">
        <f t="shared" si="5"/>
        <v>15895</v>
      </c>
      <c r="O79">
        <f t="shared" si="5"/>
        <v>18445</v>
      </c>
      <c r="P79">
        <f t="shared" si="5"/>
        <v>7055</v>
      </c>
      <c r="Q79">
        <f t="shared" si="5"/>
        <v>12920</v>
      </c>
      <c r="R79">
        <f t="shared" si="5"/>
        <v>11135</v>
      </c>
      <c r="S79">
        <f>S69*0.85</f>
        <v>7225</v>
      </c>
      <c r="T79">
        <f>T69*0.85</f>
        <v>7225</v>
      </c>
      <c r="U79">
        <f>U69*0.85</f>
        <v>7225</v>
      </c>
    </row>
    <row r="80" spans="1:39" x14ac:dyDescent="0.3">
      <c r="C80">
        <v>29500</v>
      </c>
      <c r="D80">
        <v>2950</v>
      </c>
      <c r="E80">
        <v>51000</v>
      </c>
      <c r="F80">
        <v>5100</v>
      </c>
      <c r="H80">
        <v>3600</v>
      </c>
      <c r="I80">
        <v>2950</v>
      </c>
      <c r="J80">
        <v>4000</v>
      </c>
      <c r="K80">
        <v>4200</v>
      </c>
      <c r="L80">
        <v>15000</v>
      </c>
      <c r="M80">
        <v>4500</v>
      </c>
      <c r="N80">
        <v>9500</v>
      </c>
      <c r="O80">
        <v>12000</v>
      </c>
      <c r="P80">
        <v>8000</v>
      </c>
      <c r="Q80">
        <v>12000</v>
      </c>
      <c r="R80">
        <v>8500</v>
      </c>
    </row>
    <row r="81" spans="3:30" x14ac:dyDescent="0.3">
      <c r="C81">
        <f>C79-C80</f>
        <v>5350</v>
      </c>
      <c r="D81">
        <f t="shared" ref="D81:R81" si="6">D79-D80</f>
        <v>535</v>
      </c>
      <c r="E81">
        <f t="shared" si="6"/>
        <v>-4250</v>
      </c>
      <c r="F81">
        <f t="shared" si="6"/>
        <v>-425</v>
      </c>
      <c r="H81">
        <f t="shared" si="6"/>
        <v>1075</v>
      </c>
      <c r="I81">
        <f t="shared" si="6"/>
        <v>535</v>
      </c>
      <c r="J81">
        <f t="shared" si="6"/>
        <v>1780</v>
      </c>
      <c r="K81">
        <f t="shared" si="6"/>
        <v>220</v>
      </c>
      <c r="L81">
        <f t="shared" si="6"/>
        <v>2595</v>
      </c>
      <c r="M81">
        <f t="shared" si="6"/>
        <v>940</v>
      </c>
      <c r="N81">
        <f t="shared" si="6"/>
        <v>6395</v>
      </c>
      <c r="O81">
        <f t="shared" si="6"/>
        <v>6445</v>
      </c>
      <c r="P81">
        <f t="shared" si="6"/>
        <v>-945</v>
      </c>
      <c r="Q81">
        <f t="shared" si="6"/>
        <v>920</v>
      </c>
      <c r="R81">
        <f t="shared" si="6"/>
        <v>2635</v>
      </c>
    </row>
    <row r="82" spans="3:30" x14ac:dyDescent="0.3">
      <c r="C82">
        <f>C81*C3</f>
        <v>53500</v>
      </c>
      <c r="D82">
        <f t="shared" ref="D82:R82" si="7">D81*D3</f>
        <v>0</v>
      </c>
      <c r="E82">
        <f t="shared" si="7"/>
        <v>0</v>
      </c>
      <c r="F82">
        <f t="shared" si="7"/>
        <v>0</v>
      </c>
      <c r="G82">
        <f t="shared" si="7"/>
        <v>0</v>
      </c>
      <c r="H82">
        <f t="shared" si="7"/>
        <v>0</v>
      </c>
      <c r="I82">
        <f t="shared" si="7"/>
        <v>0</v>
      </c>
      <c r="J82">
        <f t="shared" si="7"/>
        <v>0</v>
      </c>
      <c r="K82">
        <f t="shared" si="7"/>
        <v>0</v>
      </c>
      <c r="L82">
        <f t="shared" si="7"/>
        <v>2595</v>
      </c>
      <c r="M82">
        <f t="shared" si="7"/>
        <v>0</v>
      </c>
      <c r="N82">
        <f t="shared" si="7"/>
        <v>0</v>
      </c>
      <c r="O82">
        <f t="shared" si="7"/>
        <v>0</v>
      </c>
      <c r="P82">
        <f t="shared" si="7"/>
        <v>0</v>
      </c>
      <c r="Q82">
        <f t="shared" si="7"/>
        <v>0</v>
      </c>
      <c r="R82">
        <f t="shared" si="7"/>
        <v>0</v>
      </c>
      <c r="Z82" s="245"/>
      <c r="AA82" s="245"/>
      <c r="AB82" s="245"/>
      <c r="AC82" s="245"/>
      <c r="AD82" s="245"/>
    </row>
    <row r="83" spans="3:30" x14ac:dyDescent="0.3">
      <c r="Z83" s="245"/>
      <c r="AA83" s="245"/>
      <c r="AB83" s="245"/>
      <c r="AC83" s="245"/>
      <c r="AD83" s="245"/>
    </row>
    <row r="84" spans="3:30" ht="26.25" x14ac:dyDescent="0.3">
      <c r="P84" s="257">
        <f>SUM(C82:R82)</f>
        <v>56095</v>
      </c>
      <c r="Q84" s="258"/>
    </row>
  </sheetData>
  <mergeCells count="28">
    <mergeCell ref="W75:Y77"/>
    <mergeCell ref="AA75:AD78"/>
    <mergeCell ref="P76:Q77"/>
    <mergeCell ref="Z82:AD83"/>
    <mergeCell ref="P84:Q84"/>
    <mergeCell ref="P72:Q72"/>
    <mergeCell ref="W72:Y72"/>
    <mergeCell ref="AA72:AD72"/>
    <mergeCell ref="C74:D74"/>
    <mergeCell ref="P74:Q74"/>
    <mergeCell ref="W74:Y74"/>
    <mergeCell ref="AA74:AD74"/>
    <mergeCell ref="A59:A67"/>
    <mergeCell ref="AA67:AD67"/>
    <mergeCell ref="AF67:AJ67"/>
    <mergeCell ref="AL67:AM67"/>
    <mergeCell ref="A69:B69"/>
    <mergeCell ref="W69:Y70"/>
    <mergeCell ref="AA69:AD70"/>
    <mergeCell ref="AF69:AJ70"/>
    <mergeCell ref="AL69:AM70"/>
    <mergeCell ref="A70:B70"/>
    <mergeCell ref="A1:B2"/>
    <mergeCell ref="C1:D1"/>
    <mergeCell ref="E1:F1"/>
    <mergeCell ref="A4:A31"/>
    <mergeCell ref="X28:AB28"/>
    <mergeCell ref="A32:A58"/>
  </mergeCells>
  <phoneticPr fontId="35" type="noConversion"/>
  <conditionalFormatting sqref="B7:B11">
    <cfRule type="duplicateValues" dxfId="189" priority="2"/>
  </conditionalFormatting>
  <conditionalFormatting sqref="B59:B66">
    <cfRule type="duplicateValues" dxfId="188" priority="3"/>
  </conditionalFormatting>
  <conditionalFormatting sqref="B12">
    <cfRule type="duplicateValues" dxfId="187" priority="1"/>
  </conditionalFormatting>
  <conditionalFormatting sqref="B4:B6 B13:B30">
    <cfRule type="expression" dxfId="186" priority="5" stopIfTrue="1">
      <formula>AND(COUNTIF($B$4:$B$6, B4)+COUNTIF($B$13:$B$30, B4)&gt;1,NOT(ISBLANK(B4)))</formula>
    </cfRule>
  </conditionalFormatting>
  <conditionalFormatting sqref="B32:B57">
    <cfRule type="duplicateValues" dxfId="185" priority="4"/>
  </conditionalFormatting>
  <printOptions horizontalCentered="1" verticalCentered="1"/>
  <pageMargins left="0" right="0" top="7.874015748031496E-2" bottom="7.874015748031496E-2" header="0" footer="0"/>
  <pageSetup paperSize="9" scale="2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V17"/>
  <sheetViews>
    <sheetView zoomScale="70" zoomScaleNormal="70" workbookViewId="0">
      <pane ySplit="3" topLeftCell="A4" activePane="bottomLeft" state="frozen"/>
      <selection activeCell="X4" sqref="X4"/>
      <selection pane="bottomLeft" activeCell="X4" sqref="X4"/>
    </sheetView>
  </sheetViews>
  <sheetFormatPr defaultRowHeight="16.5" x14ac:dyDescent="0.3"/>
  <cols>
    <col min="1" max="1" width="32.875" customWidth="1"/>
    <col min="2" max="6" width="10" customWidth="1"/>
    <col min="7" max="7" width="5.75" customWidth="1"/>
    <col min="8" max="8" width="18.5" customWidth="1"/>
    <col min="9" max="22" width="10.875" customWidth="1"/>
  </cols>
  <sheetData>
    <row r="1" spans="1:22" ht="113.25" customHeight="1" x14ac:dyDescent="0.3">
      <c r="A1" s="222" t="s">
        <v>112</v>
      </c>
      <c r="B1" s="223"/>
      <c r="C1" s="267" t="s">
        <v>97</v>
      </c>
      <c r="D1" s="268"/>
      <c r="E1" s="228" t="s">
        <v>98</v>
      </c>
      <c r="F1" s="228"/>
      <c r="G1" s="8"/>
      <c r="H1" s="269" t="s">
        <v>18</v>
      </c>
      <c r="I1" s="72" t="s">
        <v>20</v>
      </c>
      <c r="J1" s="113" t="s">
        <v>21</v>
      </c>
      <c r="K1" s="5" t="s">
        <v>101</v>
      </c>
      <c r="L1" s="113" t="s">
        <v>100</v>
      </c>
      <c r="M1" s="5" t="s">
        <v>96</v>
      </c>
      <c r="N1" s="113" t="s">
        <v>99</v>
      </c>
      <c r="O1" s="5" t="s">
        <v>102</v>
      </c>
      <c r="P1" s="113" t="s">
        <v>103</v>
      </c>
      <c r="Q1" s="5" t="s">
        <v>104</v>
      </c>
      <c r="R1" s="113" t="s">
        <v>105</v>
      </c>
      <c r="S1" s="5" t="s">
        <v>106</v>
      </c>
      <c r="T1" s="113" t="s">
        <v>85</v>
      </c>
      <c r="U1" s="5" t="s">
        <v>86</v>
      </c>
      <c r="V1" s="113" t="s">
        <v>88</v>
      </c>
    </row>
    <row r="2" spans="1:22" ht="43.5" customHeight="1" x14ac:dyDescent="0.3">
      <c r="A2" s="224"/>
      <c r="B2" s="225"/>
      <c r="C2" s="73" t="s">
        <v>2</v>
      </c>
      <c r="D2" s="73" t="s">
        <v>22</v>
      </c>
      <c r="E2" s="1" t="s">
        <v>2</v>
      </c>
      <c r="F2" s="1" t="s">
        <v>1</v>
      </c>
      <c r="G2" s="9"/>
      <c r="H2" s="270"/>
      <c r="I2" s="6" t="s">
        <v>3</v>
      </c>
      <c r="J2" s="1" t="s">
        <v>1</v>
      </c>
      <c r="K2" s="6" t="s">
        <v>3</v>
      </c>
      <c r="L2" s="1" t="s">
        <v>1</v>
      </c>
      <c r="M2" s="6" t="s">
        <v>3</v>
      </c>
      <c r="N2" s="1" t="s">
        <v>1</v>
      </c>
      <c r="O2" s="6" t="s">
        <v>3</v>
      </c>
      <c r="P2" s="1" t="s">
        <v>1</v>
      </c>
      <c r="Q2" s="6" t="s">
        <v>3</v>
      </c>
      <c r="R2" s="1" t="s">
        <v>1</v>
      </c>
      <c r="S2" s="6" t="s">
        <v>3</v>
      </c>
      <c r="T2" s="1" t="s">
        <v>1</v>
      </c>
      <c r="U2" s="6" t="s">
        <v>3</v>
      </c>
      <c r="V2" s="1" t="s">
        <v>3</v>
      </c>
    </row>
    <row r="3" spans="1:22" ht="39" customHeight="1" thickBot="1" x14ac:dyDescent="0.35">
      <c r="A3" s="271" t="s">
        <v>10</v>
      </c>
      <c r="B3" s="272"/>
      <c r="C3" s="44">
        <f>SUM(C4:C19)</f>
        <v>10</v>
      </c>
      <c r="D3" s="44">
        <f>SUM(D4:D19)</f>
        <v>0</v>
      </c>
      <c r="E3" s="44">
        <f>SUM(E4:E19)</f>
        <v>0</v>
      </c>
      <c r="F3" s="44">
        <f>SUM(F4:F19)</f>
        <v>0</v>
      </c>
      <c r="G3" s="114"/>
      <c r="H3" s="13" t="s">
        <v>10</v>
      </c>
      <c r="I3" s="44">
        <f t="shared" ref="I3:V3" si="0">SUM(I4:I11)</f>
        <v>0</v>
      </c>
      <c r="J3" s="44">
        <f t="shared" si="0"/>
        <v>0</v>
      </c>
      <c r="K3" s="44">
        <f t="shared" si="0"/>
        <v>0</v>
      </c>
      <c r="L3" s="44">
        <f t="shared" si="0"/>
        <v>0</v>
      </c>
      <c r="M3" s="44">
        <f t="shared" si="0"/>
        <v>1</v>
      </c>
      <c r="N3" s="44">
        <f t="shared" si="0"/>
        <v>0</v>
      </c>
      <c r="O3" s="44">
        <f t="shared" si="0"/>
        <v>0</v>
      </c>
      <c r="P3" s="44">
        <f t="shared" si="0"/>
        <v>0</v>
      </c>
      <c r="Q3" s="44">
        <f t="shared" si="0"/>
        <v>0</v>
      </c>
      <c r="R3" s="44">
        <f t="shared" si="0"/>
        <v>0</v>
      </c>
      <c r="S3" s="44">
        <f t="shared" si="0"/>
        <v>0</v>
      </c>
      <c r="T3" s="44">
        <f t="shared" si="0"/>
        <v>0</v>
      </c>
      <c r="U3" s="44">
        <f t="shared" si="0"/>
        <v>0</v>
      </c>
      <c r="V3" s="93">
        <f t="shared" si="0"/>
        <v>0</v>
      </c>
    </row>
    <row r="4" spans="1:22" ht="82.7" customHeight="1" thickTop="1" x14ac:dyDescent="0.3">
      <c r="A4" s="273" t="s">
        <v>15</v>
      </c>
      <c r="B4" s="274"/>
      <c r="C4" s="57">
        <f>'학교별02.06'!C31</f>
        <v>0</v>
      </c>
      <c r="D4" s="57">
        <f>'학교별02.06'!D31</f>
        <v>0</v>
      </c>
      <c r="E4" s="58">
        <f>'학교별02.06'!E31</f>
        <v>0</v>
      </c>
      <c r="F4" s="59">
        <f>'학교별02.06'!F31</f>
        <v>0</v>
      </c>
      <c r="G4" s="114"/>
      <c r="H4" s="49" t="s">
        <v>15</v>
      </c>
      <c r="I4" s="47">
        <f>'학교별02.06'!H31</f>
        <v>0</v>
      </c>
      <c r="J4" s="45">
        <f>'학교별02.06'!I31</f>
        <v>0</v>
      </c>
      <c r="K4" s="47">
        <f>'학교별02.06'!J31</f>
        <v>0</v>
      </c>
      <c r="L4" s="45">
        <f>'학교별02.06'!K31</f>
        <v>0</v>
      </c>
      <c r="M4" s="47">
        <f>'학교별02.06'!L31</f>
        <v>0</v>
      </c>
      <c r="N4" s="45">
        <f>'학교별02.06'!M31</f>
        <v>0</v>
      </c>
      <c r="O4" s="47">
        <f>'학교별02.06'!N31</f>
        <v>0</v>
      </c>
      <c r="P4" s="45">
        <f>'학교별02.06'!O31</f>
        <v>0</v>
      </c>
      <c r="Q4" s="47">
        <f>'학교별02.06'!P31</f>
        <v>0</v>
      </c>
      <c r="R4" s="45">
        <f>'학교별02.06'!Q31</f>
        <v>0</v>
      </c>
      <c r="S4" s="47">
        <f>'학교별02.06'!R31</f>
        <v>0</v>
      </c>
      <c r="T4" s="45">
        <f>'학교별02.06'!S31</f>
        <v>0</v>
      </c>
      <c r="U4" s="47">
        <f>'학교별02.06'!T31</f>
        <v>0</v>
      </c>
      <c r="V4" s="87">
        <f>'학교별02.06'!U31</f>
        <v>0</v>
      </c>
    </row>
    <row r="5" spans="1:22" ht="82.7" customHeight="1" thickBot="1" x14ac:dyDescent="0.35">
      <c r="A5" s="275"/>
      <c r="B5" s="276"/>
      <c r="C5" s="79"/>
      <c r="D5" s="60"/>
      <c r="E5" s="62"/>
      <c r="F5" s="61"/>
      <c r="G5" s="114"/>
      <c r="H5" s="40"/>
      <c r="I5" s="83"/>
      <c r="J5" s="81"/>
      <c r="K5" s="95"/>
      <c r="L5" s="81"/>
      <c r="M5" s="84"/>
      <c r="N5" s="81"/>
      <c r="O5" s="83"/>
      <c r="P5" s="42"/>
      <c r="Q5" s="41"/>
      <c r="R5" s="42"/>
      <c r="S5" s="83"/>
      <c r="T5" s="42"/>
      <c r="U5" s="41"/>
      <c r="V5" s="94"/>
    </row>
    <row r="6" spans="1:22" ht="18" thickTop="1" thickBot="1" x14ac:dyDescent="0.35">
      <c r="H6" s="33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89"/>
    </row>
    <row r="7" spans="1:22" ht="82.7" customHeight="1" thickTop="1" x14ac:dyDescent="0.3">
      <c r="A7" s="277" t="s">
        <v>26</v>
      </c>
      <c r="B7" s="278"/>
      <c r="C7" s="47">
        <f>'학교별02.06'!C58</f>
        <v>10</v>
      </c>
      <c r="D7" s="47">
        <f>'학교별02.06'!D58</f>
        <v>0</v>
      </c>
      <c r="E7" s="45">
        <f>'학교별02.06'!E58</f>
        <v>0</v>
      </c>
      <c r="F7" s="45">
        <f>'학교별02.06'!F58</f>
        <v>0</v>
      </c>
      <c r="G7" s="37"/>
      <c r="H7" s="55" t="s">
        <v>17</v>
      </c>
      <c r="I7" s="48">
        <f>'학교별02.06'!H58</f>
        <v>0</v>
      </c>
      <c r="J7" s="46">
        <f>'학교별02.06'!I58</f>
        <v>0</v>
      </c>
      <c r="K7" s="48">
        <f>'학교별02.06'!J58</f>
        <v>0</v>
      </c>
      <c r="L7" s="46">
        <f>'학교별02.06'!K58</f>
        <v>0</v>
      </c>
      <c r="M7" s="48">
        <f>'학교별02.06'!L58</f>
        <v>1</v>
      </c>
      <c r="N7" s="46">
        <f>'학교별02.06'!M58</f>
        <v>0</v>
      </c>
      <c r="O7" s="48">
        <f>'학교별02.06'!N58</f>
        <v>0</v>
      </c>
      <c r="P7" s="46">
        <f>'학교별02.06'!O58</f>
        <v>0</v>
      </c>
      <c r="Q7" s="48">
        <f>'학교별02.06'!P58</f>
        <v>0</v>
      </c>
      <c r="R7" s="46">
        <f>'학교별02.06'!Q58</f>
        <v>0</v>
      </c>
      <c r="S7" s="48">
        <f>'학교별02.06'!R58</f>
        <v>0</v>
      </c>
      <c r="T7" s="46">
        <f>'학교별02.06'!S58</f>
        <v>0</v>
      </c>
      <c r="U7" s="48">
        <f>'학교별02.06'!T58</f>
        <v>0</v>
      </c>
      <c r="V7" s="90">
        <f>'학교별02.06'!U58</f>
        <v>0</v>
      </c>
    </row>
    <row r="8" spans="1:22" ht="82.7" customHeight="1" thickBot="1" x14ac:dyDescent="0.35">
      <c r="A8" s="261"/>
      <c r="B8" s="262"/>
      <c r="C8" s="75"/>
      <c r="D8" s="96"/>
      <c r="E8" s="78"/>
      <c r="F8" s="38"/>
      <c r="G8" s="39"/>
      <c r="H8" s="114"/>
      <c r="I8" s="41"/>
      <c r="J8" s="42"/>
      <c r="K8" s="41"/>
      <c r="L8" s="42"/>
      <c r="M8" s="41"/>
      <c r="N8" s="42"/>
      <c r="O8" s="41"/>
      <c r="P8" s="42"/>
      <c r="Q8" s="41"/>
      <c r="R8" s="98"/>
      <c r="S8" s="41"/>
      <c r="T8" s="42"/>
      <c r="U8" s="41"/>
      <c r="V8" s="88"/>
    </row>
    <row r="9" spans="1:22" ht="18" thickTop="1" thickBot="1" x14ac:dyDescent="0.35">
      <c r="H9" s="33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89"/>
    </row>
    <row r="10" spans="1:22" ht="82.7" customHeight="1" thickTop="1" x14ac:dyDescent="0.3">
      <c r="A10" s="263" t="s">
        <v>16</v>
      </c>
      <c r="B10" s="264"/>
      <c r="C10" s="65">
        <f>'학교별02.06'!C67</f>
        <v>0</v>
      </c>
      <c r="D10" s="65">
        <f>'학교별02.06'!D67</f>
        <v>0</v>
      </c>
      <c r="E10" s="66">
        <f>'학교별02.06'!E67</f>
        <v>0</v>
      </c>
      <c r="F10" s="67">
        <f>'학교별02.06'!F67</f>
        <v>0</v>
      </c>
      <c r="G10" s="114"/>
      <c r="H10" s="53" t="s">
        <v>25</v>
      </c>
      <c r="I10" s="52">
        <f>'학교별02.06'!H67</f>
        <v>0</v>
      </c>
      <c r="J10" s="51">
        <f>'학교별02.06'!I67</f>
        <v>0</v>
      </c>
      <c r="K10" s="52">
        <f>'학교별02.06'!J67</f>
        <v>0</v>
      </c>
      <c r="L10" s="51">
        <f>'학교별02.06'!K67</f>
        <v>0</v>
      </c>
      <c r="M10" s="52">
        <f>'학교별02.06'!L67</f>
        <v>0</v>
      </c>
      <c r="N10" s="51">
        <f>'학교별02.06'!M67</f>
        <v>0</v>
      </c>
      <c r="O10" s="52">
        <f>'학교별02.06'!N67</f>
        <v>0</v>
      </c>
      <c r="P10" s="51">
        <f>'학교별02.06'!O67</f>
        <v>0</v>
      </c>
      <c r="Q10" s="52">
        <f>'학교별02.06'!P67</f>
        <v>0</v>
      </c>
      <c r="R10" s="51">
        <f>'학교별02.06'!Q67</f>
        <v>0</v>
      </c>
      <c r="S10" s="52">
        <f>'학교별02.06'!R67</f>
        <v>0</v>
      </c>
      <c r="T10" s="51">
        <f>'학교별02.06'!S67</f>
        <v>0</v>
      </c>
      <c r="U10" s="52">
        <f>'학교별02.06'!T67</f>
        <v>0</v>
      </c>
      <c r="V10" s="91">
        <f>'학교별02.06'!U67</f>
        <v>0</v>
      </c>
    </row>
    <row r="11" spans="1:22" ht="82.7" customHeight="1" thickBot="1" x14ac:dyDescent="0.35">
      <c r="A11" s="265"/>
      <c r="B11" s="266"/>
      <c r="C11" s="68"/>
      <c r="D11" s="69"/>
      <c r="E11" s="70"/>
      <c r="F11" s="71"/>
      <c r="H11" s="64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92"/>
    </row>
    <row r="12" spans="1:22" ht="17.25" thickTop="1" x14ac:dyDescent="0.3"/>
    <row r="17" spans="8:8" x14ac:dyDescent="0.3">
      <c r="H17" t="s">
        <v>83</v>
      </c>
    </row>
  </sheetData>
  <mergeCells count="11">
    <mergeCell ref="A10:B10"/>
    <mergeCell ref="A11:B11"/>
    <mergeCell ref="A1:B2"/>
    <mergeCell ref="C1:D1"/>
    <mergeCell ref="E1:F1"/>
    <mergeCell ref="H1:H2"/>
    <mergeCell ref="A3:B3"/>
    <mergeCell ref="A4:B4"/>
    <mergeCell ref="A5:B5"/>
    <mergeCell ref="A7:B7"/>
    <mergeCell ref="A8:B8"/>
  </mergeCells>
  <phoneticPr fontId="35" type="noConversion"/>
  <conditionalFormatting sqref="A10">
    <cfRule type="duplicateValues" dxfId="184" priority="1"/>
  </conditionalFormatting>
  <conditionalFormatting sqref="A4:A5">
    <cfRule type="duplicateValues" dxfId="183" priority="2"/>
  </conditionalFormatting>
  <conditionalFormatting sqref="A7:A8">
    <cfRule type="duplicateValues" dxfId="182" priority="3"/>
  </conditionalFormatting>
  <printOptions horizontalCentered="1" verticalCentered="1"/>
  <pageMargins left="0" right="0" top="7.874015748031496E-2" bottom="7.874015748031496E-2" header="0" footer="0"/>
  <pageSetup paperSize="9" scale="52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84"/>
  <sheetViews>
    <sheetView zoomScale="70" zoomScaleNormal="70" workbookViewId="0">
      <pane ySplit="3" topLeftCell="A61" activePane="bottomLeft" state="frozen"/>
      <selection activeCell="X4" sqref="X4"/>
      <selection pane="bottomLeft" activeCell="P75" sqref="P75"/>
    </sheetView>
  </sheetViews>
  <sheetFormatPr defaultRowHeight="16.5" x14ac:dyDescent="0.3"/>
  <cols>
    <col min="1" max="1" width="9" customWidth="1"/>
    <col min="2" max="2" width="33.75" customWidth="1"/>
    <col min="3" max="3" width="10.75" customWidth="1"/>
    <col min="4" max="4" width="10" customWidth="1"/>
    <col min="5" max="5" width="10.5" customWidth="1"/>
    <col min="6" max="6" width="10" customWidth="1"/>
    <col min="7" max="7" width="4.125" customWidth="1"/>
    <col min="8" max="21" width="10.875" customWidth="1"/>
    <col min="22" max="22" width="5.5" customWidth="1"/>
    <col min="23" max="23" width="10.875" bestFit="1" customWidth="1"/>
  </cols>
  <sheetData>
    <row r="1" spans="1:25" ht="113.25" customHeight="1" x14ac:dyDescent="0.3">
      <c r="A1" s="222" t="s">
        <v>113</v>
      </c>
      <c r="B1" s="223"/>
      <c r="C1" s="226" t="s">
        <v>0</v>
      </c>
      <c r="D1" s="227"/>
      <c r="E1" s="228" t="s">
        <v>19</v>
      </c>
      <c r="F1" s="228"/>
      <c r="G1" s="8"/>
      <c r="H1" s="72" t="s">
        <v>20</v>
      </c>
      <c r="I1" s="115" t="s">
        <v>21</v>
      </c>
      <c r="J1" s="5" t="s">
        <v>7</v>
      </c>
      <c r="K1" s="115" t="s">
        <v>4</v>
      </c>
      <c r="L1" s="5" t="s">
        <v>6</v>
      </c>
      <c r="M1" s="115" t="s">
        <v>5</v>
      </c>
      <c r="N1" s="5" t="s">
        <v>9</v>
      </c>
      <c r="O1" s="115" t="s">
        <v>11</v>
      </c>
      <c r="P1" s="5" t="s">
        <v>8</v>
      </c>
      <c r="Q1" s="115" t="s">
        <v>12</v>
      </c>
      <c r="R1" s="5" t="s">
        <v>95</v>
      </c>
      <c r="S1" s="115" t="s">
        <v>85</v>
      </c>
      <c r="T1" s="5" t="s">
        <v>86</v>
      </c>
      <c r="U1" s="115" t="s">
        <v>87</v>
      </c>
    </row>
    <row r="2" spans="1:25" ht="43.5" customHeight="1" x14ac:dyDescent="0.3">
      <c r="A2" s="224"/>
      <c r="B2" s="225"/>
      <c r="C2" s="73" t="s">
        <v>2</v>
      </c>
      <c r="D2" s="21" t="s">
        <v>1</v>
      </c>
      <c r="E2" s="1" t="s">
        <v>2</v>
      </c>
      <c r="F2" s="1" t="s">
        <v>1</v>
      </c>
      <c r="G2" s="9"/>
      <c r="H2" s="6" t="s">
        <v>3</v>
      </c>
      <c r="I2" s="1" t="s">
        <v>1</v>
      </c>
      <c r="J2" s="6" t="s">
        <v>3</v>
      </c>
      <c r="K2" s="1" t="s">
        <v>1</v>
      </c>
      <c r="L2" s="6" t="s">
        <v>3</v>
      </c>
      <c r="M2" s="1" t="s">
        <v>1</v>
      </c>
      <c r="N2" s="6" t="s">
        <v>3</v>
      </c>
      <c r="O2" s="1" t="s">
        <v>1</v>
      </c>
      <c r="P2" s="6" t="s">
        <v>3</v>
      </c>
      <c r="Q2" s="1" t="s">
        <v>1</v>
      </c>
      <c r="R2" s="6" t="s">
        <v>3</v>
      </c>
      <c r="S2" s="1" t="s">
        <v>1</v>
      </c>
      <c r="T2" s="6" t="s">
        <v>3</v>
      </c>
      <c r="U2" s="1" t="s">
        <v>1</v>
      </c>
    </row>
    <row r="3" spans="1:25" ht="26.25" x14ac:dyDescent="0.3">
      <c r="A3" s="97" t="s">
        <v>14</v>
      </c>
      <c r="B3" s="12" t="s">
        <v>10</v>
      </c>
      <c r="C3" s="29">
        <f>C31+C58+C67</f>
        <v>4</v>
      </c>
      <c r="D3" s="30">
        <f>D31+D58+D67</f>
        <v>0</v>
      </c>
      <c r="E3" s="30">
        <f>E31+E58+E67</f>
        <v>0</v>
      </c>
      <c r="F3" s="14">
        <f>F31+F58+F67</f>
        <v>0</v>
      </c>
      <c r="G3" s="116"/>
      <c r="H3" s="2">
        <f t="shared" ref="H3:U3" si="0">H31+H58+H67</f>
        <v>0</v>
      </c>
      <c r="I3" s="2">
        <f t="shared" si="0"/>
        <v>0</v>
      </c>
      <c r="J3" s="85">
        <f t="shared" si="0"/>
        <v>0</v>
      </c>
      <c r="K3" s="2">
        <f t="shared" si="0"/>
        <v>0</v>
      </c>
      <c r="L3" s="2">
        <f t="shared" si="0"/>
        <v>0</v>
      </c>
      <c r="M3" s="2">
        <f t="shared" si="0"/>
        <v>0</v>
      </c>
      <c r="N3" s="2">
        <f t="shared" si="0"/>
        <v>0</v>
      </c>
      <c r="O3" s="2">
        <f t="shared" si="0"/>
        <v>0</v>
      </c>
      <c r="P3" s="2">
        <f t="shared" si="0"/>
        <v>0</v>
      </c>
      <c r="Q3" s="2">
        <f t="shared" si="0"/>
        <v>0</v>
      </c>
      <c r="R3" s="2">
        <f t="shared" si="0"/>
        <v>0</v>
      </c>
      <c r="S3" s="2">
        <f t="shared" si="0"/>
        <v>0</v>
      </c>
      <c r="T3" s="2">
        <f t="shared" si="0"/>
        <v>0</v>
      </c>
      <c r="U3" s="2">
        <f t="shared" si="0"/>
        <v>0</v>
      </c>
      <c r="V3" s="4">
        <f>D3*10</f>
        <v>0</v>
      </c>
      <c r="W3">
        <f>F3*10+E3</f>
        <v>0</v>
      </c>
      <c r="X3" s="4">
        <f>SUM(H3:Q3)</f>
        <v>0</v>
      </c>
      <c r="Y3" s="11">
        <f>SUM(V3:X3)</f>
        <v>0</v>
      </c>
    </row>
    <row r="4" spans="1:25" ht="24" customHeight="1" x14ac:dyDescent="0.3">
      <c r="A4" s="229" t="s">
        <v>34</v>
      </c>
      <c r="B4" s="3" t="s">
        <v>36</v>
      </c>
      <c r="C4" s="7"/>
      <c r="D4" s="7"/>
      <c r="E4" s="50"/>
      <c r="F4" s="50"/>
      <c r="G4" s="116"/>
      <c r="H4" s="7"/>
      <c r="I4" s="50"/>
      <c r="J4" s="10"/>
      <c r="K4" s="50"/>
      <c r="L4" s="7"/>
      <c r="M4" s="50"/>
      <c r="N4" s="10"/>
      <c r="O4" s="50"/>
      <c r="P4" s="7"/>
      <c r="Q4" s="50"/>
      <c r="R4" s="7"/>
      <c r="S4" s="50"/>
      <c r="T4" s="7"/>
      <c r="U4" s="50"/>
    </row>
    <row r="5" spans="1:25" ht="24" customHeight="1" x14ac:dyDescent="0.3">
      <c r="A5" s="230"/>
      <c r="B5" s="3" t="s">
        <v>82</v>
      </c>
      <c r="C5" s="7"/>
      <c r="D5" s="7"/>
      <c r="E5" s="50"/>
      <c r="F5" s="50"/>
      <c r="G5" s="116"/>
      <c r="H5" s="7"/>
      <c r="I5" s="50"/>
      <c r="J5" s="10"/>
      <c r="K5" s="50"/>
      <c r="L5" s="7"/>
      <c r="M5" s="50"/>
      <c r="N5" s="10"/>
      <c r="O5" s="50"/>
      <c r="P5" s="7"/>
      <c r="Q5" s="50"/>
      <c r="R5" s="7"/>
      <c r="S5" s="50"/>
      <c r="T5" s="7"/>
      <c r="U5" s="50"/>
    </row>
    <row r="6" spans="1:25" ht="24" customHeight="1" x14ac:dyDescent="0.3">
      <c r="A6" s="230"/>
      <c r="B6" s="3" t="s">
        <v>37</v>
      </c>
      <c r="C6" s="7"/>
      <c r="D6" s="7"/>
      <c r="E6" s="50"/>
      <c r="F6" s="50"/>
      <c r="G6" s="116"/>
      <c r="H6" s="7"/>
      <c r="I6" s="50"/>
      <c r="J6" s="10"/>
      <c r="K6" s="50"/>
      <c r="L6" s="7"/>
      <c r="M6" s="50"/>
      <c r="N6" s="10"/>
      <c r="O6" s="50"/>
      <c r="P6" s="7"/>
      <c r="Q6" s="50"/>
      <c r="R6" s="7"/>
      <c r="S6" s="50"/>
      <c r="T6" s="7"/>
      <c r="U6" s="50"/>
    </row>
    <row r="7" spans="1:25" ht="24" customHeight="1" x14ac:dyDescent="0.3">
      <c r="A7" s="230"/>
      <c r="B7" s="3" t="s">
        <v>38</v>
      </c>
      <c r="C7" s="7"/>
      <c r="D7" s="7"/>
      <c r="E7" s="50"/>
      <c r="F7" s="50"/>
      <c r="G7" s="116"/>
      <c r="H7" s="7"/>
      <c r="I7" s="50"/>
      <c r="J7" s="10"/>
      <c r="K7" s="50"/>
      <c r="L7" s="7"/>
      <c r="M7" s="50"/>
      <c r="N7" s="10"/>
      <c r="O7" s="50"/>
      <c r="P7" s="7"/>
      <c r="Q7" s="50"/>
      <c r="R7" s="7"/>
      <c r="S7" s="50"/>
      <c r="T7" s="7"/>
      <c r="U7" s="50"/>
    </row>
    <row r="8" spans="1:25" ht="24" customHeight="1" x14ac:dyDescent="0.3">
      <c r="A8" s="230"/>
      <c r="B8" s="3" t="s">
        <v>50</v>
      </c>
      <c r="C8" s="77"/>
      <c r="D8" s="7"/>
      <c r="E8" s="50"/>
      <c r="F8" s="50"/>
      <c r="G8" s="63"/>
      <c r="H8" s="7"/>
      <c r="I8" s="50"/>
      <c r="J8" s="10"/>
      <c r="K8" s="50"/>
      <c r="L8" s="7"/>
      <c r="M8" s="50"/>
      <c r="N8" s="10"/>
      <c r="O8" s="50"/>
      <c r="P8" s="7"/>
      <c r="Q8" s="50"/>
      <c r="R8" s="7"/>
      <c r="S8" s="50"/>
      <c r="T8" s="7"/>
      <c r="U8" s="50"/>
    </row>
    <row r="9" spans="1:25" ht="24" customHeight="1" x14ac:dyDescent="0.3">
      <c r="A9" s="230"/>
      <c r="B9" s="3" t="s">
        <v>72</v>
      </c>
      <c r="C9" s="7"/>
      <c r="D9" s="7"/>
      <c r="E9" s="50"/>
      <c r="F9" s="50"/>
      <c r="G9" s="116"/>
      <c r="H9" s="7"/>
      <c r="I9" s="50"/>
      <c r="J9" s="10"/>
      <c r="K9" s="50"/>
      <c r="L9" s="7"/>
      <c r="M9" s="50"/>
      <c r="N9" s="10"/>
      <c r="O9" s="50"/>
      <c r="P9" s="7"/>
      <c r="Q9" s="50"/>
      <c r="R9" s="7"/>
      <c r="S9" s="50"/>
      <c r="T9" s="7"/>
      <c r="U9" s="50"/>
    </row>
    <row r="10" spans="1:25" ht="24" customHeight="1" x14ac:dyDescent="0.3">
      <c r="A10" s="230"/>
      <c r="B10" s="3" t="s">
        <v>52</v>
      </c>
      <c r="C10" s="7"/>
      <c r="D10" s="7"/>
      <c r="E10" s="50"/>
      <c r="F10" s="50"/>
      <c r="G10" s="116"/>
      <c r="H10" s="7"/>
      <c r="I10" s="50"/>
      <c r="J10" s="10"/>
      <c r="K10" s="50"/>
      <c r="L10" s="7"/>
      <c r="M10" s="50"/>
      <c r="N10" s="10"/>
      <c r="O10" s="50"/>
      <c r="P10" s="7"/>
      <c r="Q10" s="50"/>
      <c r="R10" s="7"/>
      <c r="S10" s="50"/>
      <c r="T10" s="7"/>
      <c r="U10" s="50"/>
    </row>
    <row r="11" spans="1:25" ht="24" customHeight="1" x14ac:dyDescent="0.3">
      <c r="A11" s="230"/>
      <c r="B11" s="3" t="s">
        <v>39</v>
      </c>
      <c r="C11" s="7"/>
      <c r="D11" s="7"/>
      <c r="E11" s="50"/>
      <c r="F11" s="50"/>
      <c r="G11" s="116"/>
      <c r="H11" s="7"/>
      <c r="I11" s="50"/>
      <c r="J11" s="10"/>
      <c r="K11" s="50"/>
      <c r="L11" s="7"/>
      <c r="M11" s="50"/>
      <c r="N11" s="10"/>
      <c r="O11" s="50"/>
      <c r="P11" s="7"/>
      <c r="Q11" s="50"/>
      <c r="R11" s="7"/>
      <c r="S11" s="50"/>
      <c r="T11" s="7"/>
      <c r="U11" s="50"/>
    </row>
    <row r="12" spans="1:25" ht="24" customHeight="1" x14ac:dyDescent="0.3">
      <c r="A12" s="230"/>
      <c r="B12" s="3" t="s">
        <v>40</v>
      </c>
      <c r="C12" s="7"/>
      <c r="D12" s="77"/>
      <c r="E12" s="76"/>
      <c r="F12" s="50"/>
      <c r="G12" s="80"/>
      <c r="H12" s="7"/>
      <c r="I12" s="76"/>
      <c r="J12" s="7"/>
      <c r="K12" s="50"/>
      <c r="L12" s="7"/>
      <c r="M12" s="76"/>
      <c r="N12" s="10"/>
      <c r="O12" s="76"/>
      <c r="P12" s="7"/>
      <c r="Q12" s="76"/>
      <c r="R12" s="10"/>
      <c r="S12" s="76"/>
      <c r="T12" s="77"/>
      <c r="U12" s="76"/>
    </row>
    <row r="13" spans="1:25" ht="24" customHeight="1" x14ac:dyDescent="0.3">
      <c r="A13" s="230"/>
      <c r="B13" s="3" t="s">
        <v>41</v>
      </c>
      <c r="C13" s="7"/>
      <c r="D13" s="7"/>
      <c r="E13" s="50"/>
      <c r="F13" s="50"/>
      <c r="G13" s="116"/>
      <c r="H13" s="7"/>
      <c r="I13" s="50"/>
      <c r="J13" s="10"/>
      <c r="K13" s="50"/>
      <c r="L13" s="7"/>
      <c r="M13" s="50"/>
      <c r="N13" s="10"/>
      <c r="O13" s="50"/>
      <c r="P13" s="7"/>
      <c r="Q13" s="50"/>
      <c r="R13" s="7"/>
      <c r="S13" s="50"/>
      <c r="T13" s="7"/>
      <c r="U13" s="50"/>
    </row>
    <row r="14" spans="1:25" ht="24" customHeight="1" x14ac:dyDescent="0.3">
      <c r="A14" s="230"/>
      <c r="B14" s="3" t="s">
        <v>42</v>
      </c>
      <c r="C14" s="7"/>
      <c r="D14" s="7"/>
      <c r="E14" s="50"/>
      <c r="F14" s="50"/>
      <c r="G14" s="116"/>
      <c r="H14" s="7"/>
      <c r="I14" s="50"/>
      <c r="J14" s="10"/>
      <c r="K14" s="50"/>
      <c r="L14" s="7"/>
      <c r="M14" s="50"/>
      <c r="N14" s="10"/>
      <c r="O14" s="50"/>
      <c r="P14" s="7"/>
      <c r="Q14" s="50"/>
      <c r="R14" s="7"/>
      <c r="S14" s="50"/>
      <c r="T14" s="7"/>
      <c r="U14" s="50"/>
    </row>
    <row r="15" spans="1:25" ht="24" customHeight="1" x14ac:dyDescent="0.3">
      <c r="A15" s="230"/>
      <c r="B15" s="3" t="s">
        <v>43</v>
      </c>
      <c r="C15" s="7"/>
      <c r="D15" s="7"/>
      <c r="E15" s="50"/>
      <c r="F15" s="50"/>
      <c r="G15" s="116"/>
      <c r="H15" s="7"/>
      <c r="I15" s="50"/>
      <c r="J15" s="10"/>
      <c r="K15" s="50"/>
      <c r="L15" s="7"/>
      <c r="M15" s="50"/>
      <c r="N15" s="10"/>
      <c r="O15" s="50"/>
      <c r="P15" s="7"/>
      <c r="Q15" s="50"/>
      <c r="R15" s="7"/>
      <c r="S15" s="50"/>
      <c r="T15" s="7"/>
      <c r="U15" s="50"/>
    </row>
    <row r="16" spans="1:25" ht="24" customHeight="1" x14ac:dyDescent="0.3">
      <c r="A16" s="230"/>
      <c r="B16" s="3" t="s">
        <v>51</v>
      </c>
      <c r="C16" s="7"/>
      <c r="D16" s="7"/>
      <c r="E16" s="50"/>
      <c r="F16" s="50"/>
      <c r="G16" s="116"/>
      <c r="H16" s="7"/>
      <c r="I16" s="50"/>
      <c r="J16" s="10"/>
      <c r="K16" s="50"/>
      <c r="L16" s="7"/>
      <c r="M16" s="50"/>
      <c r="N16" s="10"/>
      <c r="O16" s="50"/>
      <c r="P16" s="7"/>
      <c r="Q16" s="50"/>
      <c r="R16" s="7"/>
      <c r="S16" s="50"/>
      <c r="T16" s="7"/>
      <c r="U16" s="50"/>
    </row>
    <row r="17" spans="1:28" ht="24" customHeight="1" x14ac:dyDescent="0.3">
      <c r="A17" s="230"/>
      <c r="B17" s="3" t="s">
        <v>44</v>
      </c>
      <c r="C17" s="7"/>
      <c r="D17" s="7"/>
      <c r="E17" s="50"/>
      <c r="F17" s="50"/>
      <c r="G17" s="116"/>
      <c r="H17" s="7"/>
      <c r="I17" s="50"/>
      <c r="J17" s="10"/>
      <c r="K17" s="50"/>
      <c r="L17" s="7"/>
      <c r="M17" s="50"/>
      <c r="N17" s="10"/>
      <c r="O17" s="50"/>
      <c r="P17" s="7"/>
      <c r="Q17" s="50"/>
      <c r="R17" s="7"/>
      <c r="S17" s="50"/>
      <c r="T17" s="7"/>
      <c r="U17" s="50"/>
    </row>
    <row r="18" spans="1:28" ht="24" customHeight="1" x14ac:dyDescent="0.3">
      <c r="A18" s="230"/>
      <c r="B18" s="100" t="s">
        <v>91</v>
      </c>
      <c r="C18" s="7"/>
      <c r="D18" s="7"/>
      <c r="E18" s="50"/>
      <c r="F18" s="50"/>
      <c r="G18" s="116"/>
      <c r="H18" s="7"/>
      <c r="I18" s="50"/>
      <c r="J18" s="10"/>
      <c r="K18" s="50"/>
      <c r="L18" s="7"/>
      <c r="M18" s="50"/>
      <c r="N18" s="10"/>
      <c r="O18" s="50"/>
      <c r="P18" s="7"/>
      <c r="Q18" s="50"/>
      <c r="R18" s="7"/>
      <c r="S18" s="50"/>
      <c r="T18" s="7"/>
      <c r="U18" s="50"/>
    </row>
    <row r="19" spans="1:28" ht="24" customHeight="1" x14ac:dyDescent="0.3">
      <c r="A19" s="230"/>
      <c r="B19" s="100" t="s">
        <v>46</v>
      </c>
      <c r="C19" s="7"/>
      <c r="D19" s="7"/>
      <c r="E19" s="50"/>
      <c r="F19" s="50"/>
      <c r="G19" s="116"/>
      <c r="H19" s="7"/>
      <c r="I19" s="50"/>
      <c r="J19" s="10"/>
      <c r="K19" s="50"/>
      <c r="L19" s="7"/>
      <c r="M19" s="50"/>
      <c r="N19" s="10"/>
      <c r="O19" s="50"/>
      <c r="P19" s="7"/>
      <c r="Q19" s="50"/>
      <c r="R19" s="7"/>
      <c r="S19" s="50"/>
      <c r="T19" s="7"/>
      <c r="U19" s="76"/>
    </row>
    <row r="20" spans="1:28" ht="24" customHeight="1" x14ac:dyDescent="0.3">
      <c r="A20" s="230"/>
      <c r="B20" s="100" t="s">
        <v>48</v>
      </c>
      <c r="C20" s="7"/>
      <c r="D20" s="7"/>
      <c r="E20" s="50"/>
      <c r="F20" s="50"/>
      <c r="G20" s="116"/>
      <c r="H20" s="7"/>
      <c r="I20" s="50"/>
      <c r="J20" s="10"/>
      <c r="K20" s="50"/>
      <c r="L20" s="7"/>
      <c r="M20" s="50"/>
      <c r="N20" s="10"/>
      <c r="O20" s="50"/>
      <c r="P20" s="7"/>
      <c r="Q20" s="50"/>
      <c r="R20" s="7"/>
      <c r="S20" s="50"/>
      <c r="T20" s="7"/>
      <c r="U20" s="50"/>
    </row>
    <row r="21" spans="1:28" ht="24" customHeight="1" x14ac:dyDescent="0.3">
      <c r="A21" s="230"/>
      <c r="B21" s="3" t="s">
        <v>75</v>
      </c>
      <c r="C21" s="7"/>
      <c r="D21" s="7"/>
      <c r="E21" s="50"/>
      <c r="F21" s="50"/>
      <c r="G21" s="116"/>
      <c r="H21" s="7"/>
      <c r="I21" s="50"/>
      <c r="J21" s="10"/>
      <c r="K21" s="50"/>
      <c r="L21" s="7"/>
      <c r="M21" s="50"/>
      <c r="N21" s="10"/>
      <c r="O21" s="50"/>
      <c r="P21" s="7"/>
      <c r="Q21" s="50"/>
      <c r="R21" s="7"/>
      <c r="S21" s="50"/>
      <c r="T21" s="7"/>
      <c r="U21" s="50"/>
    </row>
    <row r="22" spans="1:28" ht="24" customHeight="1" x14ac:dyDescent="0.3">
      <c r="A22" s="230"/>
      <c r="B22" s="3" t="s">
        <v>73</v>
      </c>
      <c r="C22" s="7"/>
      <c r="D22" s="7"/>
      <c r="E22" s="50"/>
      <c r="F22" s="50"/>
      <c r="G22" s="116"/>
      <c r="H22" s="7"/>
      <c r="I22" s="50"/>
      <c r="J22" s="10"/>
      <c r="K22" s="50"/>
      <c r="L22" s="7"/>
      <c r="M22" s="50"/>
      <c r="N22" s="10"/>
      <c r="O22" s="50"/>
      <c r="P22" s="7"/>
      <c r="Q22" s="50"/>
      <c r="R22" s="7"/>
      <c r="S22" s="50"/>
      <c r="T22" s="7"/>
      <c r="U22" s="50"/>
    </row>
    <row r="23" spans="1:28" ht="24" customHeight="1" x14ac:dyDescent="0.3">
      <c r="A23" s="230"/>
      <c r="B23" s="3" t="s">
        <v>62</v>
      </c>
      <c r="C23" s="7"/>
      <c r="D23" s="7"/>
      <c r="E23" s="50"/>
      <c r="F23" s="50"/>
      <c r="G23" s="116"/>
      <c r="H23" s="7"/>
      <c r="I23" s="50"/>
      <c r="J23" s="10"/>
      <c r="K23" s="50"/>
      <c r="L23" s="7"/>
      <c r="M23" s="50"/>
      <c r="N23" s="10"/>
      <c r="O23" s="50"/>
      <c r="P23" s="7"/>
      <c r="Q23" s="50"/>
      <c r="R23" s="7"/>
      <c r="S23" s="50"/>
      <c r="T23" s="7"/>
      <c r="U23" s="50"/>
    </row>
    <row r="24" spans="1:28" ht="24" customHeight="1" x14ac:dyDescent="0.3">
      <c r="A24" s="230"/>
      <c r="B24" s="3" t="s">
        <v>81</v>
      </c>
      <c r="C24" s="7"/>
      <c r="D24" s="77"/>
      <c r="E24" s="76"/>
      <c r="F24" s="50"/>
      <c r="G24" s="80"/>
      <c r="H24" s="7"/>
      <c r="I24" s="76"/>
      <c r="J24" s="10"/>
      <c r="K24" s="50"/>
      <c r="L24" s="7"/>
      <c r="M24" s="50"/>
      <c r="N24" s="10"/>
      <c r="O24" s="50"/>
      <c r="P24" s="7"/>
      <c r="Q24" s="50"/>
      <c r="R24" s="7"/>
      <c r="S24" s="50"/>
      <c r="T24" s="7"/>
      <c r="U24" s="50"/>
    </row>
    <row r="25" spans="1:28" ht="24" customHeight="1" x14ac:dyDescent="0.3">
      <c r="A25" s="230"/>
      <c r="B25" s="3" t="s">
        <v>76</v>
      </c>
      <c r="C25" s="7"/>
      <c r="D25" s="7"/>
      <c r="E25" s="50"/>
      <c r="F25" s="50"/>
      <c r="G25" s="116"/>
      <c r="H25" s="7"/>
      <c r="I25" s="50"/>
      <c r="J25" s="10"/>
      <c r="K25" s="50"/>
      <c r="L25" s="7"/>
      <c r="M25" s="50"/>
      <c r="N25" s="10"/>
      <c r="O25" s="50"/>
      <c r="P25" s="7"/>
      <c r="Q25" s="50"/>
      <c r="R25" s="7"/>
      <c r="S25" s="50"/>
      <c r="T25" s="7"/>
      <c r="U25" s="50"/>
      <c r="Y25" s="82"/>
    </row>
    <row r="26" spans="1:28" ht="24" customHeight="1" x14ac:dyDescent="0.3">
      <c r="A26" s="230"/>
      <c r="B26" s="3" t="s">
        <v>89</v>
      </c>
      <c r="C26" s="7"/>
      <c r="D26" s="7"/>
      <c r="E26" s="50"/>
      <c r="F26" s="50"/>
      <c r="G26" s="116"/>
      <c r="H26" s="7"/>
      <c r="I26" s="50"/>
      <c r="J26" s="10"/>
      <c r="K26" s="50"/>
      <c r="L26" s="7"/>
      <c r="M26" s="50"/>
      <c r="N26" s="10"/>
      <c r="O26" s="50"/>
      <c r="P26" s="7"/>
      <c r="Q26" s="50"/>
      <c r="R26" s="7"/>
      <c r="S26" s="50"/>
      <c r="T26" s="7"/>
      <c r="U26" s="50"/>
      <c r="Y26" s="82"/>
    </row>
    <row r="27" spans="1:28" ht="24" customHeight="1" x14ac:dyDescent="0.3">
      <c r="A27" s="230"/>
      <c r="B27" s="3" t="s">
        <v>90</v>
      </c>
      <c r="C27" s="7"/>
      <c r="D27" s="7"/>
      <c r="E27" s="50"/>
      <c r="F27" s="50"/>
      <c r="G27" s="116"/>
      <c r="H27" s="7"/>
      <c r="I27" s="50"/>
      <c r="J27" s="10"/>
      <c r="K27" s="50"/>
      <c r="L27" s="7"/>
      <c r="M27" s="50"/>
      <c r="N27" s="10"/>
      <c r="O27" s="50"/>
      <c r="P27" s="7"/>
      <c r="Q27" s="50"/>
      <c r="R27" s="7"/>
      <c r="S27" s="50"/>
      <c r="T27" s="7"/>
      <c r="U27" s="50"/>
      <c r="Y27" s="82"/>
    </row>
    <row r="28" spans="1:28" ht="24" customHeight="1" x14ac:dyDescent="0.3">
      <c r="A28" s="230"/>
      <c r="B28" s="3" t="s">
        <v>49</v>
      </c>
      <c r="C28" s="7"/>
      <c r="D28" s="7"/>
      <c r="E28" s="50"/>
      <c r="F28" s="50"/>
      <c r="G28" s="116"/>
      <c r="H28" s="7"/>
      <c r="I28" s="50"/>
      <c r="J28" s="86"/>
      <c r="K28" s="50"/>
      <c r="L28" s="7"/>
      <c r="M28" s="50"/>
      <c r="N28" s="10"/>
      <c r="O28" s="50"/>
      <c r="P28" s="7"/>
      <c r="Q28" s="50"/>
      <c r="R28" s="7"/>
      <c r="S28" s="50"/>
      <c r="T28" s="7"/>
      <c r="U28" s="50"/>
      <c r="X28" s="232"/>
      <c r="Y28" s="232"/>
      <c r="Z28" s="232"/>
      <c r="AA28" s="232"/>
      <c r="AB28" s="232"/>
    </row>
    <row r="29" spans="1:28" ht="24" customHeight="1" x14ac:dyDescent="0.3">
      <c r="A29" s="230"/>
      <c r="B29" s="3" t="s">
        <v>74</v>
      </c>
      <c r="C29" s="7"/>
      <c r="D29" s="7"/>
      <c r="E29" s="50"/>
      <c r="F29" s="50"/>
      <c r="H29" s="7"/>
      <c r="I29" s="50"/>
      <c r="J29" s="10"/>
      <c r="K29" s="50"/>
      <c r="L29" s="7"/>
      <c r="M29" s="50"/>
      <c r="N29" s="10"/>
      <c r="O29" s="50"/>
      <c r="P29" s="7"/>
      <c r="Q29" s="50"/>
      <c r="R29" s="7"/>
      <c r="S29" s="50"/>
      <c r="T29" s="7"/>
      <c r="U29" s="50"/>
    </row>
    <row r="30" spans="1:28" ht="24" customHeight="1" x14ac:dyDescent="0.3">
      <c r="A30" s="230"/>
      <c r="B30" s="3" t="s">
        <v>55</v>
      </c>
      <c r="C30" s="7"/>
      <c r="D30" s="7"/>
      <c r="E30" s="50"/>
      <c r="F30" s="50"/>
      <c r="G30" s="116"/>
      <c r="H30" s="7"/>
      <c r="I30" s="50"/>
      <c r="J30" s="10"/>
      <c r="K30" s="50"/>
      <c r="L30" s="7"/>
      <c r="M30" s="50"/>
      <c r="N30" s="10"/>
      <c r="O30" s="50"/>
      <c r="P30" s="7"/>
      <c r="Q30" s="50"/>
      <c r="R30" s="7"/>
      <c r="S30" s="50"/>
      <c r="T30" s="7"/>
      <c r="U30" s="50"/>
    </row>
    <row r="31" spans="1:28" ht="27" thickBot="1" x14ac:dyDescent="0.35">
      <c r="A31" s="231"/>
      <c r="B31" s="31"/>
      <c r="C31" s="31">
        <f>SUM(C4:C30)</f>
        <v>0</v>
      </c>
      <c r="D31" s="31">
        <f>SUM(D4:D30)</f>
        <v>0</v>
      </c>
      <c r="E31" s="31">
        <f>SUM(E4:E30)</f>
        <v>0</v>
      </c>
      <c r="F31" s="31">
        <f>SUM(F4:F30)</f>
        <v>0</v>
      </c>
      <c r="G31" s="116"/>
      <c r="H31" s="2">
        <f t="shared" ref="H31:U31" si="1">SUM(H4:H30)</f>
        <v>0</v>
      </c>
      <c r="I31" s="2">
        <f t="shared" si="1"/>
        <v>0</v>
      </c>
      <c r="J31" s="2">
        <f t="shared" si="1"/>
        <v>0</v>
      </c>
      <c r="K31" s="2">
        <f t="shared" si="1"/>
        <v>0</v>
      </c>
      <c r="L31" s="2">
        <f t="shared" si="1"/>
        <v>0</v>
      </c>
      <c r="M31" s="2">
        <f t="shared" si="1"/>
        <v>0</v>
      </c>
      <c r="N31" s="2">
        <f t="shared" si="1"/>
        <v>0</v>
      </c>
      <c r="O31" s="2">
        <f t="shared" si="1"/>
        <v>0</v>
      </c>
      <c r="P31" s="2">
        <f t="shared" si="1"/>
        <v>0</v>
      </c>
      <c r="Q31" s="2">
        <f t="shared" si="1"/>
        <v>0</v>
      </c>
      <c r="R31" s="2">
        <f t="shared" si="1"/>
        <v>0</v>
      </c>
      <c r="S31" s="2">
        <f t="shared" si="1"/>
        <v>0</v>
      </c>
      <c r="T31" s="2">
        <f t="shared" si="1"/>
        <v>0</v>
      </c>
      <c r="U31" s="2">
        <f t="shared" si="1"/>
        <v>0</v>
      </c>
      <c r="W31" s="35"/>
      <c r="X31" s="18"/>
      <c r="Y31" s="18"/>
    </row>
    <row r="32" spans="1:28" ht="24" customHeight="1" thickTop="1" x14ac:dyDescent="0.3">
      <c r="A32" s="233" t="s">
        <v>27</v>
      </c>
      <c r="B32" s="23" t="s">
        <v>63</v>
      </c>
      <c r="C32" s="28"/>
      <c r="D32" s="28"/>
      <c r="E32" s="15"/>
      <c r="F32" s="16"/>
      <c r="G32" s="25"/>
      <c r="H32" s="43"/>
      <c r="I32" s="50"/>
      <c r="J32" s="10"/>
      <c r="K32" s="50"/>
      <c r="L32" s="7"/>
      <c r="M32" s="50"/>
      <c r="N32" s="7"/>
      <c r="O32" s="50"/>
      <c r="P32" s="7"/>
      <c r="Q32" s="50"/>
      <c r="R32" s="7"/>
      <c r="S32" s="50"/>
      <c r="T32" s="7"/>
      <c r="U32" s="50"/>
      <c r="W32" s="18"/>
      <c r="X32" s="18"/>
      <c r="Y32" s="18"/>
      <c r="Z32" s="18"/>
      <c r="AA32" s="18"/>
    </row>
    <row r="33" spans="1:27" ht="24" customHeight="1" x14ac:dyDescent="0.3">
      <c r="A33" s="233"/>
      <c r="B33" s="24" t="s">
        <v>94</v>
      </c>
      <c r="C33" s="32"/>
      <c r="D33" s="32"/>
      <c r="E33" s="54"/>
      <c r="F33" s="22"/>
      <c r="G33" s="25"/>
      <c r="H33" s="43"/>
      <c r="I33" s="50"/>
      <c r="J33" s="10"/>
      <c r="K33" s="50"/>
      <c r="L33" s="7"/>
      <c r="M33" s="50"/>
      <c r="N33" s="7"/>
      <c r="O33" s="50"/>
      <c r="P33" s="7"/>
      <c r="Q33" s="50"/>
      <c r="R33" s="7"/>
      <c r="S33" s="50"/>
      <c r="T33" s="7"/>
      <c r="U33" s="50"/>
      <c r="W33" s="18"/>
      <c r="X33" s="18"/>
      <c r="Y33" s="18"/>
      <c r="Z33" s="18"/>
      <c r="AA33" s="18"/>
    </row>
    <row r="34" spans="1:27" ht="24" customHeight="1" x14ac:dyDescent="0.3">
      <c r="A34" s="233"/>
      <c r="B34" s="24" t="s">
        <v>54</v>
      </c>
      <c r="C34" s="32"/>
      <c r="D34" s="32"/>
      <c r="E34" s="54"/>
      <c r="F34" s="22"/>
      <c r="G34" s="25"/>
      <c r="H34" s="10"/>
      <c r="I34" s="50"/>
      <c r="J34" s="10"/>
      <c r="K34" s="50"/>
      <c r="L34" s="7"/>
      <c r="M34" s="50"/>
      <c r="N34" s="7"/>
      <c r="O34" s="50"/>
      <c r="P34" s="7"/>
      <c r="Q34" s="76"/>
      <c r="R34" s="7"/>
      <c r="S34" s="50"/>
      <c r="T34" s="7"/>
      <c r="U34" s="50"/>
      <c r="W34" s="18"/>
      <c r="X34" s="18"/>
      <c r="Y34" s="18"/>
      <c r="Z34" s="18"/>
      <c r="AA34" s="18"/>
    </row>
    <row r="35" spans="1:27" ht="24" customHeight="1" x14ac:dyDescent="0.3">
      <c r="A35" s="233"/>
      <c r="B35" s="24" t="s">
        <v>56</v>
      </c>
      <c r="C35" s="32">
        <v>2</v>
      </c>
      <c r="D35" s="32"/>
      <c r="E35" s="54"/>
      <c r="F35" s="22"/>
      <c r="G35" s="25"/>
      <c r="H35" s="43"/>
      <c r="I35" s="50"/>
      <c r="J35" s="10"/>
      <c r="K35" s="50"/>
      <c r="L35" s="7"/>
      <c r="M35" s="50"/>
      <c r="N35" s="7"/>
      <c r="O35" s="50"/>
      <c r="P35" s="7"/>
      <c r="Q35" s="50"/>
      <c r="R35" s="7"/>
      <c r="S35" s="50"/>
      <c r="T35" s="7"/>
      <c r="U35" s="50"/>
      <c r="W35" s="18"/>
      <c r="X35" s="18"/>
      <c r="Y35" s="18"/>
      <c r="Z35" s="18"/>
      <c r="AA35" s="18"/>
    </row>
    <row r="36" spans="1:27" ht="24" customHeight="1" x14ac:dyDescent="0.3">
      <c r="A36" s="233"/>
      <c r="B36" s="24" t="s">
        <v>78</v>
      </c>
      <c r="C36" s="32"/>
      <c r="D36" s="32"/>
      <c r="E36" s="54"/>
      <c r="F36" s="22"/>
      <c r="G36" s="25"/>
      <c r="H36" s="43"/>
      <c r="I36" s="50"/>
      <c r="J36" s="10"/>
      <c r="K36" s="50"/>
      <c r="L36" s="7"/>
      <c r="M36" s="50"/>
      <c r="N36" s="7"/>
      <c r="O36" s="50"/>
      <c r="P36" s="7"/>
      <c r="Q36" s="50"/>
      <c r="R36" s="7"/>
      <c r="S36" s="50"/>
      <c r="T36" s="7"/>
      <c r="U36" s="50"/>
      <c r="W36" s="18"/>
      <c r="X36" s="18"/>
      <c r="Y36" s="18"/>
      <c r="Z36" s="18"/>
      <c r="AA36" s="18"/>
    </row>
    <row r="37" spans="1:27" ht="24" customHeight="1" x14ac:dyDescent="0.3">
      <c r="A37" s="233"/>
      <c r="B37" s="24" t="s">
        <v>53</v>
      </c>
      <c r="C37" s="32"/>
      <c r="D37" s="32"/>
      <c r="E37" s="54"/>
      <c r="F37" s="22"/>
      <c r="G37" s="25"/>
      <c r="H37" s="43"/>
      <c r="I37" s="50"/>
      <c r="J37" s="10"/>
      <c r="K37" s="50"/>
      <c r="L37" s="7"/>
      <c r="M37" s="50"/>
      <c r="N37" s="7"/>
      <c r="O37" s="50"/>
      <c r="P37" s="7"/>
      <c r="Q37" s="50"/>
      <c r="R37" s="7"/>
      <c r="S37" s="50"/>
      <c r="T37" s="7"/>
      <c r="U37" s="50"/>
      <c r="W37" s="18"/>
      <c r="X37" s="18"/>
      <c r="Y37" s="18"/>
      <c r="Z37" s="18"/>
      <c r="AA37" s="18"/>
    </row>
    <row r="38" spans="1:27" ht="24" customHeight="1" x14ac:dyDescent="0.3">
      <c r="A38" s="233"/>
      <c r="B38" s="24" t="s">
        <v>66</v>
      </c>
      <c r="C38" s="32"/>
      <c r="D38" s="32"/>
      <c r="E38" s="54"/>
      <c r="F38" s="22"/>
      <c r="G38" s="25"/>
      <c r="H38" s="43"/>
      <c r="I38" s="50"/>
      <c r="J38" s="10"/>
      <c r="K38" s="50"/>
      <c r="L38" s="7"/>
      <c r="M38" s="50"/>
      <c r="N38" s="7"/>
      <c r="O38" s="50"/>
      <c r="P38" s="7"/>
      <c r="Q38" s="50"/>
      <c r="R38" s="7"/>
      <c r="S38" s="50"/>
      <c r="T38" s="7"/>
      <c r="U38" s="50"/>
      <c r="W38" s="18"/>
      <c r="X38" s="18"/>
      <c r="Y38" s="18"/>
      <c r="Z38" s="18"/>
      <c r="AA38" s="18"/>
    </row>
    <row r="39" spans="1:27" ht="24" customHeight="1" x14ac:dyDescent="0.3">
      <c r="A39" s="233"/>
      <c r="B39" s="24" t="s">
        <v>70</v>
      </c>
      <c r="C39" s="32"/>
      <c r="D39" s="32"/>
      <c r="E39" s="54"/>
      <c r="F39" s="22"/>
      <c r="G39" s="25"/>
      <c r="H39" s="43"/>
      <c r="I39" s="50"/>
      <c r="J39" s="10"/>
      <c r="K39" s="50"/>
      <c r="L39" s="7"/>
      <c r="M39" s="50"/>
      <c r="N39" s="7"/>
      <c r="O39" s="50"/>
      <c r="P39" s="7"/>
      <c r="Q39" s="50"/>
      <c r="R39" s="7"/>
      <c r="S39" s="50"/>
      <c r="T39" s="7"/>
      <c r="U39" s="50"/>
      <c r="W39" s="18"/>
      <c r="X39" s="18"/>
      <c r="Y39" s="18"/>
      <c r="Z39" s="18"/>
      <c r="AA39" s="18"/>
    </row>
    <row r="40" spans="1:27" ht="24" customHeight="1" x14ac:dyDescent="0.3">
      <c r="A40" s="233"/>
      <c r="B40" s="24" t="s">
        <v>58</v>
      </c>
      <c r="C40" s="32"/>
      <c r="D40" s="32"/>
      <c r="E40" s="54"/>
      <c r="F40" s="22"/>
      <c r="G40" s="25"/>
      <c r="H40" s="7"/>
      <c r="I40" s="50"/>
      <c r="J40" s="10"/>
      <c r="K40" s="50"/>
      <c r="L40" s="7"/>
      <c r="M40" s="50"/>
      <c r="N40" s="7"/>
      <c r="O40" s="50"/>
      <c r="P40" s="7"/>
      <c r="Q40" s="50"/>
      <c r="R40" s="7"/>
      <c r="S40" s="50"/>
      <c r="T40" s="7"/>
      <c r="U40" s="50"/>
      <c r="W40" s="18"/>
      <c r="X40" s="18"/>
      <c r="Y40" s="18"/>
      <c r="Z40" s="18"/>
      <c r="AA40" s="18"/>
    </row>
    <row r="41" spans="1:27" ht="24" customHeight="1" x14ac:dyDescent="0.3">
      <c r="A41" s="233"/>
      <c r="B41" s="24" t="s">
        <v>71</v>
      </c>
      <c r="C41" s="32"/>
      <c r="D41" s="32"/>
      <c r="E41" s="54"/>
      <c r="F41" s="22"/>
      <c r="G41" s="25"/>
      <c r="H41" s="43"/>
      <c r="I41" s="50"/>
      <c r="J41" s="10"/>
      <c r="K41" s="50"/>
      <c r="L41" s="7"/>
      <c r="M41" s="50"/>
      <c r="N41" s="7"/>
      <c r="O41" s="50"/>
      <c r="P41" s="7"/>
      <c r="Q41" s="50"/>
      <c r="R41" s="7"/>
      <c r="S41" s="50"/>
      <c r="T41" s="7"/>
      <c r="U41" s="50"/>
      <c r="W41" s="18"/>
      <c r="X41" s="18"/>
      <c r="Y41" s="18"/>
      <c r="Z41" s="18"/>
      <c r="AA41" s="18"/>
    </row>
    <row r="42" spans="1:27" ht="24" customHeight="1" x14ac:dyDescent="0.3">
      <c r="A42" s="233"/>
      <c r="B42" s="24" t="s">
        <v>77</v>
      </c>
      <c r="C42" s="32">
        <v>1</v>
      </c>
      <c r="D42" s="32"/>
      <c r="E42" s="54"/>
      <c r="F42" s="22"/>
      <c r="G42" s="25"/>
      <c r="H42" s="7"/>
      <c r="I42" s="50"/>
      <c r="J42" s="10"/>
      <c r="K42" s="50"/>
      <c r="L42" s="7"/>
      <c r="M42" s="50"/>
      <c r="N42" s="7"/>
      <c r="O42" s="50"/>
      <c r="P42" s="7"/>
      <c r="Q42" s="50"/>
      <c r="R42" s="7"/>
      <c r="S42" s="50"/>
      <c r="T42" s="7"/>
      <c r="U42" s="50"/>
      <c r="W42" s="18"/>
      <c r="X42" s="18"/>
      <c r="Y42" s="18"/>
      <c r="Z42" s="18"/>
      <c r="AA42" s="18"/>
    </row>
    <row r="43" spans="1:27" ht="24" customHeight="1" x14ac:dyDescent="0.3">
      <c r="A43" s="233"/>
      <c r="B43" s="24" t="s">
        <v>57</v>
      </c>
      <c r="C43" s="32"/>
      <c r="D43" s="56"/>
      <c r="E43" s="54"/>
      <c r="F43" s="22"/>
      <c r="G43" s="25"/>
      <c r="H43" s="43"/>
      <c r="I43" s="50"/>
      <c r="J43" s="10"/>
      <c r="K43" s="50"/>
      <c r="L43" s="7"/>
      <c r="M43" s="50"/>
      <c r="N43" s="7"/>
      <c r="O43" s="50"/>
      <c r="P43" s="7"/>
      <c r="Q43" s="76"/>
      <c r="R43" s="7"/>
      <c r="S43" s="50"/>
      <c r="T43" s="7"/>
      <c r="U43" s="50"/>
      <c r="W43" s="18"/>
      <c r="X43" s="18"/>
      <c r="Y43" s="18"/>
      <c r="Z43" s="18"/>
      <c r="AA43" s="18"/>
    </row>
    <row r="44" spans="1:27" ht="24" customHeight="1" x14ac:dyDescent="0.3">
      <c r="A44" s="233"/>
      <c r="B44" s="24" t="s">
        <v>68</v>
      </c>
      <c r="C44" s="32"/>
      <c r="D44" s="32"/>
      <c r="E44" s="54"/>
      <c r="F44" s="22"/>
      <c r="G44" s="25"/>
      <c r="H44" s="43"/>
      <c r="I44" s="50"/>
      <c r="J44" s="10"/>
      <c r="K44" s="50"/>
      <c r="L44" s="7"/>
      <c r="M44" s="50"/>
      <c r="N44" s="7"/>
      <c r="O44" s="50"/>
      <c r="P44" s="7"/>
      <c r="Q44" s="50"/>
      <c r="R44" s="7"/>
      <c r="S44" s="50"/>
      <c r="T44" s="7"/>
      <c r="U44" s="50"/>
      <c r="W44" s="18"/>
      <c r="X44" s="18"/>
      <c r="Y44" s="18"/>
      <c r="Z44" s="18"/>
      <c r="AA44" s="18"/>
    </row>
    <row r="45" spans="1:27" ht="24" customHeight="1" x14ac:dyDescent="0.3">
      <c r="A45" s="233"/>
      <c r="B45" s="24" t="s">
        <v>65</v>
      </c>
      <c r="C45" s="32"/>
      <c r="D45" s="32"/>
      <c r="E45" s="101"/>
      <c r="F45" s="22"/>
      <c r="G45" s="25"/>
      <c r="H45" s="43"/>
      <c r="I45" s="50"/>
      <c r="J45" s="10"/>
      <c r="K45" s="50"/>
      <c r="L45" s="7"/>
      <c r="M45" s="50"/>
      <c r="N45" s="7"/>
      <c r="O45" s="50"/>
      <c r="P45" s="7"/>
      <c r="Q45" s="50"/>
      <c r="R45" s="7"/>
      <c r="S45" s="50"/>
      <c r="T45" s="7"/>
      <c r="U45" s="50"/>
      <c r="W45" s="18"/>
      <c r="X45" s="18"/>
      <c r="Y45" s="18"/>
      <c r="Z45" s="18"/>
      <c r="AA45" s="18"/>
    </row>
    <row r="46" spans="1:27" ht="24" customHeight="1" x14ac:dyDescent="0.3">
      <c r="A46" s="233"/>
      <c r="B46" s="24" t="s">
        <v>67</v>
      </c>
      <c r="C46" s="32"/>
      <c r="D46" s="32"/>
      <c r="E46" s="54"/>
      <c r="F46" s="22"/>
      <c r="G46" s="25"/>
      <c r="H46" s="43"/>
      <c r="I46" s="50"/>
      <c r="J46" s="10"/>
      <c r="K46" s="50"/>
      <c r="L46" s="7"/>
      <c r="M46" s="50"/>
      <c r="N46" s="7"/>
      <c r="O46" s="50"/>
      <c r="P46" s="7"/>
      <c r="Q46" s="50"/>
      <c r="R46" s="7"/>
      <c r="S46" s="50"/>
      <c r="T46" s="7"/>
      <c r="U46" s="50"/>
      <c r="W46" s="18"/>
      <c r="X46" s="18"/>
      <c r="Y46" s="18"/>
      <c r="Z46" s="18"/>
      <c r="AA46" s="18"/>
    </row>
    <row r="47" spans="1:27" ht="24" customHeight="1" x14ac:dyDescent="0.3">
      <c r="A47" s="233"/>
      <c r="B47" s="24" t="s">
        <v>69</v>
      </c>
      <c r="C47" s="32">
        <v>1</v>
      </c>
      <c r="D47" s="32"/>
      <c r="E47" s="54"/>
      <c r="F47" s="22"/>
      <c r="G47" s="25"/>
      <c r="H47" s="43"/>
      <c r="I47" s="50"/>
      <c r="J47" s="10"/>
      <c r="K47" s="50"/>
      <c r="L47" s="7"/>
      <c r="M47" s="50"/>
      <c r="N47" s="7"/>
      <c r="O47" s="50"/>
      <c r="P47" s="7"/>
      <c r="Q47" s="50"/>
      <c r="R47" s="7"/>
      <c r="S47" s="50"/>
      <c r="T47" s="7"/>
      <c r="U47" s="50"/>
      <c r="W47" s="18"/>
      <c r="X47" s="18"/>
      <c r="Y47" s="18"/>
      <c r="Z47" s="18"/>
      <c r="AA47" s="18"/>
    </row>
    <row r="48" spans="1:27" ht="24" customHeight="1" x14ac:dyDescent="0.3">
      <c r="A48" s="233"/>
      <c r="B48" s="24" t="s">
        <v>80</v>
      </c>
      <c r="C48" s="32"/>
      <c r="D48" s="32"/>
      <c r="E48" s="54"/>
      <c r="F48" s="22"/>
      <c r="G48" s="25"/>
      <c r="H48" s="7"/>
      <c r="I48" s="50"/>
      <c r="J48" s="10"/>
      <c r="K48" s="50"/>
      <c r="L48" s="7"/>
      <c r="M48" s="50"/>
      <c r="N48" s="7"/>
      <c r="O48" s="50"/>
      <c r="P48" s="7"/>
      <c r="Q48" s="50"/>
      <c r="R48" s="7"/>
      <c r="S48" s="50"/>
      <c r="T48" s="7"/>
      <c r="U48" s="50"/>
      <c r="W48" s="18"/>
      <c r="X48" s="18"/>
      <c r="Y48" s="18"/>
      <c r="Z48" s="18"/>
      <c r="AA48" s="18"/>
    </row>
    <row r="49" spans="1:27" ht="24" customHeight="1" x14ac:dyDescent="0.3">
      <c r="A49" s="233"/>
      <c r="B49" s="24" t="s">
        <v>64</v>
      </c>
      <c r="C49" s="32"/>
      <c r="D49" s="32"/>
      <c r="E49" s="54"/>
      <c r="F49" s="22"/>
      <c r="G49" s="25"/>
      <c r="H49" s="10"/>
      <c r="I49" s="50"/>
      <c r="J49" s="10"/>
      <c r="K49" s="50"/>
      <c r="L49" s="7"/>
      <c r="M49" s="50"/>
      <c r="N49" s="7"/>
      <c r="O49" s="50"/>
      <c r="P49" s="7"/>
      <c r="Q49" s="50"/>
      <c r="R49" s="7"/>
      <c r="S49" s="50"/>
      <c r="T49" s="7"/>
      <c r="U49" s="50"/>
      <c r="W49" s="18"/>
      <c r="X49" s="18"/>
      <c r="Y49" s="18"/>
      <c r="Z49" s="18"/>
      <c r="AA49" s="18"/>
    </row>
    <row r="50" spans="1:27" ht="24" customHeight="1" x14ac:dyDescent="0.3">
      <c r="A50" s="233"/>
      <c r="B50" s="24" t="s">
        <v>59</v>
      </c>
      <c r="C50" s="32"/>
      <c r="D50" s="32"/>
      <c r="E50" s="54"/>
      <c r="F50" s="22"/>
      <c r="G50" s="25"/>
      <c r="H50" s="10"/>
      <c r="I50" s="50"/>
      <c r="J50" s="10"/>
      <c r="K50" s="50"/>
      <c r="L50" s="7"/>
      <c r="M50" s="50"/>
      <c r="N50" s="7"/>
      <c r="O50" s="50"/>
      <c r="P50" s="7"/>
      <c r="Q50" s="50"/>
      <c r="R50" s="7"/>
      <c r="S50" s="50"/>
      <c r="T50" s="7"/>
      <c r="U50" s="50"/>
      <c r="W50" s="18"/>
      <c r="X50" s="18"/>
      <c r="Y50" s="18"/>
      <c r="Z50" s="18"/>
      <c r="AA50" s="18"/>
    </row>
    <row r="51" spans="1:27" ht="24" customHeight="1" x14ac:dyDescent="0.3">
      <c r="A51" s="233"/>
      <c r="B51" s="24" t="s">
        <v>79</v>
      </c>
      <c r="C51" s="32"/>
      <c r="D51" s="32"/>
      <c r="E51" s="54"/>
      <c r="F51" s="22"/>
      <c r="G51" s="25"/>
      <c r="H51" s="7"/>
      <c r="I51" s="50"/>
      <c r="J51" s="10"/>
      <c r="K51" s="50"/>
      <c r="L51" s="7"/>
      <c r="M51" s="50"/>
      <c r="N51" s="7"/>
      <c r="O51" s="50"/>
      <c r="P51" s="7"/>
      <c r="Q51" s="50"/>
      <c r="R51" s="7"/>
      <c r="S51" s="50"/>
      <c r="T51" s="7"/>
      <c r="U51" s="50"/>
      <c r="W51" s="18"/>
      <c r="X51" s="18"/>
      <c r="Y51" s="18"/>
      <c r="Z51" s="18"/>
      <c r="AA51" s="18"/>
    </row>
    <row r="52" spans="1:27" ht="24" customHeight="1" x14ac:dyDescent="0.3">
      <c r="A52" s="233"/>
      <c r="B52" s="24" t="s">
        <v>60</v>
      </c>
      <c r="C52" s="32"/>
      <c r="D52" s="32"/>
      <c r="E52" s="54"/>
      <c r="F52" s="22"/>
      <c r="G52" s="25"/>
      <c r="H52" s="7"/>
      <c r="I52" s="50"/>
      <c r="J52" s="10"/>
      <c r="K52" s="50"/>
      <c r="L52" s="7"/>
      <c r="M52" s="50"/>
      <c r="N52" s="7"/>
      <c r="O52" s="50"/>
      <c r="P52" s="7"/>
      <c r="Q52" s="50"/>
      <c r="R52" s="7"/>
      <c r="S52" s="50"/>
      <c r="T52" s="7"/>
      <c r="U52" s="50"/>
      <c r="W52" s="18"/>
      <c r="X52" s="18"/>
      <c r="Y52" s="18"/>
      <c r="Z52" s="18"/>
      <c r="AA52" s="18"/>
    </row>
    <row r="53" spans="1:27" ht="24" customHeight="1" x14ac:dyDescent="0.3">
      <c r="A53" s="233"/>
      <c r="B53" s="24" t="s">
        <v>61</v>
      </c>
      <c r="C53" s="32"/>
      <c r="D53" s="32"/>
      <c r="E53" s="54"/>
      <c r="F53" s="22"/>
      <c r="G53" s="25"/>
      <c r="H53" s="43"/>
      <c r="I53" s="50"/>
      <c r="J53" s="10"/>
      <c r="K53" s="50"/>
      <c r="L53" s="7"/>
      <c r="M53" s="50"/>
      <c r="N53" s="7"/>
      <c r="O53" s="50"/>
      <c r="P53" s="7"/>
      <c r="Q53" s="50"/>
      <c r="R53" s="7"/>
      <c r="S53" s="50"/>
      <c r="T53" s="7"/>
      <c r="U53" s="50"/>
      <c r="W53" s="18"/>
      <c r="X53" s="18"/>
      <c r="Y53" s="18"/>
      <c r="Z53" s="18"/>
      <c r="AA53" s="18"/>
    </row>
    <row r="54" spans="1:27" ht="24" customHeight="1" x14ac:dyDescent="0.3">
      <c r="A54" s="233"/>
      <c r="B54" s="24" t="s">
        <v>84</v>
      </c>
      <c r="C54" s="32"/>
      <c r="D54" s="32"/>
      <c r="E54" s="54"/>
      <c r="F54" s="22"/>
      <c r="G54" s="25"/>
      <c r="H54" s="7"/>
      <c r="I54" s="50"/>
      <c r="J54" s="10"/>
      <c r="K54" s="50"/>
      <c r="L54" s="7"/>
      <c r="M54" s="50"/>
      <c r="N54" s="7"/>
      <c r="O54" s="50"/>
      <c r="P54" s="7"/>
      <c r="Q54" s="50"/>
      <c r="R54" s="7"/>
      <c r="S54" s="50"/>
      <c r="T54" s="7"/>
      <c r="U54" s="50"/>
      <c r="W54" s="18"/>
      <c r="X54" s="18"/>
      <c r="Y54" s="18"/>
      <c r="Z54" s="18"/>
      <c r="AA54" s="18"/>
    </row>
    <row r="55" spans="1:27" ht="24" customHeight="1" x14ac:dyDescent="0.3">
      <c r="A55" s="233"/>
      <c r="B55" s="74" t="s">
        <v>47</v>
      </c>
      <c r="C55" s="32"/>
      <c r="D55" s="32"/>
      <c r="E55" s="54"/>
      <c r="F55" s="22"/>
      <c r="G55" s="25"/>
      <c r="H55" s="7"/>
      <c r="I55" s="50"/>
      <c r="J55" s="10"/>
      <c r="K55" s="50"/>
      <c r="L55" s="7"/>
      <c r="M55" s="50"/>
      <c r="N55" s="7"/>
      <c r="O55" s="50"/>
      <c r="P55" s="7"/>
      <c r="Q55" s="50"/>
      <c r="R55" s="7"/>
      <c r="S55" s="50"/>
      <c r="T55" s="7"/>
      <c r="U55" s="50"/>
      <c r="W55" s="18"/>
      <c r="X55" s="18"/>
      <c r="Y55" s="18"/>
      <c r="Z55" s="18"/>
      <c r="AA55" s="18"/>
    </row>
    <row r="56" spans="1:27" ht="24" customHeight="1" x14ac:dyDescent="0.3">
      <c r="A56" s="233"/>
      <c r="B56" s="74" t="s">
        <v>92</v>
      </c>
      <c r="C56" s="32"/>
      <c r="D56" s="32"/>
      <c r="E56" s="54"/>
      <c r="F56" s="22"/>
      <c r="G56" s="25"/>
      <c r="H56" s="7"/>
      <c r="I56" s="50"/>
      <c r="J56" s="10"/>
      <c r="K56" s="50"/>
      <c r="L56" s="7"/>
      <c r="M56" s="50"/>
      <c r="N56" s="7"/>
      <c r="O56" s="50"/>
      <c r="P56" s="7"/>
      <c r="Q56" s="50"/>
      <c r="R56" s="7"/>
      <c r="S56" s="50"/>
      <c r="T56" s="7"/>
      <c r="U56" s="50"/>
      <c r="W56" s="18"/>
      <c r="X56" s="18"/>
      <c r="Y56" s="18"/>
      <c r="Z56" s="18"/>
      <c r="AA56" s="18"/>
    </row>
    <row r="57" spans="1:27" ht="24" customHeight="1" x14ac:dyDescent="0.3">
      <c r="A57" s="233"/>
      <c r="B57" s="74" t="s">
        <v>45</v>
      </c>
      <c r="C57" s="32"/>
      <c r="D57" s="32"/>
      <c r="E57" s="54"/>
      <c r="F57" s="22"/>
      <c r="G57" s="25"/>
      <c r="H57" s="7"/>
      <c r="I57" s="50"/>
      <c r="J57" s="10"/>
      <c r="K57" s="50"/>
      <c r="L57" s="7"/>
      <c r="M57" s="50"/>
      <c r="N57" s="7"/>
      <c r="O57" s="50"/>
      <c r="P57" s="7"/>
      <c r="Q57" s="50"/>
      <c r="R57" s="7"/>
      <c r="S57" s="50"/>
      <c r="T57" s="7"/>
      <c r="U57" s="50"/>
      <c r="W57" s="18"/>
      <c r="X57" s="18"/>
      <c r="Y57" s="18"/>
      <c r="Z57" s="18"/>
      <c r="AA57" s="18"/>
    </row>
    <row r="58" spans="1:27" ht="27" thickBot="1" x14ac:dyDescent="0.35">
      <c r="A58" s="233"/>
      <c r="B58" s="26"/>
      <c r="C58" s="27">
        <f>SUM(C32:C57)</f>
        <v>4</v>
      </c>
      <c r="D58" s="27">
        <f>SUM(D32:D57)</f>
        <v>0</v>
      </c>
      <c r="E58" s="27">
        <f>SUM(E32:E57)</f>
        <v>0</v>
      </c>
      <c r="F58" s="27">
        <f>SUM(F32:F57)</f>
        <v>0</v>
      </c>
      <c r="G58" s="116"/>
      <c r="H58" s="2">
        <f t="shared" ref="H58:U58" si="2">SUM(H32:H57)</f>
        <v>0</v>
      </c>
      <c r="I58" s="2">
        <f t="shared" si="2"/>
        <v>0</v>
      </c>
      <c r="J58" s="2">
        <f t="shared" si="2"/>
        <v>0</v>
      </c>
      <c r="K58" s="2">
        <f t="shared" si="2"/>
        <v>0</v>
      </c>
      <c r="L58" s="2">
        <f t="shared" si="2"/>
        <v>0</v>
      </c>
      <c r="M58" s="2">
        <f t="shared" si="2"/>
        <v>0</v>
      </c>
      <c r="N58" s="2">
        <f t="shared" si="2"/>
        <v>0</v>
      </c>
      <c r="O58" s="2">
        <f t="shared" si="2"/>
        <v>0</v>
      </c>
      <c r="P58" s="2">
        <f t="shared" si="2"/>
        <v>0</v>
      </c>
      <c r="Q58" s="2">
        <f t="shared" si="2"/>
        <v>0</v>
      </c>
      <c r="R58" s="2">
        <f t="shared" si="2"/>
        <v>0</v>
      </c>
      <c r="S58" s="2">
        <f t="shared" si="2"/>
        <v>0</v>
      </c>
      <c r="T58" s="2">
        <f t="shared" si="2"/>
        <v>0</v>
      </c>
      <c r="U58" s="2">
        <f t="shared" si="2"/>
        <v>0</v>
      </c>
    </row>
    <row r="59" spans="1:27" ht="24" customHeight="1" thickTop="1" x14ac:dyDescent="0.3">
      <c r="A59" s="252" t="s">
        <v>13</v>
      </c>
      <c r="B59" s="3" t="s">
        <v>28</v>
      </c>
      <c r="C59" s="7"/>
      <c r="D59" s="7"/>
      <c r="E59" s="50"/>
      <c r="F59" s="50"/>
      <c r="G59" s="116"/>
      <c r="H59" s="7"/>
      <c r="I59" s="50"/>
      <c r="J59" s="10"/>
      <c r="K59" s="50"/>
      <c r="L59" s="7"/>
      <c r="M59" s="50"/>
      <c r="N59" s="7"/>
      <c r="O59" s="50"/>
      <c r="P59" s="7"/>
      <c r="Q59" s="50"/>
      <c r="R59" s="7"/>
      <c r="S59" s="50"/>
      <c r="T59" s="7"/>
      <c r="U59" s="50"/>
    </row>
    <row r="60" spans="1:27" ht="24" customHeight="1" x14ac:dyDescent="0.3">
      <c r="A60" s="252"/>
      <c r="B60" s="3" t="s">
        <v>29</v>
      </c>
      <c r="C60" s="7"/>
      <c r="D60" s="7"/>
      <c r="E60" s="50"/>
      <c r="F60" s="50"/>
      <c r="G60" s="116"/>
      <c r="H60" s="7"/>
      <c r="I60" s="50"/>
      <c r="J60" s="10"/>
      <c r="K60" s="50"/>
      <c r="L60" s="7"/>
      <c r="M60" s="50"/>
      <c r="N60" s="7"/>
      <c r="O60" s="50"/>
      <c r="P60" s="7"/>
      <c r="Q60" s="50"/>
      <c r="R60" s="7"/>
      <c r="S60" s="50"/>
      <c r="T60" s="7"/>
      <c r="U60" s="50"/>
    </row>
    <row r="61" spans="1:27" ht="24" customHeight="1" x14ac:dyDescent="0.3">
      <c r="A61" s="252"/>
      <c r="B61" s="3" t="s">
        <v>35</v>
      </c>
      <c r="C61" s="7"/>
      <c r="D61" s="7"/>
      <c r="E61" s="50"/>
      <c r="F61" s="50"/>
      <c r="G61" s="116"/>
      <c r="H61" s="7"/>
      <c r="I61" s="50"/>
      <c r="J61" s="10"/>
      <c r="K61" s="50"/>
      <c r="L61" s="7"/>
      <c r="M61" s="50"/>
      <c r="N61" s="7"/>
      <c r="O61" s="50"/>
      <c r="P61" s="7"/>
      <c r="Q61" s="50"/>
      <c r="R61" s="7"/>
      <c r="S61" s="50"/>
      <c r="T61" s="7"/>
      <c r="U61" s="50"/>
    </row>
    <row r="62" spans="1:27" ht="24" customHeight="1" x14ac:dyDescent="0.3">
      <c r="A62" s="252"/>
      <c r="B62" s="3" t="s">
        <v>33</v>
      </c>
      <c r="C62" s="7"/>
      <c r="D62" s="7"/>
      <c r="E62" s="50"/>
      <c r="F62" s="50"/>
      <c r="G62" s="116"/>
      <c r="H62" s="7"/>
      <c r="I62" s="50"/>
      <c r="J62" s="10"/>
      <c r="K62" s="50"/>
      <c r="L62" s="7"/>
      <c r="M62" s="50"/>
      <c r="N62" s="7"/>
      <c r="O62" s="50"/>
      <c r="P62" s="7"/>
      <c r="Q62" s="50"/>
      <c r="R62" s="7"/>
      <c r="S62" s="50"/>
      <c r="T62" s="7"/>
      <c r="U62" s="50"/>
    </row>
    <row r="63" spans="1:27" ht="24" customHeight="1" x14ac:dyDescent="0.3">
      <c r="A63" s="252"/>
      <c r="B63" s="3" t="s">
        <v>30</v>
      </c>
      <c r="C63" s="7"/>
      <c r="D63" s="7"/>
      <c r="E63" s="50"/>
      <c r="F63" s="50"/>
      <c r="G63" s="116"/>
      <c r="H63" s="7"/>
      <c r="I63" s="50"/>
      <c r="J63" s="10"/>
      <c r="K63" s="50"/>
      <c r="L63" s="7"/>
      <c r="M63" s="50"/>
      <c r="N63" s="7"/>
      <c r="O63" s="50"/>
      <c r="P63" s="7"/>
      <c r="Q63" s="50"/>
      <c r="R63" s="7"/>
      <c r="S63" s="50"/>
      <c r="T63" s="7"/>
      <c r="U63" s="50"/>
    </row>
    <row r="64" spans="1:27" ht="24" customHeight="1" x14ac:dyDescent="0.3">
      <c r="A64" s="252"/>
      <c r="B64" s="3" t="s">
        <v>31</v>
      </c>
      <c r="C64" s="7"/>
      <c r="D64" s="7"/>
      <c r="E64" s="50"/>
      <c r="F64" s="50"/>
      <c r="G64" s="116"/>
      <c r="H64" s="7"/>
      <c r="I64" s="50"/>
      <c r="J64" s="10"/>
      <c r="K64" s="50"/>
      <c r="L64" s="7"/>
      <c r="M64" s="50"/>
      <c r="N64" s="7"/>
      <c r="O64" s="50"/>
      <c r="P64" s="7"/>
      <c r="Q64" s="50"/>
      <c r="R64" s="7"/>
      <c r="S64" s="50"/>
      <c r="T64" s="7"/>
      <c r="U64" s="50"/>
    </row>
    <row r="65" spans="1:39" ht="24" customHeight="1" x14ac:dyDescent="0.3">
      <c r="A65" s="252"/>
      <c r="B65" s="3" t="s">
        <v>32</v>
      </c>
      <c r="C65" s="7"/>
      <c r="D65" s="7"/>
      <c r="E65" s="50"/>
      <c r="F65" s="50"/>
      <c r="G65" s="116"/>
      <c r="H65" s="7"/>
      <c r="I65" s="50"/>
      <c r="J65" s="10"/>
      <c r="K65" s="50"/>
      <c r="L65" s="7"/>
      <c r="M65" s="50"/>
      <c r="N65" s="7"/>
      <c r="O65" s="50"/>
      <c r="P65" s="7"/>
      <c r="Q65" s="50"/>
      <c r="R65" s="7"/>
      <c r="S65" s="50"/>
      <c r="T65" s="7"/>
      <c r="U65" s="50"/>
    </row>
    <row r="66" spans="1:39" ht="24" customHeight="1" x14ac:dyDescent="0.3">
      <c r="A66" s="252"/>
      <c r="B66" s="99" t="s">
        <v>93</v>
      </c>
      <c r="C66" s="7"/>
      <c r="D66" s="7"/>
      <c r="E66" s="50"/>
      <c r="F66" s="50"/>
      <c r="G66" s="116"/>
      <c r="H66" s="7"/>
      <c r="I66" s="50"/>
      <c r="J66" s="10"/>
      <c r="K66" s="50"/>
      <c r="L66" s="7"/>
      <c r="M66" s="50"/>
      <c r="N66" s="7"/>
      <c r="O66" s="50"/>
      <c r="P66" s="7"/>
      <c r="Q66" s="50"/>
      <c r="R66" s="7"/>
      <c r="S66" s="50"/>
      <c r="T66" s="7"/>
      <c r="U66" s="50"/>
    </row>
    <row r="67" spans="1:39" ht="26.25" x14ac:dyDescent="0.3">
      <c r="A67" s="253"/>
      <c r="B67" s="36"/>
      <c r="C67" s="17">
        <f>SUM(C59:C66)</f>
        <v>0</v>
      </c>
      <c r="D67" s="17">
        <f>SUM(D59:D66)</f>
        <v>0</v>
      </c>
      <c r="E67" s="17">
        <f>SUM(E59:E66)</f>
        <v>0</v>
      </c>
      <c r="F67" s="17">
        <f>SUM(F59:F66)</f>
        <v>0</v>
      </c>
      <c r="G67" s="116"/>
      <c r="H67" s="17">
        <f t="shared" ref="H67:S67" si="3">SUM(H59:H66)</f>
        <v>0</v>
      </c>
      <c r="I67" s="17">
        <f t="shared" si="3"/>
        <v>0</v>
      </c>
      <c r="J67" s="17">
        <f t="shared" si="3"/>
        <v>0</v>
      </c>
      <c r="K67" s="17">
        <f t="shared" si="3"/>
        <v>0</v>
      </c>
      <c r="L67" s="17">
        <f t="shared" si="3"/>
        <v>0</v>
      </c>
      <c r="M67" s="17">
        <f t="shared" si="3"/>
        <v>0</v>
      </c>
      <c r="N67" s="17">
        <f t="shared" si="3"/>
        <v>0</v>
      </c>
      <c r="O67" s="17">
        <f t="shared" si="3"/>
        <v>0</v>
      </c>
      <c r="P67" s="17">
        <f t="shared" si="3"/>
        <v>0</v>
      </c>
      <c r="Q67" s="17">
        <f t="shared" si="3"/>
        <v>0</v>
      </c>
      <c r="R67" s="17">
        <f t="shared" si="3"/>
        <v>0</v>
      </c>
      <c r="S67" s="17">
        <f t="shared" si="3"/>
        <v>0</v>
      </c>
      <c r="T67" s="17">
        <f>SUM(T59:T66)</f>
        <v>0</v>
      </c>
      <c r="U67" s="17">
        <f>SUM(U59:U66)</f>
        <v>0</v>
      </c>
      <c r="AA67" s="254"/>
      <c r="AB67" s="254"/>
      <c r="AC67" s="254"/>
      <c r="AD67" s="254"/>
      <c r="AF67" s="234"/>
      <c r="AG67" s="234"/>
      <c r="AH67" s="234"/>
      <c r="AI67" s="234"/>
      <c r="AJ67" s="234"/>
      <c r="AL67" s="234"/>
      <c r="AM67" s="234"/>
    </row>
    <row r="69" spans="1:39" ht="19.5" customHeight="1" x14ac:dyDescent="0.35">
      <c r="A69" s="235" t="s">
        <v>23</v>
      </c>
      <c r="B69" s="235"/>
      <c r="C69" s="20">
        <v>41000</v>
      </c>
      <c r="D69" s="20">
        <v>4100</v>
      </c>
      <c r="E69" s="20">
        <v>55000</v>
      </c>
      <c r="F69" s="20">
        <v>5500</v>
      </c>
      <c r="H69" s="19">
        <v>5500</v>
      </c>
      <c r="I69" s="19">
        <v>4100</v>
      </c>
      <c r="J69" s="19">
        <v>6800</v>
      </c>
      <c r="K69" s="20">
        <v>5200</v>
      </c>
      <c r="L69" s="20">
        <v>20700</v>
      </c>
      <c r="M69" s="20">
        <v>6400</v>
      </c>
      <c r="N69" s="19">
        <v>18700</v>
      </c>
      <c r="O69" s="20">
        <v>21700</v>
      </c>
      <c r="P69" s="106">
        <v>8300</v>
      </c>
      <c r="Q69" s="19">
        <v>15200</v>
      </c>
      <c r="R69" s="20">
        <v>13100</v>
      </c>
      <c r="S69" s="19">
        <v>8500</v>
      </c>
      <c r="T69" s="19">
        <v>8500</v>
      </c>
      <c r="U69" s="19">
        <v>8500</v>
      </c>
      <c r="W69" s="236">
        <f>P72*0.85</f>
        <v>139400</v>
      </c>
      <c r="X69" s="237"/>
      <c r="Y69" s="238"/>
      <c r="AA69" s="242">
        <f>P74-P72</f>
        <v>0</v>
      </c>
      <c r="AB69" s="243"/>
      <c r="AC69" s="243"/>
      <c r="AD69" s="243"/>
      <c r="AF69" s="234"/>
      <c r="AG69" s="234"/>
      <c r="AH69" s="234"/>
      <c r="AI69" s="234"/>
      <c r="AJ69" s="234"/>
      <c r="AL69" s="234"/>
      <c r="AM69" s="234"/>
    </row>
    <row r="70" spans="1:39" ht="19.5" customHeight="1" x14ac:dyDescent="0.35">
      <c r="A70" s="235" t="s">
        <v>24</v>
      </c>
      <c r="B70" s="235"/>
      <c r="C70" s="20">
        <f>C69*C3</f>
        <v>164000</v>
      </c>
      <c r="D70" s="20">
        <f>D69*D3</f>
        <v>0</v>
      </c>
      <c r="E70" s="20">
        <f>E69*E3</f>
        <v>0</v>
      </c>
      <c r="F70" s="20">
        <f>F69*F3</f>
        <v>0</v>
      </c>
      <c r="H70" s="20">
        <f t="shared" ref="H70:U70" si="4">H69*H3</f>
        <v>0</v>
      </c>
      <c r="I70" s="20">
        <f t="shared" si="4"/>
        <v>0</v>
      </c>
      <c r="J70" s="20">
        <f t="shared" si="4"/>
        <v>0</v>
      </c>
      <c r="K70" s="20">
        <f t="shared" si="4"/>
        <v>0</v>
      </c>
      <c r="L70" s="20">
        <f t="shared" si="4"/>
        <v>0</v>
      </c>
      <c r="M70" s="20">
        <f t="shared" si="4"/>
        <v>0</v>
      </c>
      <c r="N70" s="20">
        <f t="shared" si="4"/>
        <v>0</v>
      </c>
      <c r="O70" s="20">
        <f t="shared" si="4"/>
        <v>0</v>
      </c>
      <c r="P70" s="20">
        <f t="shared" si="4"/>
        <v>0</v>
      </c>
      <c r="Q70" s="20">
        <f t="shared" si="4"/>
        <v>0</v>
      </c>
      <c r="R70" s="20">
        <f t="shared" si="4"/>
        <v>0</v>
      </c>
      <c r="S70" s="20">
        <f t="shared" si="4"/>
        <v>0</v>
      </c>
      <c r="T70" s="20">
        <f t="shared" si="4"/>
        <v>0</v>
      </c>
      <c r="U70" s="20">
        <f t="shared" si="4"/>
        <v>0</v>
      </c>
      <c r="W70" s="239"/>
      <c r="X70" s="240"/>
      <c r="Y70" s="241"/>
      <c r="AA70" s="243"/>
      <c r="AB70" s="243"/>
      <c r="AC70" s="243"/>
      <c r="AD70" s="243"/>
      <c r="AF70" s="234"/>
      <c r="AG70" s="234"/>
      <c r="AH70" s="234"/>
      <c r="AI70" s="234"/>
      <c r="AJ70" s="234"/>
      <c r="AL70" s="234"/>
      <c r="AM70" s="234"/>
    </row>
    <row r="72" spans="1:39" ht="26.25" x14ac:dyDescent="0.3">
      <c r="P72" s="259">
        <f>SUM(C70:U70)</f>
        <v>164000</v>
      </c>
      <c r="Q72" s="260"/>
      <c r="W72" s="247"/>
      <c r="X72" s="248"/>
      <c r="Y72" s="248"/>
      <c r="AA72" s="249"/>
      <c r="AB72" s="250"/>
      <c r="AC72" s="250"/>
      <c r="AD72" s="251"/>
    </row>
    <row r="74" spans="1:39" ht="26.25" x14ac:dyDescent="0.3">
      <c r="C74" s="244"/>
      <c r="D74" s="245"/>
      <c r="P74" s="246">
        <v>164000</v>
      </c>
      <c r="Q74" s="246"/>
      <c r="W74" s="247">
        <f>P74*0.85</f>
        <v>139400</v>
      </c>
      <c r="X74" s="248"/>
      <c r="Y74" s="248"/>
      <c r="AA74" s="249"/>
      <c r="AB74" s="250"/>
      <c r="AC74" s="250"/>
      <c r="AD74" s="251"/>
    </row>
    <row r="75" spans="1:39" x14ac:dyDescent="0.3">
      <c r="Q75" s="18"/>
      <c r="S75" s="18"/>
      <c r="U75" s="18"/>
      <c r="W75" s="245"/>
      <c r="X75" s="245"/>
      <c r="Y75" s="245"/>
      <c r="AA75" s="255"/>
      <c r="AB75" s="256"/>
      <c r="AC75" s="256"/>
      <c r="AD75" s="256"/>
    </row>
    <row r="76" spans="1:39" x14ac:dyDescent="0.3">
      <c r="P76" s="244"/>
      <c r="Q76" s="245"/>
      <c r="W76" s="245"/>
      <c r="X76" s="245"/>
      <c r="Y76" s="245"/>
      <c r="AA76" s="245"/>
      <c r="AB76" s="245"/>
      <c r="AC76" s="245"/>
      <c r="AD76" s="245"/>
    </row>
    <row r="77" spans="1:39" x14ac:dyDescent="0.3">
      <c r="P77" s="245"/>
      <c r="Q77" s="245"/>
      <c r="W77" s="245"/>
      <c r="X77" s="245"/>
      <c r="Y77" s="245"/>
      <c r="AA77" s="245"/>
      <c r="AB77" s="245"/>
      <c r="AC77" s="245"/>
      <c r="AD77" s="245"/>
    </row>
    <row r="78" spans="1:39" x14ac:dyDescent="0.3">
      <c r="P78" s="18"/>
      <c r="Q78" s="18"/>
      <c r="S78" s="18"/>
      <c r="U78" s="18"/>
      <c r="AA78" s="245"/>
      <c r="AB78" s="245"/>
      <c r="AC78" s="245"/>
      <c r="AD78" s="245"/>
    </row>
    <row r="79" spans="1:39" x14ac:dyDescent="0.3">
      <c r="C79">
        <f>C69*0.85</f>
        <v>34850</v>
      </c>
      <c r="D79">
        <f t="shared" ref="D79:R79" si="5">D69*0.85</f>
        <v>3485</v>
      </c>
      <c r="E79">
        <f t="shared" si="5"/>
        <v>46750</v>
      </c>
      <c r="F79">
        <f t="shared" si="5"/>
        <v>4675</v>
      </c>
      <c r="H79">
        <f t="shared" si="5"/>
        <v>4675</v>
      </c>
      <c r="I79">
        <f t="shared" si="5"/>
        <v>3485</v>
      </c>
      <c r="J79">
        <f t="shared" si="5"/>
        <v>5780</v>
      </c>
      <c r="K79">
        <f t="shared" si="5"/>
        <v>4420</v>
      </c>
      <c r="L79">
        <f t="shared" si="5"/>
        <v>17595</v>
      </c>
      <c r="M79">
        <f t="shared" si="5"/>
        <v>5440</v>
      </c>
      <c r="N79">
        <f t="shared" si="5"/>
        <v>15895</v>
      </c>
      <c r="O79">
        <f t="shared" si="5"/>
        <v>18445</v>
      </c>
      <c r="P79">
        <f t="shared" si="5"/>
        <v>7055</v>
      </c>
      <c r="Q79">
        <f t="shared" si="5"/>
        <v>12920</v>
      </c>
      <c r="R79">
        <f t="shared" si="5"/>
        <v>11135</v>
      </c>
      <c r="S79">
        <f>S69*0.85</f>
        <v>7225</v>
      </c>
      <c r="T79">
        <f>T69*0.85</f>
        <v>7225</v>
      </c>
      <c r="U79">
        <f>U69*0.85</f>
        <v>7225</v>
      </c>
    </row>
    <row r="80" spans="1:39" x14ac:dyDescent="0.3">
      <c r="C80">
        <v>29500</v>
      </c>
      <c r="D80">
        <v>2950</v>
      </c>
      <c r="E80">
        <v>51000</v>
      </c>
      <c r="F80">
        <v>5100</v>
      </c>
      <c r="H80">
        <v>3600</v>
      </c>
      <c r="I80">
        <v>2950</v>
      </c>
      <c r="J80">
        <v>4000</v>
      </c>
      <c r="K80">
        <v>4200</v>
      </c>
      <c r="L80">
        <v>15000</v>
      </c>
      <c r="M80">
        <v>4500</v>
      </c>
      <c r="N80">
        <v>9500</v>
      </c>
      <c r="O80">
        <v>12000</v>
      </c>
      <c r="P80">
        <v>8000</v>
      </c>
      <c r="Q80">
        <v>12000</v>
      </c>
      <c r="R80">
        <v>8500</v>
      </c>
    </row>
    <row r="81" spans="3:30" x14ac:dyDescent="0.3">
      <c r="C81">
        <f>C79-C80</f>
        <v>5350</v>
      </c>
      <c r="D81">
        <f t="shared" ref="D81:R81" si="6">D79-D80</f>
        <v>535</v>
      </c>
      <c r="E81">
        <f t="shared" si="6"/>
        <v>-4250</v>
      </c>
      <c r="F81">
        <f t="shared" si="6"/>
        <v>-425</v>
      </c>
      <c r="H81">
        <f t="shared" si="6"/>
        <v>1075</v>
      </c>
      <c r="I81">
        <f t="shared" si="6"/>
        <v>535</v>
      </c>
      <c r="J81">
        <f t="shared" si="6"/>
        <v>1780</v>
      </c>
      <c r="K81">
        <f t="shared" si="6"/>
        <v>220</v>
      </c>
      <c r="L81">
        <f t="shared" si="6"/>
        <v>2595</v>
      </c>
      <c r="M81">
        <f t="shared" si="6"/>
        <v>940</v>
      </c>
      <c r="N81">
        <f t="shared" si="6"/>
        <v>6395</v>
      </c>
      <c r="O81">
        <f t="shared" si="6"/>
        <v>6445</v>
      </c>
      <c r="P81">
        <f t="shared" si="6"/>
        <v>-945</v>
      </c>
      <c r="Q81">
        <f t="shared" si="6"/>
        <v>920</v>
      </c>
      <c r="R81">
        <f t="shared" si="6"/>
        <v>2635</v>
      </c>
    </row>
    <row r="82" spans="3:30" x14ac:dyDescent="0.3">
      <c r="C82">
        <f>C81*C3</f>
        <v>21400</v>
      </c>
      <c r="D82">
        <f t="shared" ref="D82:R82" si="7">D81*D3</f>
        <v>0</v>
      </c>
      <c r="E82">
        <f t="shared" si="7"/>
        <v>0</v>
      </c>
      <c r="F82">
        <f t="shared" si="7"/>
        <v>0</v>
      </c>
      <c r="G82">
        <f t="shared" si="7"/>
        <v>0</v>
      </c>
      <c r="H82">
        <f t="shared" si="7"/>
        <v>0</v>
      </c>
      <c r="I82">
        <f t="shared" si="7"/>
        <v>0</v>
      </c>
      <c r="J82">
        <f t="shared" si="7"/>
        <v>0</v>
      </c>
      <c r="K82">
        <f t="shared" si="7"/>
        <v>0</v>
      </c>
      <c r="L82">
        <f t="shared" si="7"/>
        <v>0</v>
      </c>
      <c r="M82">
        <f t="shared" si="7"/>
        <v>0</v>
      </c>
      <c r="N82">
        <f t="shared" si="7"/>
        <v>0</v>
      </c>
      <c r="O82">
        <f t="shared" si="7"/>
        <v>0</v>
      </c>
      <c r="P82">
        <f t="shared" si="7"/>
        <v>0</v>
      </c>
      <c r="Q82">
        <f t="shared" si="7"/>
        <v>0</v>
      </c>
      <c r="R82">
        <f t="shared" si="7"/>
        <v>0</v>
      </c>
      <c r="Z82" s="245"/>
      <c r="AA82" s="245"/>
      <c r="AB82" s="245"/>
      <c r="AC82" s="245"/>
      <c r="AD82" s="245"/>
    </row>
    <row r="83" spans="3:30" x14ac:dyDescent="0.3">
      <c r="Z83" s="245"/>
      <c r="AA83" s="245"/>
      <c r="AB83" s="245"/>
      <c r="AC83" s="245"/>
      <c r="AD83" s="245"/>
    </row>
    <row r="84" spans="3:30" ht="26.25" x14ac:dyDescent="0.3">
      <c r="P84" s="257">
        <f>SUM(C82:R82)</f>
        <v>21400</v>
      </c>
      <c r="Q84" s="258"/>
    </row>
  </sheetData>
  <mergeCells count="28">
    <mergeCell ref="A1:B2"/>
    <mergeCell ref="C1:D1"/>
    <mergeCell ref="E1:F1"/>
    <mergeCell ref="A4:A31"/>
    <mergeCell ref="X28:AB28"/>
    <mergeCell ref="A32:A58"/>
    <mergeCell ref="AF67:AJ67"/>
    <mergeCell ref="AL67:AM67"/>
    <mergeCell ref="A69:B69"/>
    <mergeCell ref="W69:Y70"/>
    <mergeCell ref="AA69:AD70"/>
    <mergeCell ref="AF69:AJ70"/>
    <mergeCell ref="AL69:AM70"/>
    <mergeCell ref="A70:B70"/>
    <mergeCell ref="C74:D74"/>
    <mergeCell ref="P74:Q74"/>
    <mergeCell ref="W74:Y74"/>
    <mergeCell ref="AA74:AD74"/>
    <mergeCell ref="A59:A67"/>
    <mergeCell ref="AA67:AD67"/>
    <mergeCell ref="W75:Y77"/>
    <mergeCell ref="AA75:AD78"/>
    <mergeCell ref="P76:Q77"/>
    <mergeCell ref="Z82:AD83"/>
    <mergeCell ref="P84:Q84"/>
    <mergeCell ref="P72:Q72"/>
    <mergeCell ref="W72:Y72"/>
    <mergeCell ref="AA72:AD72"/>
  </mergeCells>
  <phoneticPr fontId="36" type="noConversion"/>
  <conditionalFormatting sqref="B7:B11">
    <cfRule type="duplicateValues" dxfId="181" priority="2"/>
  </conditionalFormatting>
  <conditionalFormatting sqref="B59:B66">
    <cfRule type="duplicateValues" dxfId="180" priority="3"/>
  </conditionalFormatting>
  <conditionalFormatting sqref="B12">
    <cfRule type="duplicateValues" dxfId="179" priority="1"/>
  </conditionalFormatting>
  <conditionalFormatting sqref="B4:B6 B13:B30">
    <cfRule type="expression" dxfId="178" priority="5" stopIfTrue="1">
      <formula>AND(COUNTIF($B$4:$B$6, B4)+COUNTIF($B$13:$B$30, B4)&gt;1,NOT(ISBLANK(B4)))</formula>
    </cfRule>
  </conditionalFormatting>
  <conditionalFormatting sqref="B32:B57">
    <cfRule type="duplicateValues" dxfId="177" priority="4"/>
  </conditionalFormatting>
  <printOptions horizontalCentered="1" verticalCentered="1"/>
  <pageMargins left="0" right="0" top="7.874015748031496E-2" bottom="7.874015748031496E-2" header="0" footer="0"/>
  <pageSetup paperSize="9" scale="2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V17"/>
  <sheetViews>
    <sheetView zoomScale="70" zoomScaleNormal="70" workbookViewId="0">
      <pane ySplit="3" topLeftCell="A4" activePane="bottomLeft" state="frozen"/>
      <selection activeCell="X4" sqref="X4"/>
      <selection pane="bottomLeft" activeCell="X4" sqref="X4"/>
    </sheetView>
  </sheetViews>
  <sheetFormatPr defaultRowHeight="16.5" x14ac:dyDescent="0.3"/>
  <cols>
    <col min="1" max="1" width="32.875" customWidth="1"/>
    <col min="2" max="6" width="10" customWidth="1"/>
    <col min="7" max="7" width="5.75" customWidth="1"/>
    <col min="8" max="8" width="18.5" customWidth="1"/>
    <col min="9" max="22" width="10.875" customWidth="1"/>
  </cols>
  <sheetData>
    <row r="1" spans="1:22" ht="113.25" customHeight="1" x14ac:dyDescent="0.3">
      <c r="A1" s="222" t="s">
        <v>113</v>
      </c>
      <c r="B1" s="223"/>
      <c r="C1" s="267" t="s">
        <v>97</v>
      </c>
      <c r="D1" s="268"/>
      <c r="E1" s="228" t="s">
        <v>98</v>
      </c>
      <c r="F1" s="228"/>
      <c r="G1" s="8"/>
      <c r="H1" s="269" t="s">
        <v>18</v>
      </c>
      <c r="I1" s="72" t="s">
        <v>20</v>
      </c>
      <c r="J1" s="115" t="s">
        <v>21</v>
      </c>
      <c r="K1" s="5" t="s">
        <v>101</v>
      </c>
      <c r="L1" s="115" t="s">
        <v>100</v>
      </c>
      <c r="M1" s="5" t="s">
        <v>96</v>
      </c>
      <c r="N1" s="115" t="s">
        <v>99</v>
      </c>
      <c r="O1" s="5" t="s">
        <v>114</v>
      </c>
      <c r="P1" s="115" t="s">
        <v>115</v>
      </c>
      <c r="Q1" s="5" t="s">
        <v>104</v>
      </c>
      <c r="R1" s="115" t="s">
        <v>105</v>
      </c>
      <c r="S1" s="5" t="s">
        <v>106</v>
      </c>
      <c r="T1" s="115" t="s">
        <v>85</v>
      </c>
      <c r="U1" s="5" t="s">
        <v>86</v>
      </c>
      <c r="V1" s="115" t="s">
        <v>88</v>
      </c>
    </row>
    <row r="2" spans="1:22" ht="43.5" customHeight="1" x14ac:dyDescent="0.3">
      <c r="A2" s="224"/>
      <c r="B2" s="225"/>
      <c r="C2" s="73" t="s">
        <v>2</v>
      </c>
      <c r="D2" s="73" t="s">
        <v>22</v>
      </c>
      <c r="E2" s="1" t="s">
        <v>2</v>
      </c>
      <c r="F2" s="1" t="s">
        <v>1</v>
      </c>
      <c r="G2" s="9"/>
      <c r="H2" s="270"/>
      <c r="I2" s="6" t="s">
        <v>3</v>
      </c>
      <c r="J2" s="1" t="s">
        <v>1</v>
      </c>
      <c r="K2" s="6" t="s">
        <v>3</v>
      </c>
      <c r="L2" s="1" t="s">
        <v>1</v>
      </c>
      <c r="M2" s="6" t="s">
        <v>3</v>
      </c>
      <c r="N2" s="1" t="s">
        <v>1</v>
      </c>
      <c r="O2" s="6" t="s">
        <v>3</v>
      </c>
      <c r="P2" s="1" t="s">
        <v>1</v>
      </c>
      <c r="Q2" s="6" t="s">
        <v>3</v>
      </c>
      <c r="R2" s="1" t="s">
        <v>1</v>
      </c>
      <c r="S2" s="6" t="s">
        <v>3</v>
      </c>
      <c r="T2" s="1" t="s">
        <v>1</v>
      </c>
      <c r="U2" s="6" t="s">
        <v>3</v>
      </c>
      <c r="V2" s="1" t="s">
        <v>3</v>
      </c>
    </row>
    <row r="3" spans="1:22" ht="39" customHeight="1" thickBot="1" x14ac:dyDescent="0.35">
      <c r="A3" s="271" t="s">
        <v>10</v>
      </c>
      <c r="B3" s="272"/>
      <c r="C3" s="44">
        <f>SUM(C4:C19)</f>
        <v>4</v>
      </c>
      <c r="D3" s="44">
        <f>SUM(D4:D19)</f>
        <v>0</v>
      </c>
      <c r="E3" s="44">
        <f>SUM(E4:E19)</f>
        <v>0</v>
      </c>
      <c r="F3" s="44">
        <f>SUM(F4:F19)</f>
        <v>0</v>
      </c>
      <c r="G3" s="116"/>
      <c r="H3" s="13" t="s">
        <v>10</v>
      </c>
      <c r="I3" s="44">
        <f t="shared" ref="I3:V3" si="0">SUM(I4:I11)</f>
        <v>0</v>
      </c>
      <c r="J3" s="44">
        <f t="shared" si="0"/>
        <v>0</v>
      </c>
      <c r="K3" s="44">
        <f t="shared" si="0"/>
        <v>0</v>
      </c>
      <c r="L3" s="44">
        <f t="shared" si="0"/>
        <v>0</v>
      </c>
      <c r="M3" s="44">
        <f t="shared" si="0"/>
        <v>0</v>
      </c>
      <c r="N3" s="44">
        <f t="shared" si="0"/>
        <v>0</v>
      </c>
      <c r="O3" s="44">
        <f t="shared" si="0"/>
        <v>0</v>
      </c>
      <c r="P3" s="44">
        <f t="shared" si="0"/>
        <v>0</v>
      </c>
      <c r="Q3" s="44">
        <f t="shared" si="0"/>
        <v>0</v>
      </c>
      <c r="R3" s="44">
        <f t="shared" si="0"/>
        <v>0</v>
      </c>
      <c r="S3" s="44">
        <f t="shared" si="0"/>
        <v>0</v>
      </c>
      <c r="T3" s="44">
        <f t="shared" si="0"/>
        <v>0</v>
      </c>
      <c r="U3" s="44">
        <f t="shared" si="0"/>
        <v>0</v>
      </c>
      <c r="V3" s="93">
        <f t="shared" si="0"/>
        <v>0</v>
      </c>
    </row>
    <row r="4" spans="1:22" ht="82.7" customHeight="1" thickTop="1" x14ac:dyDescent="0.3">
      <c r="A4" s="273" t="s">
        <v>15</v>
      </c>
      <c r="B4" s="274"/>
      <c r="C4" s="57">
        <f>'학교별02.13'!C31</f>
        <v>0</v>
      </c>
      <c r="D4" s="57">
        <f>'학교별02.13'!D31</f>
        <v>0</v>
      </c>
      <c r="E4" s="58">
        <f>'학교별02.13'!E31</f>
        <v>0</v>
      </c>
      <c r="F4" s="59">
        <f>'학교별02.13'!F31</f>
        <v>0</v>
      </c>
      <c r="G4" s="116"/>
      <c r="H4" s="49" t="s">
        <v>15</v>
      </c>
      <c r="I4" s="47">
        <f>'학교별02.13'!H31</f>
        <v>0</v>
      </c>
      <c r="J4" s="45">
        <f>'학교별02.13'!I31</f>
        <v>0</v>
      </c>
      <c r="K4" s="47">
        <f>'학교별02.13'!J31</f>
        <v>0</v>
      </c>
      <c r="L4" s="45">
        <f>'학교별02.13'!K31</f>
        <v>0</v>
      </c>
      <c r="M4" s="47">
        <f>'학교별02.13'!L31</f>
        <v>0</v>
      </c>
      <c r="N4" s="45">
        <f>'학교별02.13'!M31</f>
        <v>0</v>
      </c>
      <c r="O4" s="47">
        <f>'학교별02.13'!N31</f>
        <v>0</v>
      </c>
      <c r="P4" s="45">
        <f>'학교별02.13'!O31</f>
        <v>0</v>
      </c>
      <c r="Q4" s="47">
        <f>'학교별02.13'!P31</f>
        <v>0</v>
      </c>
      <c r="R4" s="45">
        <f>'학교별02.13'!Q31</f>
        <v>0</v>
      </c>
      <c r="S4" s="47">
        <f>'학교별02.13'!R31</f>
        <v>0</v>
      </c>
      <c r="T4" s="45">
        <f>'학교별02.13'!S31</f>
        <v>0</v>
      </c>
      <c r="U4" s="47">
        <f>'학교별02.13'!T31</f>
        <v>0</v>
      </c>
      <c r="V4" s="87">
        <f>'학교별02.13'!U31</f>
        <v>0</v>
      </c>
    </row>
    <row r="5" spans="1:22" ht="82.7" customHeight="1" thickBot="1" x14ac:dyDescent="0.35">
      <c r="A5" s="275"/>
      <c r="B5" s="276"/>
      <c r="C5" s="79"/>
      <c r="D5" s="60"/>
      <c r="E5" s="62"/>
      <c r="F5" s="61"/>
      <c r="G5" s="116"/>
      <c r="H5" s="40"/>
      <c r="I5" s="83"/>
      <c r="J5" s="81"/>
      <c r="K5" s="95"/>
      <c r="L5" s="81"/>
      <c r="M5" s="84"/>
      <c r="N5" s="81"/>
      <c r="O5" s="83"/>
      <c r="P5" s="42"/>
      <c r="Q5" s="41"/>
      <c r="R5" s="42"/>
      <c r="S5" s="83"/>
      <c r="T5" s="42"/>
      <c r="U5" s="41"/>
      <c r="V5" s="94"/>
    </row>
    <row r="6" spans="1:22" ht="18" thickTop="1" thickBot="1" x14ac:dyDescent="0.35">
      <c r="H6" s="33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89"/>
    </row>
    <row r="7" spans="1:22" ht="82.7" customHeight="1" thickTop="1" x14ac:dyDescent="0.3">
      <c r="A7" s="277" t="s">
        <v>26</v>
      </c>
      <c r="B7" s="278"/>
      <c r="C7" s="47">
        <f>'학교별02.13'!C58</f>
        <v>4</v>
      </c>
      <c r="D7" s="47">
        <f>'학교별02.13'!D58</f>
        <v>0</v>
      </c>
      <c r="E7" s="45">
        <f>'학교별02.13'!E58</f>
        <v>0</v>
      </c>
      <c r="F7" s="45">
        <f>'학교별02.13'!F58</f>
        <v>0</v>
      </c>
      <c r="G7" s="37"/>
      <c r="H7" s="55" t="s">
        <v>17</v>
      </c>
      <c r="I7" s="48">
        <f>'학교별02.13'!H58</f>
        <v>0</v>
      </c>
      <c r="J7" s="46">
        <f>'학교별02.13'!I58</f>
        <v>0</v>
      </c>
      <c r="K7" s="48">
        <f>'학교별02.13'!J58</f>
        <v>0</v>
      </c>
      <c r="L7" s="46">
        <f>'학교별02.13'!K58</f>
        <v>0</v>
      </c>
      <c r="M7" s="48">
        <f>'학교별02.13'!L58</f>
        <v>0</v>
      </c>
      <c r="N7" s="46">
        <f>'학교별02.13'!M58</f>
        <v>0</v>
      </c>
      <c r="O7" s="48">
        <f>'학교별02.13'!N58</f>
        <v>0</v>
      </c>
      <c r="P7" s="46">
        <f>'학교별02.13'!O58</f>
        <v>0</v>
      </c>
      <c r="Q7" s="48">
        <f>'학교별02.13'!P58</f>
        <v>0</v>
      </c>
      <c r="R7" s="46">
        <f>'학교별02.13'!Q58</f>
        <v>0</v>
      </c>
      <c r="S7" s="48">
        <f>'학교별02.13'!R58</f>
        <v>0</v>
      </c>
      <c r="T7" s="46">
        <f>'학교별02.13'!S58</f>
        <v>0</v>
      </c>
      <c r="U7" s="48">
        <f>'학교별02.13'!T58</f>
        <v>0</v>
      </c>
      <c r="V7" s="90">
        <f>'학교별02.13'!U58</f>
        <v>0</v>
      </c>
    </row>
    <row r="8" spans="1:22" ht="82.7" customHeight="1" thickBot="1" x14ac:dyDescent="0.35">
      <c r="A8" s="261"/>
      <c r="B8" s="262"/>
      <c r="C8" s="75"/>
      <c r="D8" s="96"/>
      <c r="E8" s="78"/>
      <c r="F8" s="38"/>
      <c r="G8" s="39"/>
      <c r="H8" s="116"/>
      <c r="I8" s="41"/>
      <c r="J8" s="42"/>
      <c r="K8" s="41"/>
      <c r="L8" s="42"/>
      <c r="M8" s="41"/>
      <c r="N8" s="42"/>
      <c r="O8" s="41"/>
      <c r="P8" s="42"/>
      <c r="Q8" s="41"/>
      <c r="R8" s="98"/>
      <c r="S8" s="41"/>
      <c r="T8" s="42"/>
      <c r="U8" s="41"/>
      <c r="V8" s="88"/>
    </row>
    <row r="9" spans="1:22" ht="18" thickTop="1" thickBot="1" x14ac:dyDescent="0.35">
      <c r="H9" s="33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89"/>
    </row>
    <row r="10" spans="1:22" ht="82.7" customHeight="1" thickTop="1" x14ac:dyDescent="0.3">
      <c r="A10" s="263" t="s">
        <v>16</v>
      </c>
      <c r="B10" s="264"/>
      <c r="C10" s="65">
        <f>'학교별02.13'!C67</f>
        <v>0</v>
      </c>
      <c r="D10" s="65">
        <f>'학교별02.13'!D67</f>
        <v>0</v>
      </c>
      <c r="E10" s="66">
        <f>'학교별02.13'!E67</f>
        <v>0</v>
      </c>
      <c r="F10" s="67">
        <f>'학교별02.13'!F67</f>
        <v>0</v>
      </c>
      <c r="G10" s="116"/>
      <c r="H10" s="53" t="s">
        <v>25</v>
      </c>
      <c r="I10" s="52">
        <f>'학교별02.13'!H67</f>
        <v>0</v>
      </c>
      <c r="J10" s="51">
        <f>'학교별02.13'!I67</f>
        <v>0</v>
      </c>
      <c r="K10" s="52">
        <f>'학교별02.13'!J67</f>
        <v>0</v>
      </c>
      <c r="L10" s="51">
        <f>'학교별02.13'!K67</f>
        <v>0</v>
      </c>
      <c r="M10" s="52">
        <f>'학교별02.13'!L67</f>
        <v>0</v>
      </c>
      <c r="N10" s="51">
        <f>'학교별02.13'!M67</f>
        <v>0</v>
      </c>
      <c r="O10" s="52">
        <f>'학교별02.13'!N67</f>
        <v>0</v>
      </c>
      <c r="P10" s="51">
        <f>'학교별02.13'!O67</f>
        <v>0</v>
      </c>
      <c r="Q10" s="52">
        <f>'학교별02.13'!P67</f>
        <v>0</v>
      </c>
      <c r="R10" s="51">
        <f>'학교별02.13'!Q67</f>
        <v>0</v>
      </c>
      <c r="S10" s="52">
        <f>'학교별02.13'!R67</f>
        <v>0</v>
      </c>
      <c r="T10" s="51">
        <f>'학교별02.13'!S67</f>
        <v>0</v>
      </c>
      <c r="U10" s="52">
        <f>'학교별02.13'!T67</f>
        <v>0</v>
      </c>
      <c r="V10" s="91">
        <f>'학교별02.13'!U67</f>
        <v>0</v>
      </c>
    </row>
    <row r="11" spans="1:22" ht="82.7" customHeight="1" thickBot="1" x14ac:dyDescent="0.35">
      <c r="A11" s="265"/>
      <c r="B11" s="266"/>
      <c r="C11" s="68"/>
      <c r="D11" s="69"/>
      <c r="E11" s="70"/>
      <c r="F11" s="71"/>
      <c r="H11" s="64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92"/>
    </row>
    <row r="12" spans="1:22" ht="17.25" thickTop="1" x14ac:dyDescent="0.3"/>
    <row r="17" spans="8:8" x14ac:dyDescent="0.3">
      <c r="H17" t="s">
        <v>83</v>
      </c>
    </row>
  </sheetData>
  <mergeCells count="11">
    <mergeCell ref="H1:H2"/>
    <mergeCell ref="A3:B3"/>
    <mergeCell ref="A4:B4"/>
    <mergeCell ref="A5:B5"/>
    <mergeCell ref="A7:B7"/>
    <mergeCell ref="A8:B8"/>
    <mergeCell ref="A10:B10"/>
    <mergeCell ref="A11:B11"/>
    <mergeCell ref="A1:B2"/>
    <mergeCell ref="C1:D1"/>
    <mergeCell ref="E1:F1"/>
  </mergeCells>
  <phoneticPr fontId="36" type="noConversion"/>
  <conditionalFormatting sqref="A10">
    <cfRule type="duplicateValues" dxfId="176" priority="1"/>
  </conditionalFormatting>
  <conditionalFormatting sqref="A4:A5">
    <cfRule type="duplicateValues" dxfId="175" priority="2"/>
  </conditionalFormatting>
  <conditionalFormatting sqref="A7:A8">
    <cfRule type="duplicateValues" dxfId="174" priority="3"/>
  </conditionalFormatting>
  <printOptions horizontalCentered="1" verticalCentered="1"/>
  <pageMargins left="0" right="0" top="7.874015748031496E-2" bottom="7.874015748031496E-2" header="0" footer="0"/>
  <pageSetup paperSize="9" scale="52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84"/>
  <sheetViews>
    <sheetView zoomScale="70" zoomScaleNormal="70" workbookViewId="0">
      <pane ySplit="3" topLeftCell="A4" activePane="bottomLeft" state="frozen"/>
      <selection activeCell="W59" sqref="W59"/>
      <selection pane="bottomLeft" sqref="A1:B2"/>
    </sheetView>
  </sheetViews>
  <sheetFormatPr defaultRowHeight="16.5" x14ac:dyDescent="0.3"/>
  <cols>
    <col min="1" max="1" width="9" customWidth="1"/>
    <col min="2" max="2" width="33.75" customWidth="1"/>
    <col min="3" max="3" width="10.75" customWidth="1"/>
    <col min="4" max="4" width="10" customWidth="1"/>
    <col min="5" max="5" width="10.5" customWidth="1"/>
    <col min="6" max="6" width="10" customWidth="1"/>
    <col min="7" max="7" width="4.125" customWidth="1"/>
    <col min="8" max="21" width="10.875" customWidth="1"/>
    <col min="22" max="22" width="5.5" customWidth="1"/>
    <col min="23" max="23" width="10.875" bestFit="1" customWidth="1"/>
  </cols>
  <sheetData>
    <row r="1" spans="1:25" ht="113.25" customHeight="1" x14ac:dyDescent="0.3">
      <c r="A1" s="222" t="s">
        <v>116</v>
      </c>
      <c r="B1" s="223"/>
      <c r="C1" s="226" t="s">
        <v>0</v>
      </c>
      <c r="D1" s="227"/>
      <c r="E1" s="228" t="s">
        <v>19</v>
      </c>
      <c r="F1" s="228"/>
      <c r="G1" s="8"/>
      <c r="H1" s="72" t="s">
        <v>20</v>
      </c>
      <c r="I1" s="117" t="s">
        <v>21</v>
      </c>
      <c r="J1" s="5" t="s">
        <v>7</v>
      </c>
      <c r="K1" s="117" t="s">
        <v>4</v>
      </c>
      <c r="L1" s="5" t="s">
        <v>6</v>
      </c>
      <c r="M1" s="117" t="s">
        <v>5</v>
      </c>
      <c r="N1" s="5" t="s">
        <v>9</v>
      </c>
      <c r="O1" s="117" t="s">
        <v>11</v>
      </c>
      <c r="P1" s="5" t="s">
        <v>8</v>
      </c>
      <c r="Q1" s="117" t="s">
        <v>12</v>
      </c>
      <c r="R1" s="5" t="s">
        <v>95</v>
      </c>
      <c r="S1" s="117" t="s">
        <v>85</v>
      </c>
      <c r="T1" s="5" t="s">
        <v>86</v>
      </c>
      <c r="U1" s="117" t="s">
        <v>87</v>
      </c>
    </row>
    <row r="2" spans="1:25" ht="43.5" customHeight="1" x14ac:dyDescent="0.3">
      <c r="A2" s="224"/>
      <c r="B2" s="225"/>
      <c r="C2" s="73" t="s">
        <v>2</v>
      </c>
      <c r="D2" s="21" t="s">
        <v>1</v>
      </c>
      <c r="E2" s="1" t="s">
        <v>2</v>
      </c>
      <c r="F2" s="1" t="s">
        <v>1</v>
      </c>
      <c r="G2" s="9"/>
      <c r="H2" s="6" t="s">
        <v>3</v>
      </c>
      <c r="I2" s="1" t="s">
        <v>1</v>
      </c>
      <c r="J2" s="6" t="s">
        <v>3</v>
      </c>
      <c r="K2" s="1" t="s">
        <v>1</v>
      </c>
      <c r="L2" s="6" t="s">
        <v>3</v>
      </c>
      <c r="M2" s="1" t="s">
        <v>1</v>
      </c>
      <c r="N2" s="6" t="s">
        <v>3</v>
      </c>
      <c r="O2" s="1" t="s">
        <v>1</v>
      </c>
      <c r="P2" s="6" t="s">
        <v>3</v>
      </c>
      <c r="Q2" s="1" t="s">
        <v>1</v>
      </c>
      <c r="R2" s="6" t="s">
        <v>3</v>
      </c>
      <c r="S2" s="1" t="s">
        <v>1</v>
      </c>
      <c r="T2" s="6" t="s">
        <v>3</v>
      </c>
      <c r="U2" s="1" t="s">
        <v>1</v>
      </c>
    </row>
    <row r="3" spans="1:25" ht="26.25" x14ac:dyDescent="0.3">
      <c r="A3" s="97" t="s">
        <v>14</v>
      </c>
      <c r="B3" s="12" t="s">
        <v>10</v>
      </c>
      <c r="C3" s="29">
        <f>C31+C58+C67</f>
        <v>11</v>
      </c>
      <c r="D3" s="30">
        <f>D31+D58+D67</f>
        <v>0</v>
      </c>
      <c r="E3" s="30">
        <f>E31+E58+E67</f>
        <v>0</v>
      </c>
      <c r="F3" s="14">
        <f>F31+F58+F67</f>
        <v>0</v>
      </c>
      <c r="G3" s="118"/>
      <c r="H3" s="2">
        <f t="shared" ref="H3:U3" si="0">H31+H58+H67</f>
        <v>0</v>
      </c>
      <c r="I3" s="2">
        <f t="shared" si="0"/>
        <v>0</v>
      </c>
      <c r="J3" s="85">
        <f t="shared" si="0"/>
        <v>0</v>
      </c>
      <c r="K3" s="2">
        <f t="shared" si="0"/>
        <v>0</v>
      </c>
      <c r="L3" s="2">
        <f t="shared" si="0"/>
        <v>0</v>
      </c>
      <c r="M3" s="2">
        <f t="shared" si="0"/>
        <v>0</v>
      </c>
      <c r="N3" s="2">
        <f t="shared" si="0"/>
        <v>0</v>
      </c>
      <c r="O3" s="2">
        <f t="shared" si="0"/>
        <v>0</v>
      </c>
      <c r="P3" s="2">
        <f t="shared" si="0"/>
        <v>0</v>
      </c>
      <c r="Q3" s="2">
        <f t="shared" si="0"/>
        <v>0</v>
      </c>
      <c r="R3" s="2">
        <f t="shared" si="0"/>
        <v>0</v>
      </c>
      <c r="S3" s="2">
        <f t="shared" si="0"/>
        <v>0</v>
      </c>
      <c r="T3" s="2">
        <f t="shared" si="0"/>
        <v>0</v>
      </c>
      <c r="U3" s="2">
        <f t="shared" si="0"/>
        <v>0</v>
      </c>
      <c r="V3" s="4">
        <f>D3*10</f>
        <v>0</v>
      </c>
      <c r="W3">
        <f>F3*10+E3</f>
        <v>0</v>
      </c>
      <c r="X3" s="4">
        <f>SUM(H3:Q3)</f>
        <v>0</v>
      </c>
      <c r="Y3" s="11">
        <f>SUM(V3:X3)</f>
        <v>0</v>
      </c>
    </row>
    <row r="4" spans="1:25" ht="24" customHeight="1" x14ac:dyDescent="0.3">
      <c r="A4" s="229" t="s">
        <v>34</v>
      </c>
      <c r="B4" s="3" t="s">
        <v>36</v>
      </c>
      <c r="C4" s="7"/>
      <c r="D4" s="7"/>
      <c r="E4" s="50"/>
      <c r="F4" s="50"/>
      <c r="G4" s="118"/>
      <c r="H4" s="7"/>
      <c r="I4" s="50"/>
      <c r="J4" s="10"/>
      <c r="K4" s="50"/>
      <c r="L4" s="7"/>
      <c r="M4" s="50"/>
      <c r="N4" s="10"/>
      <c r="O4" s="50"/>
      <c r="P4" s="7"/>
      <c r="Q4" s="50"/>
      <c r="R4" s="7"/>
      <c r="S4" s="50"/>
      <c r="T4" s="7"/>
      <c r="U4" s="50"/>
    </row>
    <row r="5" spans="1:25" ht="24" customHeight="1" x14ac:dyDescent="0.3">
      <c r="A5" s="230"/>
      <c r="B5" s="3" t="s">
        <v>82</v>
      </c>
      <c r="C5" s="7"/>
      <c r="D5" s="7"/>
      <c r="E5" s="50"/>
      <c r="F5" s="50"/>
      <c r="G5" s="118"/>
      <c r="H5" s="7"/>
      <c r="I5" s="50"/>
      <c r="J5" s="10"/>
      <c r="K5" s="50"/>
      <c r="L5" s="7"/>
      <c r="M5" s="50"/>
      <c r="N5" s="10"/>
      <c r="O5" s="50"/>
      <c r="P5" s="7"/>
      <c r="Q5" s="50"/>
      <c r="R5" s="7"/>
      <c r="S5" s="50"/>
      <c r="T5" s="7"/>
      <c r="U5" s="50"/>
    </row>
    <row r="6" spans="1:25" ht="24" customHeight="1" x14ac:dyDescent="0.3">
      <c r="A6" s="230"/>
      <c r="B6" s="3" t="s">
        <v>37</v>
      </c>
      <c r="C6" s="7"/>
      <c r="D6" s="7"/>
      <c r="E6" s="50"/>
      <c r="F6" s="50"/>
      <c r="G6" s="118"/>
      <c r="H6" s="7"/>
      <c r="I6" s="50"/>
      <c r="J6" s="10"/>
      <c r="K6" s="50"/>
      <c r="L6" s="7"/>
      <c r="M6" s="50"/>
      <c r="N6" s="10"/>
      <c r="O6" s="50"/>
      <c r="P6" s="7"/>
      <c r="Q6" s="50"/>
      <c r="R6" s="7"/>
      <c r="S6" s="50"/>
      <c r="T6" s="7"/>
      <c r="U6" s="50"/>
    </row>
    <row r="7" spans="1:25" ht="24" customHeight="1" x14ac:dyDescent="0.3">
      <c r="A7" s="230"/>
      <c r="B7" s="3" t="s">
        <v>38</v>
      </c>
      <c r="C7" s="7"/>
      <c r="D7" s="7"/>
      <c r="E7" s="50"/>
      <c r="F7" s="50"/>
      <c r="G7" s="118"/>
      <c r="H7" s="7"/>
      <c r="I7" s="50"/>
      <c r="J7" s="10"/>
      <c r="K7" s="50"/>
      <c r="L7" s="7"/>
      <c r="M7" s="50"/>
      <c r="N7" s="10"/>
      <c r="O7" s="50"/>
      <c r="P7" s="7"/>
      <c r="Q7" s="50"/>
      <c r="R7" s="7"/>
      <c r="S7" s="50"/>
      <c r="T7" s="7"/>
      <c r="U7" s="50"/>
    </row>
    <row r="8" spans="1:25" ht="24" customHeight="1" x14ac:dyDescent="0.3">
      <c r="A8" s="230"/>
      <c r="B8" s="3" t="s">
        <v>50</v>
      </c>
      <c r="C8" s="77"/>
      <c r="D8" s="7"/>
      <c r="E8" s="50"/>
      <c r="F8" s="50"/>
      <c r="G8" s="63"/>
      <c r="H8" s="7"/>
      <c r="I8" s="50"/>
      <c r="J8" s="10"/>
      <c r="K8" s="50"/>
      <c r="L8" s="7"/>
      <c r="M8" s="50"/>
      <c r="N8" s="10"/>
      <c r="O8" s="50"/>
      <c r="P8" s="7"/>
      <c r="Q8" s="50"/>
      <c r="R8" s="7"/>
      <c r="S8" s="50"/>
      <c r="T8" s="7"/>
      <c r="U8" s="50"/>
    </row>
    <row r="9" spans="1:25" ht="24" customHeight="1" x14ac:dyDescent="0.3">
      <c r="A9" s="230"/>
      <c r="B9" s="3" t="s">
        <v>72</v>
      </c>
      <c r="C9" s="7"/>
      <c r="D9" s="7"/>
      <c r="E9" s="50"/>
      <c r="F9" s="50"/>
      <c r="G9" s="118"/>
      <c r="H9" s="7"/>
      <c r="I9" s="50"/>
      <c r="J9" s="10"/>
      <c r="K9" s="50"/>
      <c r="L9" s="7"/>
      <c r="M9" s="50"/>
      <c r="N9" s="10"/>
      <c r="O9" s="50"/>
      <c r="P9" s="7"/>
      <c r="Q9" s="50"/>
      <c r="R9" s="7"/>
      <c r="S9" s="50"/>
      <c r="T9" s="7"/>
      <c r="U9" s="50"/>
    </row>
    <row r="10" spans="1:25" ht="24" customHeight="1" x14ac:dyDescent="0.3">
      <c r="A10" s="230"/>
      <c r="B10" s="3" t="s">
        <v>52</v>
      </c>
      <c r="C10" s="7"/>
      <c r="D10" s="7"/>
      <c r="E10" s="50"/>
      <c r="F10" s="50"/>
      <c r="G10" s="118"/>
      <c r="H10" s="7"/>
      <c r="I10" s="50"/>
      <c r="J10" s="10"/>
      <c r="K10" s="50"/>
      <c r="L10" s="7"/>
      <c r="M10" s="50"/>
      <c r="N10" s="10"/>
      <c r="O10" s="50"/>
      <c r="P10" s="7"/>
      <c r="Q10" s="50"/>
      <c r="R10" s="7"/>
      <c r="S10" s="50"/>
      <c r="T10" s="7"/>
      <c r="U10" s="50"/>
    </row>
    <row r="11" spans="1:25" ht="24" customHeight="1" x14ac:dyDescent="0.3">
      <c r="A11" s="230"/>
      <c r="B11" s="3" t="s">
        <v>39</v>
      </c>
      <c r="C11" s="7"/>
      <c r="D11" s="7"/>
      <c r="E11" s="50"/>
      <c r="F11" s="50"/>
      <c r="G11" s="118"/>
      <c r="H11" s="7"/>
      <c r="I11" s="50"/>
      <c r="J11" s="10"/>
      <c r="K11" s="50"/>
      <c r="L11" s="7"/>
      <c r="M11" s="50"/>
      <c r="N11" s="10"/>
      <c r="O11" s="50"/>
      <c r="P11" s="7"/>
      <c r="Q11" s="50"/>
      <c r="R11" s="7"/>
      <c r="S11" s="50"/>
      <c r="T11" s="7"/>
      <c r="U11" s="50"/>
    </row>
    <row r="12" spans="1:25" ht="24" customHeight="1" x14ac:dyDescent="0.3">
      <c r="A12" s="230"/>
      <c r="B12" s="3" t="s">
        <v>40</v>
      </c>
      <c r="C12" s="7"/>
      <c r="D12" s="77"/>
      <c r="E12" s="76"/>
      <c r="F12" s="50"/>
      <c r="G12" s="80"/>
      <c r="H12" s="7"/>
      <c r="I12" s="76"/>
      <c r="J12" s="7"/>
      <c r="K12" s="50"/>
      <c r="L12" s="7"/>
      <c r="M12" s="76"/>
      <c r="N12" s="10"/>
      <c r="O12" s="76"/>
      <c r="P12" s="7"/>
      <c r="Q12" s="76"/>
      <c r="R12" s="10"/>
      <c r="S12" s="76"/>
      <c r="T12" s="77"/>
      <c r="U12" s="76"/>
    </row>
    <row r="13" spans="1:25" ht="24" customHeight="1" x14ac:dyDescent="0.3">
      <c r="A13" s="230"/>
      <c r="B13" s="3" t="s">
        <v>41</v>
      </c>
      <c r="C13" s="7"/>
      <c r="D13" s="7"/>
      <c r="E13" s="50"/>
      <c r="F13" s="50"/>
      <c r="G13" s="118"/>
      <c r="H13" s="7"/>
      <c r="I13" s="50"/>
      <c r="J13" s="10"/>
      <c r="K13" s="50"/>
      <c r="L13" s="7"/>
      <c r="M13" s="50"/>
      <c r="N13" s="10"/>
      <c r="O13" s="50"/>
      <c r="P13" s="7"/>
      <c r="Q13" s="50"/>
      <c r="R13" s="7"/>
      <c r="S13" s="50"/>
      <c r="T13" s="7"/>
      <c r="U13" s="50"/>
    </row>
    <row r="14" spans="1:25" ht="24" customHeight="1" x14ac:dyDescent="0.3">
      <c r="A14" s="230"/>
      <c r="B14" s="3" t="s">
        <v>42</v>
      </c>
      <c r="C14" s="7"/>
      <c r="D14" s="7"/>
      <c r="E14" s="50"/>
      <c r="F14" s="50"/>
      <c r="G14" s="118"/>
      <c r="H14" s="7"/>
      <c r="I14" s="50"/>
      <c r="J14" s="10"/>
      <c r="K14" s="50"/>
      <c r="L14" s="7"/>
      <c r="M14" s="50"/>
      <c r="N14" s="10"/>
      <c r="O14" s="50"/>
      <c r="P14" s="7"/>
      <c r="Q14" s="50"/>
      <c r="R14" s="7"/>
      <c r="S14" s="50"/>
      <c r="T14" s="7"/>
      <c r="U14" s="50"/>
    </row>
    <row r="15" spans="1:25" ht="24" customHeight="1" x14ac:dyDescent="0.3">
      <c r="A15" s="230"/>
      <c r="B15" s="3" t="s">
        <v>43</v>
      </c>
      <c r="C15" s="7"/>
      <c r="D15" s="7"/>
      <c r="E15" s="50"/>
      <c r="F15" s="50"/>
      <c r="G15" s="118"/>
      <c r="H15" s="7"/>
      <c r="I15" s="50"/>
      <c r="J15" s="10"/>
      <c r="K15" s="50"/>
      <c r="L15" s="7"/>
      <c r="M15" s="50"/>
      <c r="N15" s="10"/>
      <c r="O15" s="50"/>
      <c r="P15" s="7"/>
      <c r="Q15" s="50"/>
      <c r="R15" s="7"/>
      <c r="S15" s="50"/>
      <c r="T15" s="7"/>
      <c r="U15" s="50"/>
    </row>
    <row r="16" spans="1:25" ht="24" customHeight="1" x14ac:dyDescent="0.3">
      <c r="A16" s="230"/>
      <c r="B16" s="3" t="s">
        <v>51</v>
      </c>
      <c r="C16" s="7"/>
      <c r="D16" s="7"/>
      <c r="E16" s="50"/>
      <c r="F16" s="50"/>
      <c r="G16" s="118"/>
      <c r="H16" s="7"/>
      <c r="I16" s="50"/>
      <c r="J16" s="10"/>
      <c r="K16" s="50"/>
      <c r="L16" s="7"/>
      <c r="M16" s="50"/>
      <c r="N16" s="10"/>
      <c r="O16" s="50"/>
      <c r="P16" s="7"/>
      <c r="Q16" s="50"/>
      <c r="R16" s="7"/>
      <c r="S16" s="50"/>
      <c r="T16" s="7"/>
      <c r="U16" s="50"/>
    </row>
    <row r="17" spans="1:28" ht="24" customHeight="1" x14ac:dyDescent="0.3">
      <c r="A17" s="230"/>
      <c r="B17" s="3" t="s">
        <v>44</v>
      </c>
      <c r="C17" s="7"/>
      <c r="D17" s="7"/>
      <c r="E17" s="50"/>
      <c r="F17" s="50"/>
      <c r="G17" s="118"/>
      <c r="H17" s="7"/>
      <c r="I17" s="50"/>
      <c r="J17" s="10"/>
      <c r="K17" s="50"/>
      <c r="L17" s="7"/>
      <c r="M17" s="50"/>
      <c r="N17" s="10"/>
      <c r="O17" s="50"/>
      <c r="P17" s="7"/>
      <c r="Q17" s="50"/>
      <c r="R17" s="7"/>
      <c r="S17" s="50"/>
      <c r="T17" s="7"/>
      <c r="U17" s="50"/>
    </row>
    <row r="18" spans="1:28" ht="24" customHeight="1" x14ac:dyDescent="0.3">
      <c r="A18" s="230"/>
      <c r="B18" s="100" t="s">
        <v>91</v>
      </c>
      <c r="C18" s="7"/>
      <c r="D18" s="7"/>
      <c r="E18" s="50"/>
      <c r="F18" s="50"/>
      <c r="G18" s="118"/>
      <c r="H18" s="7"/>
      <c r="I18" s="50"/>
      <c r="J18" s="10"/>
      <c r="K18" s="50"/>
      <c r="L18" s="7"/>
      <c r="M18" s="50"/>
      <c r="N18" s="10"/>
      <c r="O18" s="50"/>
      <c r="P18" s="7"/>
      <c r="Q18" s="50"/>
      <c r="R18" s="7"/>
      <c r="S18" s="50"/>
      <c r="T18" s="7"/>
      <c r="U18" s="50"/>
    </row>
    <row r="19" spans="1:28" ht="24" customHeight="1" x14ac:dyDescent="0.3">
      <c r="A19" s="230"/>
      <c r="B19" s="100" t="s">
        <v>46</v>
      </c>
      <c r="C19" s="7"/>
      <c r="D19" s="7"/>
      <c r="E19" s="50"/>
      <c r="F19" s="50"/>
      <c r="G19" s="118"/>
      <c r="H19" s="7"/>
      <c r="I19" s="50"/>
      <c r="J19" s="10"/>
      <c r="K19" s="50"/>
      <c r="L19" s="7"/>
      <c r="M19" s="50"/>
      <c r="N19" s="10"/>
      <c r="O19" s="50"/>
      <c r="P19" s="7"/>
      <c r="Q19" s="50"/>
      <c r="R19" s="7"/>
      <c r="S19" s="50"/>
      <c r="T19" s="7"/>
      <c r="U19" s="76"/>
    </row>
    <row r="20" spans="1:28" ht="24" customHeight="1" x14ac:dyDescent="0.3">
      <c r="A20" s="230"/>
      <c r="B20" s="100" t="s">
        <v>48</v>
      </c>
      <c r="C20" s="7"/>
      <c r="D20" s="7"/>
      <c r="E20" s="50"/>
      <c r="F20" s="50"/>
      <c r="G20" s="118"/>
      <c r="H20" s="7"/>
      <c r="I20" s="50"/>
      <c r="J20" s="10"/>
      <c r="K20" s="50"/>
      <c r="L20" s="7"/>
      <c r="M20" s="50"/>
      <c r="N20" s="10"/>
      <c r="O20" s="50"/>
      <c r="P20" s="7"/>
      <c r="Q20" s="50"/>
      <c r="R20" s="7"/>
      <c r="S20" s="50"/>
      <c r="T20" s="7"/>
      <c r="U20" s="50"/>
    </row>
    <row r="21" spans="1:28" ht="24" customHeight="1" x14ac:dyDescent="0.3">
      <c r="A21" s="230"/>
      <c r="B21" s="3" t="s">
        <v>75</v>
      </c>
      <c r="C21" s="7"/>
      <c r="D21" s="7"/>
      <c r="E21" s="50"/>
      <c r="F21" s="50"/>
      <c r="G21" s="118"/>
      <c r="H21" s="7"/>
      <c r="I21" s="50"/>
      <c r="J21" s="10"/>
      <c r="K21" s="50"/>
      <c r="L21" s="7"/>
      <c r="M21" s="50"/>
      <c r="N21" s="10"/>
      <c r="O21" s="50"/>
      <c r="P21" s="7"/>
      <c r="Q21" s="50"/>
      <c r="R21" s="7"/>
      <c r="S21" s="50"/>
      <c r="T21" s="7"/>
      <c r="U21" s="50"/>
    </row>
    <row r="22" spans="1:28" ht="24" customHeight="1" x14ac:dyDescent="0.3">
      <c r="A22" s="230"/>
      <c r="B22" s="3" t="s">
        <v>73</v>
      </c>
      <c r="C22" s="7"/>
      <c r="D22" s="7"/>
      <c r="E22" s="50"/>
      <c r="F22" s="50"/>
      <c r="G22" s="118"/>
      <c r="H22" s="7"/>
      <c r="I22" s="50"/>
      <c r="J22" s="10"/>
      <c r="K22" s="50"/>
      <c r="L22" s="7"/>
      <c r="M22" s="50"/>
      <c r="N22" s="10"/>
      <c r="O22" s="50"/>
      <c r="P22" s="7"/>
      <c r="Q22" s="50"/>
      <c r="R22" s="7"/>
      <c r="S22" s="50"/>
      <c r="T22" s="7"/>
      <c r="U22" s="50"/>
    </row>
    <row r="23" spans="1:28" ht="24" customHeight="1" x14ac:dyDescent="0.3">
      <c r="A23" s="230"/>
      <c r="B23" s="3" t="s">
        <v>62</v>
      </c>
      <c r="C23" s="7"/>
      <c r="D23" s="7"/>
      <c r="E23" s="50"/>
      <c r="F23" s="50"/>
      <c r="G23" s="118"/>
      <c r="H23" s="7"/>
      <c r="I23" s="50"/>
      <c r="J23" s="10"/>
      <c r="K23" s="50"/>
      <c r="L23" s="7"/>
      <c r="M23" s="50"/>
      <c r="N23" s="10"/>
      <c r="O23" s="50"/>
      <c r="P23" s="7"/>
      <c r="Q23" s="50"/>
      <c r="R23" s="7"/>
      <c r="S23" s="50"/>
      <c r="T23" s="7"/>
      <c r="U23" s="50"/>
    </row>
    <row r="24" spans="1:28" ht="24" customHeight="1" x14ac:dyDescent="0.3">
      <c r="A24" s="230"/>
      <c r="B24" s="3" t="s">
        <v>81</v>
      </c>
      <c r="C24" s="7"/>
      <c r="D24" s="77"/>
      <c r="E24" s="76"/>
      <c r="F24" s="50"/>
      <c r="G24" s="80"/>
      <c r="H24" s="7"/>
      <c r="I24" s="76"/>
      <c r="J24" s="10"/>
      <c r="K24" s="50"/>
      <c r="L24" s="7"/>
      <c r="M24" s="50"/>
      <c r="N24" s="10"/>
      <c r="O24" s="50"/>
      <c r="P24" s="7"/>
      <c r="Q24" s="50"/>
      <c r="R24" s="7"/>
      <c r="S24" s="50"/>
      <c r="T24" s="7"/>
      <c r="U24" s="50"/>
    </row>
    <row r="25" spans="1:28" ht="24" customHeight="1" x14ac:dyDescent="0.3">
      <c r="A25" s="230"/>
      <c r="B25" s="3" t="s">
        <v>76</v>
      </c>
      <c r="C25" s="7"/>
      <c r="D25" s="7"/>
      <c r="E25" s="50"/>
      <c r="F25" s="50"/>
      <c r="G25" s="118"/>
      <c r="H25" s="7"/>
      <c r="I25" s="50"/>
      <c r="J25" s="10"/>
      <c r="K25" s="50"/>
      <c r="L25" s="7"/>
      <c r="M25" s="50"/>
      <c r="N25" s="10"/>
      <c r="O25" s="50"/>
      <c r="P25" s="7"/>
      <c r="Q25" s="50"/>
      <c r="R25" s="7"/>
      <c r="S25" s="50"/>
      <c r="T25" s="7"/>
      <c r="U25" s="50"/>
      <c r="Y25" s="82"/>
    </row>
    <row r="26" spans="1:28" ht="24" customHeight="1" x14ac:dyDescent="0.3">
      <c r="A26" s="230"/>
      <c r="B26" s="3" t="s">
        <v>89</v>
      </c>
      <c r="C26" s="7"/>
      <c r="D26" s="7"/>
      <c r="E26" s="50"/>
      <c r="F26" s="50"/>
      <c r="G26" s="118"/>
      <c r="H26" s="7"/>
      <c r="I26" s="50"/>
      <c r="J26" s="10"/>
      <c r="K26" s="50"/>
      <c r="L26" s="7"/>
      <c r="M26" s="50"/>
      <c r="N26" s="10"/>
      <c r="O26" s="50"/>
      <c r="P26" s="7"/>
      <c r="Q26" s="50"/>
      <c r="R26" s="7"/>
      <c r="S26" s="50"/>
      <c r="T26" s="7"/>
      <c r="U26" s="50"/>
      <c r="Y26" s="82"/>
    </row>
    <row r="27" spans="1:28" ht="24" customHeight="1" x14ac:dyDescent="0.3">
      <c r="A27" s="230"/>
      <c r="B27" s="3" t="s">
        <v>90</v>
      </c>
      <c r="C27" s="7"/>
      <c r="D27" s="7"/>
      <c r="E27" s="50"/>
      <c r="F27" s="50"/>
      <c r="G27" s="118"/>
      <c r="H27" s="7"/>
      <c r="I27" s="50"/>
      <c r="J27" s="10"/>
      <c r="K27" s="50"/>
      <c r="L27" s="7"/>
      <c r="M27" s="50"/>
      <c r="N27" s="10"/>
      <c r="O27" s="50"/>
      <c r="P27" s="7"/>
      <c r="Q27" s="50"/>
      <c r="R27" s="7"/>
      <c r="S27" s="50"/>
      <c r="T27" s="7"/>
      <c r="U27" s="50"/>
      <c r="Y27" s="82"/>
    </row>
    <row r="28" spans="1:28" ht="24" customHeight="1" x14ac:dyDescent="0.3">
      <c r="A28" s="230"/>
      <c r="B28" s="3" t="s">
        <v>49</v>
      </c>
      <c r="C28" s="7"/>
      <c r="D28" s="7"/>
      <c r="E28" s="50"/>
      <c r="F28" s="50"/>
      <c r="G28" s="118"/>
      <c r="H28" s="7"/>
      <c r="I28" s="50"/>
      <c r="J28" s="86"/>
      <c r="K28" s="50"/>
      <c r="L28" s="7"/>
      <c r="M28" s="50"/>
      <c r="N28" s="10"/>
      <c r="O28" s="50"/>
      <c r="P28" s="7"/>
      <c r="Q28" s="50"/>
      <c r="R28" s="7"/>
      <c r="S28" s="50"/>
      <c r="T28" s="7"/>
      <c r="U28" s="50"/>
      <c r="X28" s="232"/>
      <c r="Y28" s="232"/>
      <c r="Z28" s="232"/>
      <c r="AA28" s="232"/>
      <c r="AB28" s="232"/>
    </row>
    <row r="29" spans="1:28" ht="24" customHeight="1" x14ac:dyDescent="0.3">
      <c r="A29" s="230"/>
      <c r="B29" s="3" t="s">
        <v>74</v>
      </c>
      <c r="C29" s="7"/>
      <c r="D29" s="7"/>
      <c r="E29" s="50"/>
      <c r="F29" s="50"/>
      <c r="H29" s="7"/>
      <c r="I29" s="50"/>
      <c r="J29" s="10"/>
      <c r="K29" s="50"/>
      <c r="L29" s="7"/>
      <c r="M29" s="50"/>
      <c r="N29" s="10"/>
      <c r="O29" s="50"/>
      <c r="P29" s="7"/>
      <c r="Q29" s="50"/>
      <c r="R29" s="7"/>
      <c r="S29" s="50"/>
      <c r="T29" s="7"/>
      <c r="U29" s="50"/>
    </row>
    <row r="30" spans="1:28" ht="24" customHeight="1" x14ac:dyDescent="0.3">
      <c r="A30" s="230"/>
      <c r="B30" s="3" t="s">
        <v>55</v>
      </c>
      <c r="C30" s="7"/>
      <c r="D30" s="7"/>
      <c r="E30" s="50"/>
      <c r="F30" s="50"/>
      <c r="G30" s="118"/>
      <c r="H30" s="7"/>
      <c r="I30" s="50"/>
      <c r="J30" s="10"/>
      <c r="K30" s="50"/>
      <c r="L30" s="7"/>
      <c r="M30" s="50"/>
      <c r="N30" s="10"/>
      <c r="O30" s="50"/>
      <c r="P30" s="7"/>
      <c r="Q30" s="50"/>
      <c r="R30" s="7"/>
      <c r="S30" s="50"/>
      <c r="T30" s="7"/>
      <c r="U30" s="50"/>
    </row>
    <row r="31" spans="1:28" ht="27" thickBot="1" x14ac:dyDescent="0.35">
      <c r="A31" s="231"/>
      <c r="B31" s="31"/>
      <c r="C31" s="31">
        <f>SUM(C4:C30)</f>
        <v>0</v>
      </c>
      <c r="D31" s="31">
        <f>SUM(D4:D30)</f>
        <v>0</v>
      </c>
      <c r="E31" s="31">
        <f>SUM(E4:E30)</f>
        <v>0</v>
      </c>
      <c r="F31" s="31">
        <f>SUM(F4:F30)</f>
        <v>0</v>
      </c>
      <c r="G31" s="118"/>
      <c r="H31" s="2">
        <f t="shared" ref="H31:U31" si="1">SUM(H4:H30)</f>
        <v>0</v>
      </c>
      <c r="I31" s="2">
        <f t="shared" si="1"/>
        <v>0</v>
      </c>
      <c r="J31" s="2">
        <f t="shared" si="1"/>
        <v>0</v>
      </c>
      <c r="K31" s="2">
        <f t="shared" si="1"/>
        <v>0</v>
      </c>
      <c r="L31" s="2">
        <f t="shared" si="1"/>
        <v>0</v>
      </c>
      <c r="M31" s="2">
        <f t="shared" si="1"/>
        <v>0</v>
      </c>
      <c r="N31" s="2">
        <f t="shared" si="1"/>
        <v>0</v>
      </c>
      <c r="O31" s="2">
        <f t="shared" si="1"/>
        <v>0</v>
      </c>
      <c r="P31" s="2">
        <f t="shared" si="1"/>
        <v>0</v>
      </c>
      <c r="Q31" s="2">
        <f t="shared" si="1"/>
        <v>0</v>
      </c>
      <c r="R31" s="2">
        <f t="shared" si="1"/>
        <v>0</v>
      </c>
      <c r="S31" s="2">
        <f t="shared" si="1"/>
        <v>0</v>
      </c>
      <c r="T31" s="2">
        <f t="shared" si="1"/>
        <v>0</v>
      </c>
      <c r="U31" s="2">
        <f t="shared" si="1"/>
        <v>0</v>
      </c>
      <c r="W31" s="35"/>
      <c r="X31" s="18"/>
      <c r="Y31" s="18"/>
    </row>
    <row r="32" spans="1:28" ht="24" customHeight="1" thickTop="1" x14ac:dyDescent="0.3">
      <c r="A32" s="233" t="s">
        <v>27</v>
      </c>
      <c r="B32" s="23" t="s">
        <v>63</v>
      </c>
      <c r="C32" s="28"/>
      <c r="D32" s="28"/>
      <c r="E32" s="15"/>
      <c r="F32" s="16"/>
      <c r="G32" s="25"/>
      <c r="H32" s="43"/>
      <c r="I32" s="50"/>
      <c r="J32" s="10"/>
      <c r="K32" s="50"/>
      <c r="L32" s="7"/>
      <c r="M32" s="50"/>
      <c r="N32" s="7"/>
      <c r="O32" s="50"/>
      <c r="P32" s="7"/>
      <c r="Q32" s="50"/>
      <c r="R32" s="7"/>
      <c r="S32" s="50"/>
      <c r="T32" s="7"/>
      <c r="U32" s="50"/>
      <c r="W32" s="18"/>
      <c r="X32" s="18"/>
      <c r="Y32" s="18"/>
      <c r="Z32" s="18"/>
      <c r="AA32" s="18"/>
    </row>
    <row r="33" spans="1:27" ht="24" customHeight="1" x14ac:dyDescent="0.3">
      <c r="A33" s="233"/>
      <c r="B33" s="24" t="s">
        <v>94</v>
      </c>
      <c r="C33" s="32"/>
      <c r="D33" s="32"/>
      <c r="E33" s="54"/>
      <c r="F33" s="22"/>
      <c r="G33" s="25"/>
      <c r="H33" s="43"/>
      <c r="I33" s="50"/>
      <c r="J33" s="10"/>
      <c r="K33" s="50"/>
      <c r="L33" s="7"/>
      <c r="M33" s="50"/>
      <c r="N33" s="7"/>
      <c r="O33" s="50"/>
      <c r="P33" s="7"/>
      <c r="Q33" s="50"/>
      <c r="R33" s="7"/>
      <c r="S33" s="50"/>
      <c r="T33" s="7"/>
      <c r="U33" s="50"/>
      <c r="W33" s="18"/>
      <c r="X33" s="18"/>
      <c r="Y33" s="18"/>
      <c r="Z33" s="18"/>
      <c r="AA33" s="18"/>
    </row>
    <row r="34" spans="1:27" ht="24" customHeight="1" x14ac:dyDescent="0.3">
      <c r="A34" s="233"/>
      <c r="B34" s="24" t="s">
        <v>54</v>
      </c>
      <c r="C34" s="32">
        <v>2</v>
      </c>
      <c r="D34" s="32"/>
      <c r="E34" s="54"/>
      <c r="F34" s="22"/>
      <c r="G34" s="25"/>
      <c r="H34" s="10"/>
      <c r="I34" s="50"/>
      <c r="J34" s="10"/>
      <c r="K34" s="50"/>
      <c r="L34" s="7"/>
      <c r="M34" s="50"/>
      <c r="N34" s="7"/>
      <c r="O34" s="50"/>
      <c r="P34" s="7"/>
      <c r="Q34" s="76"/>
      <c r="R34" s="7"/>
      <c r="S34" s="50"/>
      <c r="T34" s="7"/>
      <c r="U34" s="50"/>
      <c r="W34" s="18"/>
      <c r="X34" s="18"/>
      <c r="Y34" s="18"/>
      <c r="Z34" s="18"/>
      <c r="AA34" s="18"/>
    </row>
    <row r="35" spans="1:27" ht="24" customHeight="1" x14ac:dyDescent="0.3">
      <c r="A35" s="233"/>
      <c r="B35" s="24" t="s">
        <v>56</v>
      </c>
      <c r="C35" s="32"/>
      <c r="D35" s="32"/>
      <c r="E35" s="54"/>
      <c r="F35" s="22"/>
      <c r="G35" s="25"/>
      <c r="H35" s="43"/>
      <c r="I35" s="50"/>
      <c r="J35" s="10"/>
      <c r="K35" s="50"/>
      <c r="L35" s="7"/>
      <c r="M35" s="50"/>
      <c r="N35" s="7"/>
      <c r="O35" s="50"/>
      <c r="P35" s="7"/>
      <c r="Q35" s="50"/>
      <c r="R35" s="7"/>
      <c r="S35" s="50"/>
      <c r="T35" s="7"/>
      <c r="U35" s="50"/>
      <c r="W35" s="18"/>
      <c r="X35" s="18"/>
      <c r="Y35" s="18"/>
      <c r="Z35" s="18"/>
      <c r="AA35" s="18"/>
    </row>
    <row r="36" spans="1:27" ht="24" customHeight="1" x14ac:dyDescent="0.3">
      <c r="A36" s="233"/>
      <c r="B36" s="24" t="s">
        <v>78</v>
      </c>
      <c r="C36" s="32"/>
      <c r="D36" s="32"/>
      <c r="E36" s="54"/>
      <c r="F36" s="22"/>
      <c r="G36" s="25"/>
      <c r="H36" s="43"/>
      <c r="I36" s="50"/>
      <c r="J36" s="10"/>
      <c r="K36" s="50"/>
      <c r="L36" s="7"/>
      <c r="M36" s="50"/>
      <c r="N36" s="7"/>
      <c r="O36" s="50"/>
      <c r="P36" s="7"/>
      <c r="Q36" s="50"/>
      <c r="R36" s="7"/>
      <c r="S36" s="50"/>
      <c r="T36" s="7"/>
      <c r="U36" s="50"/>
      <c r="W36" s="18"/>
      <c r="X36" s="18"/>
      <c r="Y36" s="18"/>
      <c r="Z36" s="18"/>
      <c r="AA36" s="18"/>
    </row>
    <row r="37" spans="1:27" ht="24" customHeight="1" x14ac:dyDescent="0.3">
      <c r="A37" s="233"/>
      <c r="B37" s="24" t="s">
        <v>53</v>
      </c>
      <c r="C37" s="32"/>
      <c r="D37" s="32"/>
      <c r="E37" s="54"/>
      <c r="F37" s="22"/>
      <c r="G37" s="25"/>
      <c r="H37" s="43"/>
      <c r="I37" s="50"/>
      <c r="J37" s="10"/>
      <c r="K37" s="50"/>
      <c r="L37" s="7"/>
      <c r="M37" s="50"/>
      <c r="N37" s="7"/>
      <c r="O37" s="50"/>
      <c r="P37" s="7"/>
      <c r="Q37" s="50"/>
      <c r="R37" s="7"/>
      <c r="S37" s="50"/>
      <c r="T37" s="7"/>
      <c r="U37" s="50"/>
      <c r="W37" s="18"/>
      <c r="X37" s="18"/>
      <c r="Y37" s="18"/>
      <c r="Z37" s="18"/>
      <c r="AA37" s="18"/>
    </row>
    <row r="38" spans="1:27" ht="24" customHeight="1" x14ac:dyDescent="0.3">
      <c r="A38" s="233"/>
      <c r="B38" s="24" t="s">
        <v>66</v>
      </c>
      <c r="C38" s="32"/>
      <c r="D38" s="32"/>
      <c r="E38" s="54"/>
      <c r="F38" s="22"/>
      <c r="G38" s="25"/>
      <c r="H38" s="43"/>
      <c r="I38" s="50"/>
      <c r="J38" s="10"/>
      <c r="K38" s="50"/>
      <c r="L38" s="7"/>
      <c r="M38" s="50"/>
      <c r="N38" s="7"/>
      <c r="O38" s="50"/>
      <c r="P38" s="7"/>
      <c r="Q38" s="50"/>
      <c r="R38" s="7"/>
      <c r="S38" s="50"/>
      <c r="T38" s="7"/>
      <c r="U38" s="50"/>
      <c r="W38" s="18"/>
      <c r="X38" s="18"/>
      <c r="Y38" s="18"/>
      <c r="Z38" s="18"/>
      <c r="AA38" s="18"/>
    </row>
    <row r="39" spans="1:27" ht="24" customHeight="1" x14ac:dyDescent="0.3">
      <c r="A39" s="233"/>
      <c r="B39" s="24" t="s">
        <v>70</v>
      </c>
      <c r="C39" s="32"/>
      <c r="D39" s="32"/>
      <c r="E39" s="54"/>
      <c r="F39" s="22"/>
      <c r="G39" s="25"/>
      <c r="H39" s="43"/>
      <c r="I39" s="50"/>
      <c r="J39" s="10"/>
      <c r="K39" s="50"/>
      <c r="L39" s="7"/>
      <c r="M39" s="50"/>
      <c r="N39" s="7"/>
      <c r="O39" s="50"/>
      <c r="P39" s="7"/>
      <c r="Q39" s="50"/>
      <c r="R39" s="7"/>
      <c r="S39" s="50"/>
      <c r="T39" s="7"/>
      <c r="U39" s="50"/>
      <c r="W39" s="18"/>
      <c r="X39" s="18"/>
      <c r="Y39" s="18"/>
      <c r="Z39" s="18"/>
      <c r="AA39" s="18"/>
    </row>
    <row r="40" spans="1:27" ht="24" customHeight="1" x14ac:dyDescent="0.3">
      <c r="A40" s="233"/>
      <c r="B40" s="24" t="s">
        <v>58</v>
      </c>
      <c r="C40" s="32"/>
      <c r="D40" s="32"/>
      <c r="E40" s="54"/>
      <c r="F40" s="22"/>
      <c r="G40" s="25"/>
      <c r="H40" s="7"/>
      <c r="I40" s="50"/>
      <c r="J40" s="10"/>
      <c r="K40" s="50"/>
      <c r="L40" s="7"/>
      <c r="M40" s="50"/>
      <c r="N40" s="7"/>
      <c r="O40" s="50"/>
      <c r="P40" s="7"/>
      <c r="Q40" s="50"/>
      <c r="R40" s="7"/>
      <c r="S40" s="50"/>
      <c r="T40" s="7"/>
      <c r="U40" s="50"/>
      <c r="W40" s="18"/>
      <c r="X40" s="18"/>
      <c r="Y40" s="18"/>
      <c r="Z40" s="18"/>
      <c r="AA40" s="18"/>
    </row>
    <row r="41" spans="1:27" ht="24" customHeight="1" x14ac:dyDescent="0.3">
      <c r="A41" s="233"/>
      <c r="B41" s="24" t="s">
        <v>71</v>
      </c>
      <c r="C41" s="32">
        <v>2</v>
      </c>
      <c r="D41" s="32"/>
      <c r="E41" s="54"/>
      <c r="F41" s="22"/>
      <c r="G41" s="25"/>
      <c r="H41" s="43"/>
      <c r="I41" s="50"/>
      <c r="J41" s="10"/>
      <c r="K41" s="50"/>
      <c r="L41" s="7"/>
      <c r="M41" s="50"/>
      <c r="N41" s="7"/>
      <c r="O41" s="50"/>
      <c r="P41" s="7"/>
      <c r="Q41" s="50"/>
      <c r="R41" s="7"/>
      <c r="S41" s="50"/>
      <c r="T41" s="7"/>
      <c r="U41" s="50"/>
      <c r="W41" s="18"/>
      <c r="X41" s="18"/>
      <c r="Y41" s="18"/>
      <c r="Z41" s="18"/>
      <c r="AA41" s="18"/>
    </row>
    <row r="42" spans="1:27" ht="24" customHeight="1" x14ac:dyDescent="0.3">
      <c r="A42" s="233"/>
      <c r="B42" s="24" t="s">
        <v>77</v>
      </c>
      <c r="C42" s="32"/>
      <c r="D42" s="32"/>
      <c r="E42" s="54"/>
      <c r="F42" s="22"/>
      <c r="G42" s="25"/>
      <c r="H42" s="7"/>
      <c r="I42" s="50"/>
      <c r="J42" s="10"/>
      <c r="K42" s="50"/>
      <c r="L42" s="7"/>
      <c r="M42" s="50"/>
      <c r="N42" s="7"/>
      <c r="O42" s="50"/>
      <c r="P42" s="7"/>
      <c r="Q42" s="50"/>
      <c r="R42" s="7"/>
      <c r="S42" s="50"/>
      <c r="T42" s="7"/>
      <c r="U42" s="50"/>
      <c r="W42" s="18"/>
      <c r="X42" s="18"/>
      <c r="Y42" s="18"/>
      <c r="Z42" s="18"/>
      <c r="AA42" s="18"/>
    </row>
    <row r="43" spans="1:27" ht="24" customHeight="1" x14ac:dyDescent="0.3">
      <c r="A43" s="233"/>
      <c r="B43" s="24" t="s">
        <v>57</v>
      </c>
      <c r="C43" s="32">
        <v>2</v>
      </c>
      <c r="D43" s="56"/>
      <c r="E43" s="54"/>
      <c r="F43" s="22"/>
      <c r="G43" s="25"/>
      <c r="H43" s="43"/>
      <c r="I43" s="50"/>
      <c r="J43" s="10"/>
      <c r="K43" s="50"/>
      <c r="L43" s="7"/>
      <c r="M43" s="50"/>
      <c r="N43" s="7"/>
      <c r="O43" s="50"/>
      <c r="P43" s="7"/>
      <c r="Q43" s="76"/>
      <c r="R43" s="7"/>
      <c r="S43" s="50"/>
      <c r="T43" s="7"/>
      <c r="U43" s="50"/>
      <c r="W43" s="18"/>
      <c r="X43" s="18"/>
      <c r="Y43" s="18"/>
      <c r="Z43" s="18"/>
      <c r="AA43" s="18"/>
    </row>
    <row r="44" spans="1:27" ht="24" customHeight="1" x14ac:dyDescent="0.3">
      <c r="A44" s="233"/>
      <c r="B44" s="24" t="s">
        <v>68</v>
      </c>
      <c r="C44" s="32"/>
      <c r="D44" s="32"/>
      <c r="E44" s="54"/>
      <c r="F44" s="22"/>
      <c r="G44" s="25"/>
      <c r="H44" s="43"/>
      <c r="I44" s="50"/>
      <c r="J44" s="10"/>
      <c r="K44" s="50"/>
      <c r="L44" s="7"/>
      <c r="M44" s="50"/>
      <c r="N44" s="7"/>
      <c r="O44" s="50"/>
      <c r="P44" s="7"/>
      <c r="Q44" s="50"/>
      <c r="R44" s="7"/>
      <c r="S44" s="50"/>
      <c r="T44" s="7"/>
      <c r="U44" s="50"/>
      <c r="W44" s="18"/>
      <c r="X44" s="18"/>
      <c r="Y44" s="18"/>
      <c r="Z44" s="18"/>
      <c r="AA44" s="18"/>
    </row>
    <row r="45" spans="1:27" ht="24" customHeight="1" x14ac:dyDescent="0.3">
      <c r="A45" s="233"/>
      <c r="B45" s="24" t="s">
        <v>65</v>
      </c>
      <c r="C45" s="32">
        <v>5</v>
      </c>
      <c r="D45" s="32"/>
      <c r="E45" s="101"/>
      <c r="F45" s="22"/>
      <c r="G45" s="25"/>
      <c r="H45" s="43"/>
      <c r="I45" s="50"/>
      <c r="J45" s="10"/>
      <c r="K45" s="50"/>
      <c r="L45" s="7"/>
      <c r="M45" s="50"/>
      <c r="N45" s="7"/>
      <c r="O45" s="50"/>
      <c r="P45" s="7"/>
      <c r="Q45" s="50"/>
      <c r="R45" s="7"/>
      <c r="S45" s="50"/>
      <c r="T45" s="7"/>
      <c r="U45" s="50"/>
      <c r="W45" s="18"/>
      <c r="X45" s="18"/>
      <c r="Y45" s="18"/>
      <c r="Z45" s="18"/>
      <c r="AA45" s="18"/>
    </row>
    <row r="46" spans="1:27" ht="24" customHeight="1" x14ac:dyDescent="0.3">
      <c r="A46" s="233"/>
      <c r="B46" s="24" t="s">
        <v>67</v>
      </c>
      <c r="C46" s="32"/>
      <c r="D46" s="32"/>
      <c r="E46" s="54"/>
      <c r="F46" s="22"/>
      <c r="G46" s="25"/>
      <c r="H46" s="43"/>
      <c r="I46" s="50"/>
      <c r="J46" s="10"/>
      <c r="K46" s="50"/>
      <c r="L46" s="7"/>
      <c r="M46" s="50"/>
      <c r="N46" s="7"/>
      <c r="O46" s="50"/>
      <c r="P46" s="7"/>
      <c r="Q46" s="50"/>
      <c r="R46" s="7"/>
      <c r="S46" s="50"/>
      <c r="T46" s="7"/>
      <c r="U46" s="50"/>
      <c r="W46" s="18"/>
      <c r="X46" s="18"/>
      <c r="Y46" s="18"/>
      <c r="Z46" s="18"/>
      <c r="AA46" s="18"/>
    </row>
    <row r="47" spans="1:27" ht="24" customHeight="1" x14ac:dyDescent="0.3">
      <c r="A47" s="233"/>
      <c r="B47" s="24" t="s">
        <v>69</v>
      </c>
      <c r="C47" s="32"/>
      <c r="D47" s="32"/>
      <c r="E47" s="54"/>
      <c r="F47" s="22"/>
      <c r="G47" s="25"/>
      <c r="H47" s="43"/>
      <c r="I47" s="50"/>
      <c r="J47" s="10"/>
      <c r="K47" s="50"/>
      <c r="L47" s="7"/>
      <c r="M47" s="50"/>
      <c r="N47" s="7"/>
      <c r="O47" s="50"/>
      <c r="P47" s="7"/>
      <c r="Q47" s="50"/>
      <c r="R47" s="7"/>
      <c r="S47" s="50"/>
      <c r="T47" s="7"/>
      <c r="U47" s="50"/>
      <c r="W47" s="18"/>
      <c r="X47" s="18"/>
      <c r="Y47" s="18"/>
      <c r="Z47" s="18"/>
      <c r="AA47" s="18"/>
    </row>
    <row r="48" spans="1:27" ht="24" customHeight="1" x14ac:dyDescent="0.3">
      <c r="A48" s="233"/>
      <c r="B48" s="24" t="s">
        <v>80</v>
      </c>
      <c r="C48" s="32"/>
      <c r="D48" s="32"/>
      <c r="E48" s="54"/>
      <c r="F48" s="22"/>
      <c r="G48" s="25"/>
      <c r="H48" s="7"/>
      <c r="I48" s="50"/>
      <c r="J48" s="10"/>
      <c r="K48" s="50"/>
      <c r="L48" s="7"/>
      <c r="M48" s="50"/>
      <c r="N48" s="7"/>
      <c r="O48" s="50"/>
      <c r="P48" s="7"/>
      <c r="Q48" s="50"/>
      <c r="R48" s="7"/>
      <c r="S48" s="50"/>
      <c r="T48" s="7"/>
      <c r="U48" s="50"/>
      <c r="W48" s="18"/>
      <c r="X48" s="18"/>
      <c r="Y48" s="18"/>
      <c r="Z48" s="18"/>
      <c r="AA48" s="18"/>
    </row>
    <row r="49" spans="1:27" ht="24" customHeight="1" x14ac:dyDescent="0.3">
      <c r="A49" s="233"/>
      <c r="B49" s="24" t="s">
        <v>64</v>
      </c>
      <c r="C49" s="32"/>
      <c r="D49" s="32"/>
      <c r="E49" s="54"/>
      <c r="F49" s="22"/>
      <c r="G49" s="25"/>
      <c r="H49" s="10"/>
      <c r="I49" s="50"/>
      <c r="J49" s="10"/>
      <c r="K49" s="50"/>
      <c r="L49" s="7"/>
      <c r="M49" s="50"/>
      <c r="N49" s="7"/>
      <c r="O49" s="50"/>
      <c r="P49" s="7"/>
      <c r="Q49" s="50"/>
      <c r="R49" s="7"/>
      <c r="S49" s="50"/>
      <c r="T49" s="7"/>
      <c r="U49" s="50"/>
      <c r="W49" s="18"/>
      <c r="X49" s="18"/>
      <c r="Y49" s="18"/>
      <c r="Z49" s="18"/>
      <c r="AA49" s="18"/>
    </row>
    <row r="50" spans="1:27" ht="24" customHeight="1" x14ac:dyDescent="0.3">
      <c r="A50" s="233"/>
      <c r="B50" s="24" t="s">
        <v>59</v>
      </c>
      <c r="C50" s="32"/>
      <c r="D50" s="32"/>
      <c r="E50" s="54"/>
      <c r="F50" s="22"/>
      <c r="G50" s="25"/>
      <c r="H50" s="10"/>
      <c r="I50" s="50"/>
      <c r="J50" s="10"/>
      <c r="K50" s="50"/>
      <c r="L50" s="7"/>
      <c r="M50" s="50"/>
      <c r="N50" s="7"/>
      <c r="O50" s="50"/>
      <c r="P50" s="7"/>
      <c r="Q50" s="50"/>
      <c r="R50" s="7"/>
      <c r="S50" s="50"/>
      <c r="T50" s="7"/>
      <c r="U50" s="50"/>
      <c r="W50" s="18"/>
      <c r="X50" s="18"/>
      <c r="Y50" s="18"/>
      <c r="Z50" s="18"/>
      <c r="AA50" s="18"/>
    </row>
    <row r="51" spans="1:27" ht="24" customHeight="1" x14ac:dyDescent="0.3">
      <c r="A51" s="233"/>
      <c r="B51" s="24" t="s">
        <v>79</v>
      </c>
      <c r="C51" s="32"/>
      <c r="D51" s="32"/>
      <c r="E51" s="54"/>
      <c r="F51" s="22"/>
      <c r="G51" s="25"/>
      <c r="H51" s="7"/>
      <c r="I51" s="50"/>
      <c r="J51" s="10"/>
      <c r="K51" s="50"/>
      <c r="L51" s="7"/>
      <c r="M51" s="50"/>
      <c r="N51" s="7"/>
      <c r="O51" s="50"/>
      <c r="P51" s="7"/>
      <c r="Q51" s="50"/>
      <c r="R51" s="7"/>
      <c r="S51" s="50"/>
      <c r="T51" s="7"/>
      <c r="U51" s="50"/>
      <c r="W51" s="18"/>
      <c r="X51" s="18"/>
      <c r="Y51" s="18"/>
      <c r="Z51" s="18"/>
      <c r="AA51" s="18"/>
    </row>
    <row r="52" spans="1:27" ht="24" customHeight="1" x14ac:dyDescent="0.3">
      <c r="A52" s="233"/>
      <c r="B52" s="24" t="s">
        <v>60</v>
      </c>
      <c r="C52" s="32"/>
      <c r="D52" s="32"/>
      <c r="E52" s="54"/>
      <c r="F52" s="22"/>
      <c r="G52" s="25"/>
      <c r="H52" s="7"/>
      <c r="I52" s="50"/>
      <c r="J52" s="10"/>
      <c r="K52" s="50"/>
      <c r="L52" s="7"/>
      <c r="M52" s="50"/>
      <c r="N52" s="7"/>
      <c r="O52" s="50"/>
      <c r="P52" s="7"/>
      <c r="Q52" s="50"/>
      <c r="R52" s="7"/>
      <c r="S52" s="50"/>
      <c r="T52" s="7"/>
      <c r="U52" s="50"/>
      <c r="W52" s="18"/>
      <c r="X52" s="18"/>
      <c r="Y52" s="18"/>
      <c r="Z52" s="18"/>
      <c r="AA52" s="18"/>
    </row>
    <row r="53" spans="1:27" ht="24" customHeight="1" x14ac:dyDescent="0.3">
      <c r="A53" s="233"/>
      <c r="B53" s="24" t="s">
        <v>61</v>
      </c>
      <c r="C53" s="32"/>
      <c r="D53" s="32"/>
      <c r="E53" s="54"/>
      <c r="F53" s="22"/>
      <c r="G53" s="25"/>
      <c r="H53" s="43"/>
      <c r="I53" s="50"/>
      <c r="J53" s="10"/>
      <c r="K53" s="50"/>
      <c r="L53" s="7"/>
      <c r="M53" s="50"/>
      <c r="N53" s="7"/>
      <c r="O53" s="50"/>
      <c r="P53" s="7"/>
      <c r="Q53" s="50"/>
      <c r="R53" s="7"/>
      <c r="S53" s="50"/>
      <c r="T53" s="7"/>
      <c r="U53" s="50"/>
      <c r="W53" s="18"/>
      <c r="X53" s="18"/>
      <c r="Y53" s="18"/>
      <c r="Z53" s="18"/>
      <c r="AA53" s="18"/>
    </row>
    <row r="54" spans="1:27" ht="24" customHeight="1" x14ac:dyDescent="0.3">
      <c r="A54" s="233"/>
      <c r="B54" s="24" t="s">
        <v>84</v>
      </c>
      <c r="C54" s="32"/>
      <c r="D54" s="32"/>
      <c r="E54" s="54"/>
      <c r="F54" s="22"/>
      <c r="G54" s="25"/>
      <c r="H54" s="7"/>
      <c r="I54" s="50"/>
      <c r="J54" s="10"/>
      <c r="K54" s="50"/>
      <c r="L54" s="7"/>
      <c r="M54" s="50"/>
      <c r="N54" s="7"/>
      <c r="O54" s="50"/>
      <c r="P54" s="7"/>
      <c r="Q54" s="50"/>
      <c r="R54" s="7"/>
      <c r="S54" s="50"/>
      <c r="T54" s="7"/>
      <c r="U54" s="50"/>
      <c r="W54" s="18"/>
      <c r="X54" s="18"/>
      <c r="Y54" s="18"/>
      <c r="Z54" s="18"/>
      <c r="AA54" s="18"/>
    </row>
    <row r="55" spans="1:27" ht="24" customHeight="1" x14ac:dyDescent="0.3">
      <c r="A55" s="233"/>
      <c r="B55" s="74" t="s">
        <v>47</v>
      </c>
      <c r="C55" s="32"/>
      <c r="D55" s="32"/>
      <c r="E55" s="54"/>
      <c r="F55" s="22"/>
      <c r="G55" s="25"/>
      <c r="H55" s="7"/>
      <c r="I55" s="50"/>
      <c r="J55" s="10"/>
      <c r="K55" s="50"/>
      <c r="L55" s="7"/>
      <c r="M55" s="50"/>
      <c r="N55" s="7"/>
      <c r="O55" s="50"/>
      <c r="P55" s="7"/>
      <c r="Q55" s="50"/>
      <c r="R55" s="7"/>
      <c r="S55" s="50"/>
      <c r="T55" s="7"/>
      <c r="U55" s="50"/>
      <c r="W55" s="18"/>
      <c r="X55" s="18"/>
      <c r="Y55" s="18"/>
      <c r="Z55" s="18"/>
      <c r="AA55" s="18"/>
    </row>
    <row r="56" spans="1:27" ht="24" customHeight="1" x14ac:dyDescent="0.3">
      <c r="A56" s="233"/>
      <c r="B56" s="74" t="s">
        <v>92</v>
      </c>
      <c r="C56" s="32"/>
      <c r="D56" s="32"/>
      <c r="E56" s="54"/>
      <c r="F56" s="22"/>
      <c r="G56" s="25"/>
      <c r="H56" s="7"/>
      <c r="I56" s="50"/>
      <c r="J56" s="10"/>
      <c r="K56" s="50"/>
      <c r="L56" s="7"/>
      <c r="M56" s="50"/>
      <c r="N56" s="7"/>
      <c r="O56" s="50"/>
      <c r="P56" s="7"/>
      <c r="Q56" s="50"/>
      <c r="R56" s="7"/>
      <c r="S56" s="50"/>
      <c r="T56" s="7"/>
      <c r="U56" s="50"/>
      <c r="W56" s="18"/>
      <c r="X56" s="18"/>
      <c r="Y56" s="18"/>
      <c r="Z56" s="18"/>
      <c r="AA56" s="18"/>
    </row>
    <row r="57" spans="1:27" ht="24" customHeight="1" x14ac:dyDescent="0.3">
      <c r="A57" s="233"/>
      <c r="B57" s="74" t="s">
        <v>45</v>
      </c>
      <c r="C57" s="32"/>
      <c r="D57" s="32"/>
      <c r="E57" s="54"/>
      <c r="F57" s="22"/>
      <c r="G57" s="25"/>
      <c r="H57" s="7"/>
      <c r="I57" s="50"/>
      <c r="J57" s="10"/>
      <c r="K57" s="50"/>
      <c r="L57" s="7"/>
      <c r="M57" s="50"/>
      <c r="N57" s="7"/>
      <c r="O57" s="50"/>
      <c r="P57" s="7"/>
      <c r="Q57" s="50"/>
      <c r="R57" s="7"/>
      <c r="S57" s="50"/>
      <c r="T57" s="7"/>
      <c r="U57" s="50"/>
      <c r="W57" s="18"/>
      <c r="X57" s="18"/>
      <c r="Y57" s="18"/>
      <c r="Z57" s="18"/>
      <c r="AA57" s="18"/>
    </row>
    <row r="58" spans="1:27" ht="27" thickBot="1" x14ac:dyDescent="0.35">
      <c r="A58" s="233"/>
      <c r="B58" s="26"/>
      <c r="C58" s="27">
        <f>SUM(C32:C57)</f>
        <v>11</v>
      </c>
      <c r="D58" s="27">
        <f>SUM(D32:D57)</f>
        <v>0</v>
      </c>
      <c r="E58" s="27">
        <f>SUM(E32:E57)</f>
        <v>0</v>
      </c>
      <c r="F58" s="27">
        <f>SUM(F32:F57)</f>
        <v>0</v>
      </c>
      <c r="G58" s="118"/>
      <c r="H58" s="2">
        <f t="shared" ref="H58:U58" si="2">SUM(H32:H57)</f>
        <v>0</v>
      </c>
      <c r="I58" s="2">
        <f t="shared" si="2"/>
        <v>0</v>
      </c>
      <c r="J58" s="2">
        <f t="shared" si="2"/>
        <v>0</v>
      </c>
      <c r="K58" s="2">
        <f t="shared" si="2"/>
        <v>0</v>
      </c>
      <c r="L58" s="2">
        <f t="shared" si="2"/>
        <v>0</v>
      </c>
      <c r="M58" s="2">
        <f t="shared" si="2"/>
        <v>0</v>
      </c>
      <c r="N58" s="2">
        <f t="shared" si="2"/>
        <v>0</v>
      </c>
      <c r="O58" s="2">
        <f t="shared" si="2"/>
        <v>0</v>
      </c>
      <c r="P58" s="2">
        <f t="shared" si="2"/>
        <v>0</v>
      </c>
      <c r="Q58" s="2">
        <f t="shared" si="2"/>
        <v>0</v>
      </c>
      <c r="R58" s="2">
        <f t="shared" si="2"/>
        <v>0</v>
      </c>
      <c r="S58" s="2">
        <f t="shared" si="2"/>
        <v>0</v>
      </c>
      <c r="T58" s="2">
        <f t="shared" si="2"/>
        <v>0</v>
      </c>
      <c r="U58" s="2">
        <f t="shared" si="2"/>
        <v>0</v>
      </c>
    </row>
    <row r="59" spans="1:27" ht="24" customHeight="1" thickTop="1" x14ac:dyDescent="0.3">
      <c r="A59" s="252" t="s">
        <v>13</v>
      </c>
      <c r="B59" s="3" t="s">
        <v>28</v>
      </c>
      <c r="C59" s="7"/>
      <c r="D59" s="7"/>
      <c r="E59" s="50"/>
      <c r="F59" s="50"/>
      <c r="G59" s="118"/>
      <c r="H59" s="7"/>
      <c r="I59" s="50"/>
      <c r="J59" s="10"/>
      <c r="K59" s="50"/>
      <c r="L59" s="7"/>
      <c r="M59" s="50"/>
      <c r="N59" s="7"/>
      <c r="O59" s="50"/>
      <c r="P59" s="7"/>
      <c r="Q59" s="50"/>
      <c r="R59" s="7"/>
      <c r="S59" s="50"/>
      <c r="T59" s="7"/>
      <c r="U59" s="50"/>
    </row>
    <row r="60" spans="1:27" ht="24" customHeight="1" x14ac:dyDescent="0.3">
      <c r="A60" s="252"/>
      <c r="B60" s="3" t="s">
        <v>29</v>
      </c>
      <c r="C60" s="7"/>
      <c r="D60" s="7"/>
      <c r="E60" s="50"/>
      <c r="F60" s="50"/>
      <c r="G60" s="118"/>
      <c r="H60" s="7"/>
      <c r="I60" s="50"/>
      <c r="J60" s="10"/>
      <c r="K60" s="50"/>
      <c r="L60" s="7"/>
      <c r="M60" s="50"/>
      <c r="N60" s="7"/>
      <c r="O60" s="50"/>
      <c r="P60" s="7"/>
      <c r="Q60" s="50"/>
      <c r="R60" s="7"/>
      <c r="S60" s="50"/>
      <c r="T60" s="7"/>
      <c r="U60" s="50"/>
    </row>
    <row r="61" spans="1:27" ht="24" customHeight="1" x14ac:dyDescent="0.3">
      <c r="A61" s="252"/>
      <c r="B61" s="3" t="s">
        <v>35</v>
      </c>
      <c r="C61" s="7"/>
      <c r="D61" s="7"/>
      <c r="E61" s="50"/>
      <c r="F61" s="50"/>
      <c r="G61" s="118"/>
      <c r="H61" s="7"/>
      <c r="I61" s="50"/>
      <c r="J61" s="10"/>
      <c r="K61" s="50"/>
      <c r="L61" s="7"/>
      <c r="M61" s="50"/>
      <c r="N61" s="7"/>
      <c r="O61" s="50"/>
      <c r="P61" s="7"/>
      <c r="Q61" s="50"/>
      <c r="R61" s="7"/>
      <c r="S61" s="50"/>
      <c r="T61" s="7"/>
      <c r="U61" s="50"/>
    </row>
    <row r="62" spans="1:27" ht="24" customHeight="1" x14ac:dyDescent="0.3">
      <c r="A62" s="252"/>
      <c r="B62" s="3" t="s">
        <v>33</v>
      </c>
      <c r="C62" s="7"/>
      <c r="D62" s="7"/>
      <c r="E62" s="50"/>
      <c r="F62" s="50"/>
      <c r="G62" s="118"/>
      <c r="H62" s="7"/>
      <c r="I62" s="50"/>
      <c r="J62" s="10"/>
      <c r="K62" s="50"/>
      <c r="L62" s="7"/>
      <c r="M62" s="50"/>
      <c r="N62" s="7"/>
      <c r="O62" s="50"/>
      <c r="P62" s="7"/>
      <c r="Q62" s="50"/>
      <c r="R62" s="7"/>
      <c r="S62" s="50"/>
      <c r="T62" s="7"/>
      <c r="U62" s="50"/>
    </row>
    <row r="63" spans="1:27" ht="24" customHeight="1" x14ac:dyDescent="0.3">
      <c r="A63" s="252"/>
      <c r="B63" s="3" t="s">
        <v>30</v>
      </c>
      <c r="C63" s="7"/>
      <c r="D63" s="7"/>
      <c r="E63" s="50"/>
      <c r="F63" s="50"/>
      <c r="G63" s="118"/>
      <c r="H63" s="7"/>
      <c r="I63" s="50"/>
      <c r="J63" s="10"/>
      <c r="K63" s="50"/>
      <c r="L63" s="7"/>
      <c r="M63" s="50"/>
      <c r="N63" s="7"/>
      <c r="O63" s="50"/>
      <c r="P63" s="7"/>
      <c r="Q63" s="50"/>
      <c r="R63" s="7"/>
      <c r="S63" s="50"/>
      <c r="T63" s="7"/>
      <c r="U63" s="50"/>
    </row>
    <row r="64" spans="1:27" ht="24" customHeight="1" x14ac:dyDescent="0.3">
      <c r="A64" s="252"/>
      <c r="B64" s="3" t="s">
        <v>31</v>
      </c>
      <c r="C64" s="7"/>
      <c r="D64" s="7"/>
      <c r="E64" s="50"/>
      <c r="F64" s="50"/>
      <c r="G64" s="118"/>
      <c r="H64" s="7"/>
      <c r="I64" s="50"/>
      <c r="J64" s="10"/>
      <c r="K64" s="50"/>
      <c r="L64" s="7"/>
      <c r="M64" s="50"/>
      <c r="N64" s="7"/>
      <c r="O64" s="50"/>
      <c r="P64" s="7"/>
      <c r="Q64" s="50"/>
      <c r="R64" s="7"/>
      <c r="S64" s="50"/>
      <c r="T64" s="7"/>
      <c r="U64" s="50"/>
    </row>
    <row r="65" spans="1:39" ht="24" customHeight="1" x14ac:dyDescent="0.3">
      <c r="A65" s="252"/>
      <c r="B65" s="3" t="s">
        <v>32</v>
      </c>
      <c r="C65" s="7"/>
      <c r="D65" s="7"/>
      <c r="E65" s="50"/>
      <c r="F65" s="50"/>
      <c r="G65" s="118"/>
      <c r="H65" s="7"/>
      <c r="I65" s="50"/>
      <c r="J65" s="10"/>
      <c r="K65" s="50"/>
      <c r="L65" s="7"/>
      <c r="M65" s="50"/>
      <c r="N65" s="7"/>
      <c r="O65" s="50"/>
      <c r="P65" s="7"/>
      <c r="Q65" s="50"/>
      <c r="R65" s="7"/>
      <c r="S65" s="50"/>
      <c r="T65" s="7"/>
      <c r="U65" s="50"/>
    </row>
    <row r="66" spans="1:39" ht="24" customHeight="1" x14ac:dyDescent="0.3">
      <c r="A66" s="252"/>
      <c r="B66" s="99" t="s">
        <v>93</v>
      </c>
      <c r="C66" s="7"/>
      <c r="D66" s="7"/>
      <c r="E66" s="50"/>
      <c r="F66" s="50"/>
      <c r="G66" s="118"/>
      <c r="H66" s="7"/>
      <c r="I66" s="50"/>
      <c r="J66" s="10"/>
      <c r="K66" s="50"/>
      <c r="L66" s="7"/>
      <c r="M66" s="50"/>
      <c r="N66" s="7"/>
      <c r="O66" s="50"/>
      <c r="P66" s="7"/>
      <c r="Q66" s="50"/>
      <c r="R66" s="7"/>
      <c r="S66" s="50"/>
      <c r="T66" s="7"/>
      <c r="U66" s="50"/>
    </row>
    <row r="67" spans="1:39" ht="26.25" x14ac:dyDescent="0.3">
      <c r="A67" s="253"/>
      <c r="B67" s="36"/>
      <c r="C67" s="17">
        <f>SUM(C59:C66)</f>
        <v>0</v>
      </c>
      <c r="D67" s="17">
        <f>SUM(D59:D66)</f>
        <v>0</v>
      </c>
      <c r="E67" s="17">
        <f>SUM(E59:E66)</f>
        <v>0</v>
      </c>
      <c r="F67" s="17">
        <f>SUM(F59:F66)</f>
        <v>0</v>
      </c>
      <c r="G67" s="118"/>
      <c r="H67" s="17">
        <f t="shared" ref="H67:S67" si="3">SUM(H59:H66)</f>
        <v>0</v>
      </c>
      <c r="I67" s="17">
        <f t="shared" si="3"/>
        <v>0</v>
      </c>
      <c r="J67" s="17">
        <f t="shared" si="3"/>
        <v>0</v>
      </c>
      <c r="K67" s="17">
        <f t="shared" si="3"/>
        <v>0</v>
      </c>
      <c r="L67" s="17">
        <f t="shared" si="3"/>
        <v>0</v>
      </c>
      <c r="M67" s="17">
        <f t="shared" si="3"/>
        <v>0</v>
      </c>
      <c r="N67" s="17">
        <f t="shared" si="3"/>
        <v>0</v>
      </c>
      <c r="O67" s="17">
        <f t="shared" si="3"/>
        <v>0</v>
      </c>
      <c r="P67" s="17">
        <f t="shared" si="3"/>
        <v>0</v>
      </c>
      <c r="Q67" s="17">
        <f t="shared" si="3"/>
        <v>0</v>
      </c>
      <c r="R67" s="17">
        <f t="shared" si="3"/>
        <v>0</v>
      </c>
      <c r="S67" s="17">
        <f t="shared" si="3"/>
        <v>0</v>
      </c>
      <c r="T67" s="17">
        <f>SUM(T59:T66)</f>
        <v>0</v>
      </c>
      <c r="U67" s="17">
        <f>SUM(U59:U66)</f>
        <v>0</v>
      </c>
      <c r="AA67" s="254"/>
      <c r="AB67" s="254"/>
      <c r="AC67" s="254"/>
      <c r="AD67" s="254"/>
      <c r="AF67" s="234"/>
      <c r="AG67" s="234"/>
      <c r="AH67" s="234"/>
      <c r="AI67" s="234"/>
      <c r="AJ67" s="234"/>
      <c r="AL67" s="234"/>
      <c r="AM67" s="234"/>
    </row>
    <row r="69" spans="1:39" ht="19.5" customHeight="1" x14ac:dyDescent="0.35">
      <c r="A69" s="235" t="s">
        <v>23</v>
      </c>
      <c r="B69" s="235"/>
      <c r="C69" s="20">
        <v>41000</v>
      </c>
      <c r="D69" s="20">
        <v>4100</v>
      </c>
      <c r="E69" s="20">
        <v>55000</v>
      </c>
      <c r="F69" s="20">
        <v>5500</v>
      </c>
      <c r="H69" s="19">
        <v>5500</v>
      </c>
      <c r="I69" s="19">
        <v>4100</v>
      </c>
      <c r="J69" s="19">
        <v>6800</v>
      </c>
      <c r="K69" s="20">
        <v>5200</v>
      </c>
      <c r="L69" s="20">
        <v>20700</v>
      </c>
      <c r="M69" s="20">
        <v>6400</v>
      </c>
      <c r="N69" s="19">
        <v>18700</v>
      </c>
      <c r="O69" s="20">
        <v>21700</v>
      </c>
      <c r="P69" s="106">
        <v>8300</v>
      </c>
      <c r="Q69" s="19">
        <v>15200</v>
      </c>
      <c r="R69" s="20">
        <v>13100</v>
      </c>
      <c r="S69" s="19">
        <v>8500</v>
      </c>
      <c r="T69" s="19">
        <v>8500</v>
      </c>
      <c r="U69" s="19">
        <v>8500</v>
      </c>
      <c r="W69" s="236">
        <f>P72*0.85</f>
        <v>383350</v>
      </c>
      <c r="X69" s="237"/>
      <c r="Y69" s="238"/>
      <c r="AA69" s="242">
        <f>P74-P72</f>
        <v>0</v>
      </c>
      <c r="AB69" s="243"/>
      <c r="AC69" s="243"/>
      <c r="AD69" s="243"/>
      <c r="AF69" s="234"/>
      <c r="AG69" s="234"/>
      <c r="AH69" s="234"/>
      <c r="AI69" s="234"/>
      <c r="AJ69" s="234"/>
      <c r="AL69" s="234"/>
      <c r="AM69" s="234"/>
    </row>
    <row r="70" spans="1:39" ht="19.5" customHeight="1" x14ac:dyDescent="0.35">
      <c r="A70" s="235" t="s">
        <v>24</v>
      </c>
      <c r="B70" s="235"/>
      <c r="C70" s="20">
        <f>C69*C3</f>
        <v>451000</v>
      </c>
      <c r="D70" s="20">
        <f>D69*D3</f>
        <v>0</v>
      </c>
      <c r="E70" s="20">
        <f>E69*E3</f>
        <v>0</v>
      </c>
      <c r="F70" s="20">
        <f>F69*F3</f>
        <v>0</v>
      </c>
      <c r="H70" s="20">
        <f t="shared" ref="H70:U70" si="4">H69*H3</f>
        <v>0</v>
      </c>
      <c r="I70" s="20">
        <f t="shared" si="4"/>
        <v>0</v>
      </c>
      <c r="J70" s="20">
        <f t="shared" si="4"/>
        <v>0</v>
      </c>
      <c r="K70" s="20">
        <f t="shared" si="4"/>
        <v>0</v>
      </c>
      <c r="L70" s="20">
        <f t="shared" si="4"/>
        <v>0</v>
      </c>
      <c r="M70" s="20">
        <f t="shared" si="4"/>
        <v>0</v>
      </c>
      <c r="N70" s="20">
        <f t="shared" si="4"/>
        <v>0</v>
      </c>
      <c r="O70" s="20">
        <f t="shared" si="4"/>
        <v>0</v>
      </c>
      <c r="P70" s="20">
        <f t="shared" si="4"/>
        <v>0</v>
      </c>
      <c r="Q70" s="20">
        <f t="shared" si="4"/>
        <v>0</v>
      </c>
      <c r="R70" s="20">
        <f t="shared" si="4"/>
        <v>0</v>
      </c>
      <c r="S70" s="20">
        <f t="shared" si="4"/>
        <v>0</v>
      </c>
      <c r="T70" s="20">
        <f t="shared" si="4"/>
        <v>0</v>
      </c>
      <c r="U70" s="20">
        <f t="shared" si="4"/>
        <v>0</v>
      </c>
      <c r="W70" s="239"/>
      <c r="X70" s="240"/>
      <c r="Y70" s="241"/>
      <c r="AA70" s="243"/>
      <c r="AB70" s="243"/>
      <c r="AC70" s="243"/>
      <c r="AD70" s="243"/>
      <c r="AF70" s="234"/>
      <c r="AG70" s="234"/>
      <c r="AH70" s="234"/>
      <c r="AI70" s="234"/>
      <c r="AJ70" s="234"/>
      <c r="AL70" s="234"/>
      <c r="AM70" s="234"/>
    </row>
    <row r="72" spans="1:39" ht="26.25" x14ac:dyDescent="0.3">
      <c r="P72" s="259">
        <f>SUM(C70:U70)</f>
        <v>451000</v>
      </c>
      <c r="Q72" s="260"/>
      <c r="W72" s="247"/>
      <c r="X72" s="248"/>
      <c r="Y72" s="248"/>
      <c r="AA72" s="249"/>
      <c r="AB72" s="250"/>
      <c r="AC72" s="250"/>
      <c r="AD72" s="251"/>
    </row>
    <row r="74" spans="1:39" ht="26.25" x14ac:dyDescent="0.3">
      <c r="C74" s="244"/>
      <c r="D74" s="245"/>
      <c r="P74" s="246">
        <v>451000</v>
      </c>
      <c r="Q74" s="246"/>
      <c r="W74" s="247">
        <f>P74*0.85</f>
        <v>383350</v>
      </c>
      <c r="X74" s="248"/>
      <c r="Y74" s="248"/>
      <c r="AA74" s="249"/>
      <c r="AB74" s="250"/>
      <c r="AC74" s="250"/>
      <c r="AD74" s="251"/>
    </row>
    <row r="75" spans="1:39" x14ac:dyDescent="0.3">
      <c r="Q75" s="18"/>
      <c r="S75" s="18"/>
      <c r="U75" s="18"/>
      <c r="W75" s="245"/>
      <c r="X75" s="245"/>
      <c r="Y75" s="245"/>
      <c r="AA75" s="255"/>
      <c r="AB75" s="256"/>
      <c r="AC75" s="256"/>
      <c r="AD75" s="256"/>
    </row>
    <row r="76" spans="1:39" x14ac:dyDescent="0.3">
      <c r="P76" s="244"/>
      <c r="Q76" s="245"/>
      <c r="W76" s="245"/>
      <c r="X76" s="245"/>
      <c r="Y76" s="245"/>
      <c r="AA76" s="245"/>
      <c r="AB76" s="245"/>
      <c r="AC76" s="245"/>
      <c r="AD76" s="245"/>
    </row>
    <row r="77" spans="1:39" x14ac:dyDescent="0.3">
      <c r="P77" s="245"/>
      <c r="Q77" s="245"/>
      <c r="W77" s="245"/>
      <c r="X77" s="245"/>
      <c r="Y77" s="245"/>
      <c r="AA77" s="245"/>
      <c r="AB77" s="245"/>
      <c r="AC77" s="245"/>
      <c r="AD77" s="245"/>
    </row>
    <row r="78" spans="1:39" x14ac:dyDescent="0.3">
      <c r="P78" s="18"/>
      <c r="Q78" s="18"/>
      <c r="S78" s="18"/>
      <c r="U78" s="18"/>
      <c r="AA78" s="245"/>
      <c r="AB78" s="245"/>
      <c r="AC78" s="245"/>
      <c r="AD78" s="245"/>
    </row>
    <row r="79" spans="1:39" x14ac:dyDescent="0.3">
      <c r="C79">
        <f>C69*0.85</f>
        <v>34850</v>
      </c>
      <c r="D79">
        <f t="shared" ref="D79:R79" si="5">D69*0.85</f>
        <v>3485</v>
      </c>
      <c r="E79">
        <f t="shared" si="5"/>
        <v>46750</v>
      </c>
      <c r="F79">
        <f t="shared" si="5"/>
        <v>4675</v>
      </c>
      <c r="H79">
        <f t="shared" si="5"/>
        <v>4675</v>
      </c>
      <c r="I79">
        <f t="shared" si="5"/>
        <v>3485</v>
      </c>
      <c r="J79">
        <f t="shared" si="5"/>
        <v>5780</v>
      </c>
      <c r="K79">
        <f t="shared" si="5"/>
        <v>4420</v>
      </c>
      <c r="L79">
        <f t="shared" si="5"/>
        <v>17595</v>
      </c>
      <c r="M79">
        <f t="shared" si="5"/>
        <v>5440</v>
      </c>
      <c r="N79">
        <f t="shared" si="5"/>
        <v>15895</v>
      </c>
      <c r="O79">
        <f t="shared" si="5"/>
        <v>18445</v>
      </c>
      <c r="P79">
        <f t="shared" si="5"/>
        <v>7055</v>
      </c>
      <c r="Q79">
        <f t="shared" si="5"/>
        <v>12920</v>
      </c>
      <c r="R79">
        <f t="shared" si="5"/>
        <v>11135</v>
      </c>
      <c r="S79">
        <f>S69*0.85</f>
        <v>7225</v>
      </c>
      <c r="T79">
        <f>T69*0.85</f>
        <v>7225</v>
      </c>
      <c r="U79">
        <f>U69*0.85</f>
        <v>7225</v>
      </c>
    </row>
    <row r="80" spans="1:39" x14ac:dyDescent="0.3">
      <c r="C80">
        <v>29500</v>
      </c>
      <c r="D80">
        <v>2950</v>
      </c>
      <c r="E80">
        <v>51000</v>
      </c>
      <c r="F80">
        <v>5100</v>
      </c>
      <c r="H80">
        <v>3600</v>
      </c>
      <c r="I80">
        <v>2950</v>
      </c>
      <c r="J80">
        <v>4000</v>
      </c>
      <c r="K80">
        <v>4200</v>
      </c>
      <c r="L80">
        <v>15000</v>
      </c>
      <c r="M80">
        <v>4500</v>
      </c>
      <c r="N80">
        <v>9500</v>
      </c>
      <c r="O80">
        <v>12000</v>
      </c>
      <c r="P80">
        <v>8000</v>
      </c>
      <c r="Q80">
        <v>12000</v>
      </c>
      <c r="R80">
        <v>8500</v>
      </c>
    </row>
    <row r="81" spans="3:30" x14ac:dyDescent="0.3">
      <c r="C81">
        <f>C79-C80</f>
        <v>5350</v>
      </c>
      <c r="D81">
        <f t="shared" ref="D81:R81" si="6">D79-D80</f>
        <v>535</v>
      </c>
      <c r="E81">
        <f t="shared" si="6"/>
        <v>-4250</v>
      </c>
      <c r="F81">
        <f t="shared" si="6"/>
        <v>-425</v>
      </c>
      <c r="H81">
        <f t="shared" si="6"/>
        <v>1075</v>
      </c>
      <c r="I81">
        <f t="shared" si="6"/>
        <v>535</v>
      </c>
      <c r="J81">
        <f t="shared" si="6"/>
        <v>1780</v>
      </c>
      <c r="K81">
        <f t="shared" si="6"/>
        <v>220</v>
      </c>
      <c r="L81">
        <f t="shared" si="6"/>
        <v>2595</v>
      </c>
      <c r="M81">
        <f t="shared" si="6"/>
        <v>940</v>
      </c>
      <c r="N81">
        <f t="shared" si="6"/>
        <v>6395</v>
      </c>
      <c r="O81">
        <f t="shared" si="6"/>
        <v>6445</v>
      </c>
      <c r="P81">
        <f t="shared" si="6"/>
        <v>-945</v>
      </c>
      <c r="Q81">
        <f t="shared" si="6"/>
        <v>920</v>
      </c>
      <c r="R81">
        <f t="shared" si="6"/>
        <v>2635</v>
      </c>
    </row>
    <row r="82" spans="3:30" x14ac:dyDescent="0.3">
      <c r="C82">
        <f>C81*C3</f>
        <v>58850</v>
      </c>
      <c r="D82">
        <f t="shared" ref="D82:R82" si="7">D81*D3</f>
        <v>0</v>
      </c>
      <c r="E82">
        <f t="shared" si="7"/>
        <v>0</v>
      </c>
      <c r="F82">
        <f t="shared" si="7"/>
        <v>0</v>
      </c>
      <c r="G82">
        <f t="shared" si="7"/>
        <v>0</v>
      </c>
      <c r="H82">
        <f t="shared" si="7"/>
        <v>0</v>
      </c>
      <c r="I82">
        <f t="shared" si="7"/>
        <v>0</v>
      </c>
      <c r="J82">
        <f t="shared" si="7"/>
        <v>0</v>
      </c>
      <c r="K82">
        <f t="shared" si="7"/>
        <v>0</v>
      </c>
      <c r="L82">
        <f t="shared" si="7"/>
        <v>0</v>
      </c>
      <c r="M82">
        <f t="shared" si="7"/>
        <v>0</v>
      </c>
      <c r="N82">
        <f t="shared" si="7"/>
        <v>0</v>
      </c>
      <c r="O82">
        <f t="shared" si="7"/>
        <v>0</v>
      </c>
      <c r="P82">
        <f t="shared" si="7"/>
        <v>0</v>
      </c>
      <c r="Q82">
        <f t="shared" si="7"/>
        <v>0</v>
      </c>
      <c r="R82">
        <f t="shared" si="7"/>
        <v>0</v>
      </c>
      <c r="Z82" s="245"/>
      <c r="AA82" s="245"/>
      <c r="AB82" s="245"/>
      <c r="AC82" s="245"/>
      <c r="AD82" s="245"/>
    </row>
    <row r="83" spans="3:30" x14ac:dyDescent="0.3">
      <c r="Z83" s="245"/>
      <c r="AA83" s="245"/>
      <c r="AB83" s="245"/>
      <c r="AC83" s="245"/>
      <c r="AD83" s="245"/>
    </row>
    <row r="84" spans="3:30" ht="26.25" x14ac:dyDescent="0.3">
      <c r="P84" s="257">
        <f>SUM(C82:R82)</f>
        <v>58850</v>
      </c>
      <c r="Q84" s="258"/>
    </row>
  </sheetData>
  <mergeCells count="28">
    <mergeCell ref="W75:Y77"/>
    <mergeCell ref="AA75:AD78"/>
    <mergeCell ref="P76:Q77"/>
    <mergeCell ref="Z82:AD83"/>
    <mergeCell ref="P84:Q84"/>
    <mergeCell ref="P72:Q72"/>
    <mergeCell ref="W72:Y72"/>
    <mergeCell ref="AA72:AD72"/>
    <mergeCell ref="C74:D74"/>
    <mergeCell ref="P74:Q74"/>
    <mergeCell ref="W74:Y74"/>
    <mergeCell ref="AA74:AD74"/>
    <mergeCell ref="A59:A67"/>
    <mergeCell ref="AA67:AD67"/>
    <mergeCell ref="AF67:AJ67"/>
    <mergeCell ref="AL67:AM67"/>
    <mergeCell ref="A69:B69"/>
    <mergeCell ref="W69:Y70"/>
    <mergeCell ref="AA69:AD70"/>
    <mergeCell ref="AF69:AJ70"/>
    <mergeCell ref="AL69:AM70"/>
    <mergeCell ref="A70:B70"/>
    <mergeCell ref="A1:B2"/>
    <mergeCell ref="C1:D1"/>
    <mergeCell ref="E1:F1"/>
    <mergeCell ref="A4:A31"/>
    <mergeCell ref="X28:AB28"/>
    <mergeCell ref="A32:A58"/>
  </mergeCells>
  <phoneticPr fontId="37" type="noConversion"/>
  <conditionalFormatting sqref="B7:B11">
    <cfRule type="duplicateValues" dxfId="173" priority="2"/>
  </conditionalFormatting>
  <conditionalFormatting sqref="B59:B66">
    <cfRule type="duplicateValues" dxfId="172" priority="3"/>
  </conditionalFormatting>
  <conditionalFormatting sqref="B12">
    <cfRule type="duplicateValues" dxfId="171" priority="1"/>
  </conditionalFormatting>
  <conditionalFormatting sqref="B4:B6 B13:B30">
    <cfRule type="expression" dxfId="170" priority="5" stopIfTrue="1">
      <formula>AND(COUNTIF($B$4:$B$6, B4)+COUNTIF($B$13:$B$30, B4)&gt;1,NOT(ISBLANK(B4)))</formula>
    </cfRule>
  </conditionalFormatting>
  <conditionalFormatting sqref="B32:B57">
    <cfRule type="duplicateValues" dxfId="169" priority="4"/>
  </conditionalFormatting>
  <printOptions horizontalCentered="1" verticalCentered="1"/>
  <pageMargins left="0" right="0" top="7.874015748031496E-2" bottom="7.874015748031496E-2" header="0" footer="0"/>
  <pageSetup paperSize="9" scale="23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V17"/>
  <sheetViews>
    <sheetView zoomScale="70" zoomScaleNormal="70" workbookViewId="0">
      <pane ySplit="3" topLeftCell="A4" activePane="bottomLeft" state="frozen"/>
      <selection activeCell="W59" sqref="W59"/>
      <selection pane="bottomLeft" sqref="A1:B2"/>
    </sheetView>
  </sheetViews>
  <sheetFormatPr defaultRowHeight="16.5" x14ac:dyDescent="0.3"/>
  <cols>
    <col min="1" max="1" width="32.875" customWidth="1"/>
    <col min="2" max="6" width="10" customWidth="1"/>
    <col min="7" max="7" width="5.75" customWidth="1"/>
    <col min="8" max="8" width="18.5" customWidth="1"/>
    <col min="9" max="22" width="10.875" customWidth="1"/>
  </cols>
  <sheetData>
    <row r="1" spans="1:22" ht="113.25" customHeight="1" x14ac:dyDescent="0.3">
      <c r="A1" s="222" t="s">
        <v>116</v>
      </c>
      <c r="B1" s="223"/>
      <c r="C1" s="267" t="s">
        <v>97</v>
      </c>
      <c r="D1" s="268"/>
      <c r="E1" s="228" t="s">
        <v>98</v>
      </c>
      <c r="F1" s="228"/>
      <c r="G1" s="8"/>
      <c r="H1" s="269" t="s">
        <v>18</v>
      </c>
      <c r="I1" s="72" t="s">
        <v>20</v>
      </c>
      <c r="J1" s="117" t="s">
        <v>21</v>
      </c>
      <c r="K1" s="5" t="s">
        <v>101</v>
      </c>
      <c r="L1" s="117" t="s">
        <v>100</v>
      </c>
      <c r="M1" s="5" t="s">
        <v>96</v>
      </c>
      <c r="N1" s="117" t="s">
        <v>99</v>
      </c>
      <c r="O1" s="5" t="s">
        <v>114</v>
      </c>
      <c r="P1" s="117" t="s">
        <v>115</v>
      </c>
      <c r="Q1" s="5" t="s">
        <v>104</v>
      </c>
      <c r="R1" s="117" t="s">
        <v>105</v>
      </c>
      <c r="S1" s="5" t="s">
        <v>106</v>
      </c>
      <c r="T1" s="117" t="s">
        <v>85</v>
      </c>
      <c r="U1" s="5" t="s">
        <v>86</v>
      </c>
      <c r="V1" s="117" t="s">
        <v>88</v>
      </c>
    </row>
    <row r="2" spans="1:22" ht="43.5" customHeight="1" x14ac:dyDescent="0.3">
      <c r="A2" s="224"/>
      <c r="B2" s="225"/>
      <c r="C2" s="73" t="s">
        <v>2</v>
      </c>
      <c r="D2" s="73" t="s">
        <v>22</v>
      </c>
      <c r="E2" s="1" t="s">
        <v>2</v>
      </c>
      <c r="F2" s="1" t="s">
        <v>1</v>
      </c>
      <c r="G2" s="9"/>
      <c r="H2" s="270"/>
      <c r="I2" s="6" t="s">
        <v>3</v>
      </c>
      <c r="J2" s="1" t="s">
        <v>1</v>
      </c>
      <c r="K2" s="6" t="s">
        <v>3</v>
      </c>
      <c r="L2" s="1" t="s">
        <v>1</v>
      </c>
      <c r="M2" s="6" t="s">
        <v>3</v>
      </c>
      <c r="N2" s="1" t="s">
        <v>1</v>
      </c>
      <c r="O2" s="6" t="s">
        <v>3</v>
      </c>
      <c r="P2" s="1" t="s">
        <v>1</v>
      </c>
      <c r="Q2" s="6" t="s">
        <v>3</v>
      </c>
      <c r="R2" s="1" t="s">
        <v>1</v>
      </c>
      <c r="S2" s="6" t="s">
        <v>3</v>
      </c>
      <c r="T2" s="1" t="s">
        <v>1</v>
      </c>
      <c r="U2" s="6" t="s">
        <v>3</v>
      </c>
      <c r="V2" s="1" t="s">
        <v>3</v>
      </c>
    </row>
    <row r="3" spans="1:22" ht="39" customHeight="1" thickBot="1" x14ac:dyDescent="0.35">
      <c r="A3" s="271" t="s">
        <v>10</v>
      </c>
      <c r="B3" s="272"/>
      <c r="C3" s="44">
        <f>SUM(C4:C19)</f>
        <v>11</v>
      </c>
      <c r="D3" s="44">
        <f>SUM(D4:D19)</f>
        <v>0</v>
      </c>
      <c r="E3" s="44">
        <f>SUM(E4:E19)</f>
        <v>0</v>
      </c>
      <c r="F3" s="44">
        <f>SUM(F4:F19)</f>
        <v>0</v>
      </c>
      <c r="G3" s="118"/>
      <c r="H3" s="13" t="s">
        <v>10</v>
      </c>
      <c r="I3" s="44">
        <f t="shared" ref="I3:V3" si="0">SUM(I4:I11)</f>
        <v>0</v>
      </c>
      <c r="J3" s="44">
        <f t="shared" si="0"/>
        <v>0</v>
      </c>
      <c r="K3" s="44">
        <f t="shared" si="0"/>
        <v>0</v>
      </c>
      <c r="L3" s="44">
        <f t="shared" si="0"/>
        <v>0</v>
      </c>
      <c r="M3" s="44">
        <f t="shared" si="0"/>
        <v>0</v>
      </c>
      <c r="N3" s="44">
        <f t="shared" si="0"/>
        <v>0</v>
      </c>
      <c r="O3" s="44">
        <f t="shared" si="0"/>
        <v>0</v>
      </c>
      <c r="P3" s="44">
        <f t="shared" si="0"/>
        <v>0</v>
      </c>
      <c r="Q3" s="44">
        <f t="shared" si="0"/>
        <v>0</v>
      </c>
      <c r="R3" s="44">
        <f t="shared" si="0"/>
        <v>0</v>
      </c>
      <c r="S3" s="44">
        <f t="shared" si="0"/>
        <v>0</v>
      </c>
      <c r="T3" s="44">
        <f t="shared" si="0"/>
        <v>0</v>
      </c>
      <c r="U3" s="44">
        <f t="shared" si="0"/>
        <v>0</v>
      </c>
      <c r="V3" s="93">
        <f t="shared" si="0"/>
        <v>0</v>
      </c>
    </row>
    <row r="4" spans="1:22" ht="82.7" customHeight="1" thickTop="1" x14ac:dyDescent="0.3">
      <c r="A4" s="273" t="s">
        <v>15</v>
      </c>
      <c r="B4" s="274"/>
      <c r="C4" s="57">
        <f>'학교별02.20'!C31</f>
        <v>0</v>
      </c>
      <c r="D4" s="57">
        <f>'학교별02.20'!D31</f>
        <v>0</v>
      </c>
      <c r="E4" s="58">
        <f>'학교별02.20'!E31</f>
        <v>0</v>
      </c>
      <c r="F4" s="59">
        <f>'학교별02.20'!F31</f>
        <v>0</v>
      </c>
      <c r="G4" s="118"/>
      <c r="H4" s="49" t="s">
        <v>15</v>
      </c>
      <c r="I4" s="47">
        <f>'학교별02.20'!H31</f>
        <v>0</v>
      </c>
      <c r="J4" s="45">
        <f>'학교별02.20'!I31</f>
        <v>0</v>
      </c>
      <c r="K4" s="47">
        <f>'학교별02.20'!J31</f>
        <v>0</v>
      </c>
      <c r="L4" s="45">
        <f>'학교별02.20'!K31</f>
        <v>0</v>
      </c>
      <c r="M4" s="47">
        <f>'학교별02.20'!L31</f>
        <v>0</v>
      </c>
      <c r="N4" s="45">
        <f>'학교별02.20'!M31</f>
        <v>0</v>
      </c>
      <c r="O4" s="47">
        <f>'학교별02.20'!N31</f>
        <v>0</v>
      </c>
      <c r="P4" s="45">
        <f>'학교별02.20'!O31</f>
        <v>0</v>
      </c>
      <c r="Q4" s="47">
        <f>'학교별02.20'!P31</f>
        <v>0</v>
      </c>
      <c r="R4" s="45">
        <f>'학교별02.20'!Q31</f>
        <v>0</v>
      </c>
      <c r="S4" s="47">
        <f>'학교별02.20'!R31</f>
        <v>0</v>
      </c>
      <c r="T4" s="45">
        <f>'학교별02.20'!S31</f>
        <v>0</v>
      </c>
      <c r="U4" s="47">
        <f>'학교별02.20'!T31</f>
        <v>0</v>
      </c>
      <c r="V4" s="87">
        <f>'학교별02.20'!U31</f>
        <v>0</v>
      </c>
    </row>
    <row r="5" spans="1:22" ht="82.7" customHeight="1" thickBot="1" x14ac:dyDescent="0.35">
      <c r="A5" s="275"/>
      <c r="B5" s="276"/>
      <c r="C5" s="79"/>
      <c r="D5" s="60"/>
      <c r="E5" s="62"/>
      <c r="F5" s="61"/>
      <c r="G5" s="118"/>
      <c r="H5" s="40"/>
      <c r="I5" s="83"/>
      <c r="J5" s="81"/>
      <c r="K5" s="95"/>
      <c r="L5" s="81"/>
      <c r="M5" s="84"/>
      <c r="N5" s="81"/>
      <c r="O5" s="83"/>
      <c r="P5" s="42"/>
      <c r="Q5" s="41"/>
      <c r="R5" s="42"/>
      <c r="S5" s="83"/>
      <c r="T5" s="42"/>
      <c r="U5" s="41"/>
      <c r="V5" s="94"/>
    </row>
    <row r="6" spans="1:22" ht="18" thickTop="1" thickBot="1" x14ac:dyDescent="0.35">
      <c r="H6" s="33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89"/>
    </row>
    <row r="7" spans="1:22" ht="82.7" customHeight="1" thickTop="1" x14ac:dyDescent="0.3">
      <c r="A7" s="277" t="s">
        <v>26</v>
      </c>
      <c r="B7" s="278"/>
      <c r="C7" s="47">
        <f>'학교별02.20'!C58</f>
        <v>11</v>
      </c>
      <c r="D7" s="47">
        <f>'학교별02.20'!D58</f>
        <v>0</v>
      </c>
      <c r="E7" s="45">
        <f>'학교별02.20'!E58</f>
        <v>0</v>
      </c>
      <c r="F7" s="45">
        <f>'학교별02.20'!F58</f>
        <v>0</v>
      </c>
      <c r="G7" s="37"/>
      <c r="H7" s="55" t="s">
        <v>17</v>
      </c>
      <c r="I7" s="48">
        <f>'학교별02.20'!H58</f>
        <v>0</v>
      </c>
      <c r="J7" s="46">
        <f>'학교별02.20'!I58</f>
        <v>0</v>
      </c>
      <c r="K7" s="48">
        <f>'학교별02.20'!J58</f>
        <v>0</v>
      </c>
      <c r="L7" s="46">
        <f>'학교별02.20'!K58</f>
        <v>0</v>
      </c>
      <c r="M7" s="48">
        <f>'학교별02.20'!L58</f>
        <v>0</v>
      </c>
      <c r="N7" s="46">
        <f>'학교별02.20'!M58</f>
        <v>0</v>
      </c>
      <c r="O7" s="48">
        <f>'학교별02.20'!N58</f>
        <v>0</v>
      </c>
      <c r="P7" s="46">
        <f>'학교별02.20'!O58</f>
        <v>0</v>
      </c>
      <c r="Q7" s="48">
        <f>'학교별02.20'!P58</f>
        <v>0</v>
      </c>
      <c r="R7" s="46">
        <f>'학교별02.20'!Q58</f>
        <v>0</v>
      </c>
      <c r="S7" s="48">
        <f>'학교별02.20'!R58</f>
        <v>0</v>
      </c>
      <c r="T7" s="46">
        <f>'학교별02.20'!S58</f>
        <v>0</v>
      </c>
      <c r="U7" s="48">
        <f>'학교별02.20'!T58</f>
        <v>0</v>
      </c>
      <c r="V7" s="90">
        <f>'학교별02.20'!U58</f>
        <v>0</v>
      </c>
    </row>
    <row r="8" spans="1:22" ht="82.7" customHeight="1" thickBot="1" x14ac:dyDescent="0.35">
      <c r="A8" s="261"/>
      <c r="B8" s="262"/>
      <c r="C8" s="75"/>
      <c r="D8" s="96"/>
      <c r="E8" s="78"/>
      <c r="F8" s="38"/>
      <c r="G8" s="39"/>
      <c r="H8" s="118"/>
      <c r="I8" s="41"/>
      <c r="J8" s="42"/>
      <c r="K8" s="41"/>
      <c r="L8" s="42"/>
      <c r="M8" s="41"/>
      <c r="N8" s="42"/>
      <c r="O8" s="41"/>
      <c r="P8" s="42"/>
      <c r="Q8" s="41"/>
      <c r="R8" s="98"/>
      <c r="S8" s="41"/>
      <c r="T8" s="42"/>
      <c r="U8" s="41"/>
      <c r="V8" s="88"/>
    </row>
    <row r="9" spans="1:22" ht="18" thickTop="1" thickBot="1" x14ac:dyDescent="0.35">
      <c r="H9" s="33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89"/>
    </row>
    <row r="10" spans="1:22" ht="82.7" customHeight="1" thickTop="1" x14ac:dyDescent="0.3">
      <c r="A10" s="263" t="s">
        <v>16</v>
      </c>
      <c r="B10" s="264"/>
      <c r="C10" s="65">
        <f>'학교별02.20'!C67</f>
        <v>0</v>
      </c>
      <c r="D10" s="65">
        <f>'학교별02.20'!D67</f>
        <v>0</v>
      </c>
      <c r="E10" s="66">
        <f>'학교별02.20'!E67</f>
        <v>0</v>
      </c>
      <c r="F10" s="67">
        <f>'학교별02.20'!F67</f>
        <v>0</v>
      </c>
      <c r="G10" s="118"/>
      <c r="H10" s="53" t="s">
        <v>25</v>
      </c>
      <c r="I10" s="52">
        <f>'학교별02.20'!H67</f>
        <v>0</v>
      </c>
      <c r="J10" s="51">
        <f>'학교별02.20'!I67</f>
        <v>0</v>
      </c>
      <c r="K10" s="52">
        <f>'학교별02.20'!J67</f>
        <v>0</v>
      </c>
      <c r="L10" s="51">
        <f>'학교별02.20'!K67</f>
        <v>0</v>
      </c>
      <c r="M10" s="52">
        <f>'학교별02.20'!L67</f>
        <v>0</v>
      </c>
      <c r="N10" s="51">
        <f>'학교별02.20'!M67</f>
        <v>0</v>
      </c>
      <c r="O10" s="52">
        <f>'학교별02.20'!N67</f>
        <v>0</v>
      </c>
      <c r="P10" s="51">
        <f>'학교별02.20'!O67</f>
        <v>0</v>
      </c>
      <c r="Q10" s="52">
        <f>'학교별02.20'!P67</f>
        <v>0</v>
      </c>
      <c r="R10" s="51">
        <f>'학교별02.20'!Q67</f>
        <v>0</v>
      </c>
      <c r="S10" s="52">
        <f>'학교별02.20'!R67</f>
        <v>0</v>
      </c>
      <c r="T10" s="51">
        <f>'학교별02.20'!S67</f>
        <v>0</v>
      </c>
      <c r="U10" s="52">
        <f>'학교별02.20'!T67</f>
        <v>0</v>
      </c>
      <c r="V10" s="91">
        <f>'학교별02.20'!U67</f>
        <v>0</v>
      </c>
    </row>
    <row r="11" spans="1:22" ht="82.7" customHeight="1" thickBot="1" x14ac:dyDescent="0.35">
      <c r="A11" s="265"/>
      <c r="B11" s="266"/>
      <c r="C11" s="68"/>
      <c r="D11" s="69"/>
      <c r="E11" s="70"/>
      <c r="F11" s="71"/>
      <c r="H11" s="64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92"/>
    </row>
    <row r="12" spans="1:22" ht="17.25" thickTop="1" x14ac:dyDescent="0.3"/>
    <row r="17" spans="8:8" x14ac:dyDescent="0.3">
      <c r="H17" t="s">
        <v>83</v>
      </c>
    </row>
  </sheetData>
  <mergeCells count="11">
    <mergeCell ref="A8:B8"/>
    <mergeCell ref="A10:B10"/>
    <mergeCell ref="A11:B11"/>
    <mergeCell ref="A1:B2"/>
    <mergeCell ref="C1:D1"/>
    <mergeCell ref="E1:F1"/>
    <mergeCell ref="H1:H2"/>
    <mergeCell ref="A3:B3"/>
    <mergeCell ref="A4:B4"/>
    <mergeCell ref="A5:B5"/>
    <mergeCell ref="A7:B7"/>
  </mergeCells>
  <phoneticPr fontId="37" type="noConversion"/>
  <conditionalFormatting sqref="A10">
    <cfRule type="duplicateValues" dxfId="168" priority="1"/>
  </conditionalFormatting>
  <conditionalFormatting sqref="A4:A5">
    <cfRule type="duplicateValues" dxfId="167" priority="2"/>
  </conditionalFormatting>
  <conditionalFormatting sqref="A7:A8">
    <cfRule type="duplicateValues" dxfId="166" priority="3"/>
  </conditionalFormatting>
  <printOptions horizontalCentered="1" verticalCentered="1"/>
  <pageMargins left="0" right="0" top="7.874015748031496E-2" bottom="7.874015748031496E-2" header="0" footer="0"/>
  <pageSetup paperSize="9" scale="52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79"/>
  <sheetViews>
    <sheetView zoomScale="70" zoomScaleNormal="70" workbookViewId="0">
      <pane ySplit="3" topLeftCell="A4" activePane="bottomLeft" state="frozen"/>
      <selection activeCell="S8" sqref="S8"/>
      <selection pane="bottomLeft" activeCell="Q64" sqref="Q64"/>
    </sheetView>
  </sheetViews>
  <sheetFormatPr defaultRowHeight="16.5" x14ac:dyDescent="0.3"/>
  <cols>
    <col min="1" max="1" width="9" customWidth="1"/>
    <col min="2" max="2" width="33.75" customWidth="1"/>
    <col min="3" max="3" width="10.75" customWidth="1"/>
    <col min="4" max="4" width="10" customWidth="1"/>
    <col min="5" max="5" width="10.5" customWidth="1"/>
    <col min="6" max="6" width="10" customWidth="1"/>
    <col min="7" max="7" width="4.125" customWidth="1"/>
    <col min="8" max="21" width="10.875" customWidth="1"/>
    <col min="22" max="22" width="5.5" customWidth="1"/>
    <col min="23" max="23" width="10.875" bestFit="1" customWidth="1"/>
  </cols>
  <sheetData>
    <row r="1" spans="1:25" ht="113.25" customHeight="1" x14ac:dyDescent="0.3">
      <c r="A1" s="222" t="s">
        <v>117</v>
      </c>
      <c r="B1" s="223"/>
      <c r="C1" s="226" t="s">
        <v>0</v>
      </c>
      <c r="D1" s="227"/>
      <c r="E1" s="228" t="s">
        <v>19</v>
      </c>
      <c r="F1" s="228"/>
      <c r="G1" s="8"/>
      <c r="H1" s="72" t="s">
        <v>20</v>
      </c>
      <c r="I1" s="119" t="s">
        <v>21</v>
      </c>
      <c r="J1" s="5" t="s">
        <v>7</v>
      </c>
      <c r="K1" s="119" t="s">
        <v>4</v>
      </c>
      <c r="L1" s="5" t="s">
        <v>6</v>
      </c>
      <c r="M1" s="119" t="s">
        <v>5</v>
      </c>
      <c r="N1" s="5" t="s">
        <v>9</v>
      </c>
      <c r="O1" s="121" t="s">
        <v>119</v>
      </c>
      <c r="P1" s="5" t="s">
        <v>8</v>
      </c>
      <c r="Q1" s="119" t="s">
        <v>12</v>
      </c>
      <c r="R1" s="5" t="s">
        <v>95</v>
      </c>
      <c r="S1" s="121" t="s">
        <v>11</v>
      </c>
      <c r="T1" s="5" t="s">
        <v>120</v>
      </c>
      <c r="U1" s="121" t="s">
        <v>120</v>
      </c>
    </row>
    <row r="2" spans="1:25" ht="43.5" customHeight="1" x14ac:dyDescent="0.3">
      <c r="A2" s="224"/>
      <c r="B2" s="225"/>
      <c r="C2" s="73" t="s">
        <v>2</v>
      </c>
      <c r="D2" s="21" t="s">
        <v>1</v>
      </c>
      <c r="E2" s="1" t="s">
        <v>2</v>
      </c>
      <c r="F2" s="1" t="s">
        <v>1</v>
      </c>
      <c r="G2" s="9"/>
      <c r="H2" s="6" t="s">
        <v>3</v>
      </c>
      <c r="I2" s="1" t="s">
        <v>1</v>
      </c>
      <c r="J2" s="6" t="s">
        <v>3</v>
      </c>
      <c r="K2" s="1" t="s">
        <v>1</v>
      </c>
      <c r="L2" s="6" t="s">
        <v>3</v>
      </c>
      <c r="M2" s="1" t="s">
        <v>1</v>
      </c>
      <c r="N2" s="6" t="s">
        <v>3</v>
      </c>
      <c r="O2" s="1" t="s">
        <v>1</v>
      </c>
      <c r="P2" s="6" t="s">
        <v>3</v>
      </c>
      <c r="Q2" s="1" t="s">
        <v>1</v>
      </c>
      <c r="R2" s="6" t="s">
        <v>3</v>
      </c>
      <c r="S2" s="1" t="s">
        <v>1</v>
      </c>
      <c r="T2" s="6" t="s">
        <v>3</v>
      </c>
      <c r="U2" s="1" t="s">
        <v>1</v>
      </c>
    </row>
    <row r="3" spans="1:25" ht="26.25" x14ac:dyDescent="0.3">
      <c r="A3" s="97" t="s">
        <v>14</v>
      </c>
      <c r="B3" s="12" t="s">
        <v>10</v>
      </c>
      <c r="C3" s="29">
        <f>C22+C43+C52+C62</f>
        <v>91</v>
      </c>
      <c r="D3" s="29">
        <f>D22+D43+D52+D62</f>
        <v>0</v>
      </c>
      <c r="E3" s="29">
        <f>E22+E43+E52+E62</f>
        <v>16</v>
      </c>
      <c r="F3" s="29">
        <f>F22+F43+F52+F62</f>
        <v>82</v>
      </c>
      <c r="G3" s="120"/>
      <c r="H3" s="2">
        <f t="shared" ref="H3:U3" si="0">H22+H43+H52+H62</f>
        <v>6</v>
      </c>
      <c r="I3" s="2">
        <f t="shared" si="0"/>
        <v>2</v>
      </c>
      <c r="J3" s="2">
        <f t="shared" si="0"/>
        <v>3</v>
      </c>
      <c r="K3" s="2">
        <f t="shared" si="0"/>
        <v>17</v>
      </c>
      <c r="L3" s="2">
        <f t="shared" si="0"/>
        <v>9</v>
      </c>
      <c r="M3" s="2">
        <f t="shared" si="0"/>
        <v>4</v>
      </c>
      <c r="N3" s="2">
        <f t="shared" si="0"/>
        <v>3</v>
      </c>
      <c r="O3" s="2">
        <f t="shared" si="0"/>
        <v>8</v>
      </c>
      <c r="P3" s="2">
        <f t="shared" si="0"/>
        <v>0</v>
      </c>
      <c r="Q3" s="2">
        <f t="shared" si="0"/>
        <v>0</v>
      </c>
      <c r="R3" s="2">
        <f t="shared" si="0"/>
        <v>4</v>
      </c>
      <c r="S3" s="2">
        <f t="shared" si="0"/>
        <v>1</v>
      </c>
      <c r="T3" s="2">
        <f t="shared" si="0"/>
        <v>0</v>
      </c>
      <c r="U3" s="2">
        <f t="shared" si="0"/>
        <v>0</v>
      </c>
      <c r="V3" s="4">
        <f>D3*10</f>
        <v>0</v>
      </c>
      <c r="W3">
        <f>F3*10+E3</f>
        <v>836</v>
      </c>
      <c r="X3" s="4">
        <f>SUM(H3:Q3)</f>
        <v>52</v>
      </c>
      <c r="Y3" s="11">
        <f>SUM(V3:X3)</f>
        <v>888</v>
      </c>
    </row>
    <row r="4" spans="1:25" ht="24" customHeight="1" x14ac:dyDescent="0.3">
      <c r="A4" s="229" t="s">
        <v>34</v>
      </c>
      <c r="B4" s="3" t="s">
        <v>160</v>
      </c>
      <c r="C4" s="7"/>
      <c r="D4" s="7"/>
      <c r="E4" s="50"/>
      <c r="F4" s="50"/>
      <c r="G4" s="120"/>
      <c r="H4" s="7"/>
      <c r="I4" s="50"/>
      <c r="J4" s="10"/>
      <c r="K4" s="50"/>
      <c r="L4" s="7"/>
      <c r="M4" s="50"/>
      <c r="N4" s="10"/>
      <c r="O4" s="50"/>
      <c r="P4" s="7"/>
      <c r="Q4" s="50"/>
      <c r="R4" s="7"/>
      <c r="S4" s="50"/>
      <c r="T4" s="7"/>
      <c r="U4" s="50"/>
    </row>
    <row r="5" spans="1:25" ht="24" customHeight="1" x14ac:dyDescent="0.3">
      <c r="A5" s="230"/>
      <c r="B5" s="3" t="s">
        <v>150</v>
      </c>
      <c r="C5" s="7"/>
      <c r="D5" s="7"/>
      <c r="E5" s="50"/>
      <c r="F5" s="50"/>
      <c r="G5" s="120"/>
      <c r="H5" s="7"/>
      <c r="I5" s="50"/>
      <c r="J5" s="10"/>
      <c r="K5" s="50">
        <v>1</v>
      </c>
      <c r="L5" s="7">
        <v>1</v>
      </c>
      <c r="M5" s="50">
        <v>1</v>
      </c>
      <c r="N5" s="10"/>
      <c r="O5" s="50"/>
      <c r="P5" s="7"/>
      <c r="Q5" s="50"/>
      <c r="R5" s="7"/>
      <c r="S5" s="50"/>
      <c r="T5" s="7"/>
      <c r="U5" s="50"/>
    </row>
    <row r="6" spans="1:25" ht="24" customHeight="1" x14ac:dyDescent="0.3">
      <c r="A6" s="230"/>
      <c r="B6" s="3" t="s">
        <v>149</v>
      </c>
      <c r="C6" s="7"/>
      <c r="D6" s="7"/>
      <c r="E6" s="50"/>
      <c r="F6" s="50"/>
      <c r="G6" s="120"/>
      <c r="H6" s="7"/>
      <c r="I6" s="50"/>
      <c r="J6" s="10"/>
      <c r="K6" s="50"/>
      <c r="L6" s="7"/>
      <c r="M6" s="50"/>
      <c r="N6" s="10"/>
      <c r="O6" s="50"/>
      <c r="P6" s="7"/>
      <c r="Q6" s="50"/>
      <c r="R6" s="7"/>
      <c r="S6" s="50"/>
      <c r="T6" s="7"/>
      <c r="U6" s="50"/>
    </row>
    <row r="7" spans="1:25" ht="24" customHeight="1" x14ac:dyDescent="0.3">
      <c r="A7" s="230"/>
      <c r="B7" s="3" t="s">
        <v>156</v>
      </c>
      <c r="C7" s="7"/>
      <c r="D7" s="7"/>
      <c r="E7" s="50"/>
      <c r="F7" s="50"/>
      <c r="G7" s="120"/>
      <c r="H7" s="7"/>
      <c r="I7" s="50"/>
      <c r="J7" s="10"/>
      <c r="K7" s="50"/>
      <c r="L7" s="7"/>
      <c r="M7" s="50"/>
      <c r="N7" s="10"/>
      <c r="O7" s="50"/>
      <c r="P7" s="7"/>
      <c r="Q7" s="50"/>
      <c r="R7" s="7"/>
      <c r="S7" s="50"/>
      <c r="T7" s="7"/>
      <c r="U7" s="50"/>
    </row>
    <row r="8" spans="1:25" ht="24" customHeight="1" x14ac:dyDescent="0.3">
      <c r="A8" s="230"/>
      <c r="B8" s="3" t="s">
        <v>148</v>
      </c>
      <c r="C8" s="77"/>
      <c r="D8" s="7"/>
      <c r="E8" s="50"/>
      <c r="F8" s="50"/>
      <c r="G8" s="63"/>
      <c r="H8" s="7"/>
      <c r="I8" s="50"/>
      <c r="J8" s="10"/>
      <c r="K8" s="50">
        <v>10</v>
      </c>
      <c r="L8" s="7"/>
      <c r="M8" s="50"/>
      <c r="N8" s="10"/>
      <c r="O8" s="50"/>
      <c r="P8" s="7"/>
      <c r="Q8" s="50"/>
      <c r="R8" s="7"/>
      <c r="S8" s="50"/>
      <c r="T8" s="7"/>
      <c r="U8" s="50"/>
    </row>
    <row r="9" spans="1:25" ht="24" customHeight="1" x14ac:dyDescent="0.3">
      <c r="A9" s="230"/>
      <c r="B9" s="3" t="s">
        <v>153</v>
      </c>
      <c r="C9" s="7"/>
      <c r="D9" s="7"/>
      <c r="E9" s="50"/>
      <c r="F9" s="50"/>
      <c r="G9" s="120"/>
      <c r="H9" s="7"/>
      <c r="I9" s="50"/>
      <c r="J9" s="10"/>
      <c r="K9" s="50"/>
      <c r="L9" s="7"/>
      <c r="M9" s="50"/>
      <c r="N9" s="10"/>
      <c r="O9" s="50"/>
      <c r="P9" s="7"/>
      <c r="Q9" s="50"/>
      <c r="R9" s="7"/>
      <c r="S9" s="50"/>
      <c r="T9" s="7"/>
      <c r="U9" s="50"/>
    </row>
    <row r="10" spans="1:25" ht="24" customHeight="1" x14ac:dyDescent="0.3">
      <c r="A10" s="230"/>
      <c r="B10" s="3" t="s">
        <v>158</v>
      </c>
      <c r="C10" s="7"/>
      <c r="D10" s="7"/>
      <c r="E10" s="50"/>
      <c r="F10" s="50"/>
      <c r="G10" s="120"/>
      <c r="H10" s="7"/>
      <c r="I10" s="50"/>
      <c r="J10" s="10"/>
      <c r="K10" s="50">
        <v>1</v>
      </c>
      <c r="L10" s="7"/>
      <c r="M10" s="50"/>
      <c r="N10" s="10"/>
      <c r="O10" s="50"/>
      <c r="P10" s="7"/>
      <c r="Q10" s="50"/>
      <c r="R10" s="7"/>
      <c r="S10" s="50"/>
      <c r="T10" s="7"/>
      <c r="U10" s="50"/>
    </row>
    <row r="11" spans="1:25" ht="24" customHeight="1" x14ac:dyDescent="0.3">
      <c r="A11" s="230"/>
      <c r="B11" s="3" t="s">
        <v>152</v>
      </c>
      <c r="C11" s="7"/>
      <c r="D11" s="7"/>
      <c r="E11" s="50"/>
      <c r="F11" s="50"/>
      <c r="G11" s="120"/>
      <c r="H11" s="7"/>
      <c r="I11" s="50"/>
      <c r="J11" s="10"/>
      <c r="K11" s="50"/>
      <c r="L11" s="7"/>
      <c r="M11" s="50"/>
      <c r="N11" s="10"/>
      <c r="O11" s="50"/>
      <c r="P11" s="7"/>
      <c r="Q11" s="50"/>
      <c r="R11" s="7"/>
      <c r="S11" s="50"/>
      <c r="T11" s="7"/>
      <c r="U11" s="50"/>
    </row>
    <row r="12" spans="1:25" ht="24" customHeight="1" x14ac:dyDescent="0.3">
      <c r="A12" s="230"/>
      <c r="B12" s="3" t="s">
        <v>161</v>
      </c>
      <c r="C12" s="7"/>
      <c r="D12" s="77"/>
      <c r="E12" s="76"/>
      <c r="F12" s="50"/>
      <c r="G12" s="80"/>
      <c r="H12" s="7"/>
      <c r="I12" s="76"/>
      <c r="J12" s="7"/>
      <c r="K12" s="50"/>
      <c r="L12" s="7"/>
      <c r="M12" s="50">
        <v>1</v>
      </c>
      <c r="N12" s="10"/>
      <c r="O12" s="50">
        <v>1</v>
      </c>
      <c r="P12" s="7"/>
      <c r="Q12" s="76"/>
      <c r="R12" s="10"/>
      <c r="S12" s="76"/>
      <c r="T12" s="77"/>
      <c r="U12" s="76"/>
    </row>
    <row r="13" spans="1:25" ht="24" customHeight="1" x14ac:dyDescent="0.3">
      <c r="A13" s="230"/>
      <c r="B13" s="3" t="s">
        <v>154</v>
      </c>
      <c r="C13" s="7"/>
      <c r="D13" s="7"/>
      <c r="E13" s="50"/>
      <c r="F13" s="50"/>
      <c r="G13" s="120"/>
      <c r="H13" s="7"/>
      <c r="I13" s="50"/>
      <c r="J13" s="10"/>
      <c r="K13" s="50"/>
      <c r="L13" s="7">
        <v>1</v>
      </c>
      <c r="M13" s="50">
        <v>1</v>
      </c>
      <c r="N13" s="10"/>
      <c r="O13" s="50"/>
      <c r="P13" s="7"/>
      <c r="Q13" s="50"/>
      <c r="R13" s="7"/>
      <c r="S13" s="50"/>
      <c r="T13" s="7"/>
      <c r="U13" s="50"/>
    </row>
    <row r="14" spans="1:25" ht="24" customHeight="1" x14ac:dyDescent="0.3">
      <c r="A14" s="230"/>
      <c r="B14" s="100" t="s">
        <v>164</v>
      </c>
      <c r="C14" s="7"/>
      <c r="D14" s="7"/>
      <c r="E14" s="50"/>
      <c r="F14" s="50"/>
      <c r="G14" s="120"/>
      <c r="H14" s="7"/>
      <c r="I14" s="50"/>
      <c r="J14" s="10"/>
      <c r="K14" s="50"/>
      <c r="L14" s="7"/>
      <c r="M14" s="50"/>
      <c r="N14" s="10"/>
      <c r="O14" s="50"/>
      <c r="P14" s="7"/>
      <c r="Q14" s="50"/>
      <c r="R14" s="7"/>
      <c r="S14" s="50"/>
      <c r="T14" s="7"/>
      <c r="U14" s="50"/>
    </row>
    <row r="15" spans="1:25" ht="24" customHeight="1" x14ac:dyDescent="0.3">
      <c r="A15" s="230"/>
      <c r="B15" s="3" t="s">
        <v>159</v>
      </c>
      <c r="C15" s="7"/>
      <c r="D15" s="7"/>
      <c r="E15" s="50"/>
      <c r="F15" s="50"/>
      <c r="G15" s="120"/>
      <c r="H15" s="7"/>
      <c r="I15" s="50"/>
      <c r="J15" s="10"/>
      <c r="K15" s="50"/>
      <c r="L15" s="7"/>
      <c r="M15" s="50"/>
      <c r="N15" s="10">
        <v>1</v>
      </c>
      <c r="O15" s="50">
        <v>1</v>
      </c>
      <c r="P15" s="7"/>
      <c r="Q15" s="50"/>
      <c r="R15" s="7">
        <v>1</v>
      </c>
      <c r="S15" s="50">
        <v>1</v>
      </c>
      <c r="T15" s="7"/>
      <c r="U15" s="50"/>
    </row>
    <row r="16" spans="1:25" ht="24" customHeight="1" x14ac:dyDescent="0.3">
      <c r="A16" s="230"/>
      <c r="B16" s="3" t="s">
        <v>147</v>
      </c>
      <c r="C16" s="7"/>
      <c r="D16" s="7"/>
      <c r="E16" s="50"/>
      <c r="F16" s="50"/>
      <c r="G16" s="120"/>
      <c r="H16" s="7"/>
      <c r="I16" s="50"/>
      <c r="J16" s="10"/>
      <c r="K16" s="50"/>
      <c r="L16" s="7"/>
      <c r="M16" s="50"/>
      <c r="N16" s="10"/>
      <c r="O16" s="50"/>
      <c r="P16" s="7"/>
      <c r="Q16" s="50"/>
      <c r="R16" s="7"/>
      <c r="S16" s="50"/>
      <c r="T16" s="7"/>
      <c r="U16" s="50"/>
    </row>
    <row r="17" spans="1:27" ht="24" customHeight="1" x14ac:dyDescent="0.3">
      <c r="A17" s="230"/>
      <c r="B17" s="3" t="s">
        <v>163</v>
      </c>
      <c r="C17" s="7"/>
      <c r="D17" s="7"/>
      <c r="E17" s="50"/>
      <c r="F17" s="50"/>
      <c r="G17" s="120"/>
      <c r="H17" s="7"/>
      <c r="I17" s="50"/>
      <c r="J17" s="10"/>
      <c r="K17" s="50"/>
      <c r="L17" s="7"/>
      <c r="M17" s="50"/>
      <c r="N17" s="10"/>
      <c r="O17" s="50"/>
      <c r="P17" s="7"/>
      <c r="Q17" s="50"/>
      <c r="R17" s="7"/>
      <c r="S17" s="50"/>
      <c r="T17" s="7"/>
      <c r="U17" s="50"/>
    </row>
    <row r="18" spans="1:27" ht="24" customHeight="1" x14ac:dyDescent="0.3">
      <c r="A18" s="230"/>
      <c r="B18" s="3" t="s">
        <v>162</v>
      </c>
      <c r="C18" s="7"/>
      <c r="D18" s="7"/>
      <c r="E18" s="50"/>
      <c r="F18" s="50"/>
      <c r="G18" s="120"/>
      <c r="H18" s="7"/>
      <c r="I18" s="50"/>
      <c r="J18" s="10"/>
      <c r="K18" s="50"/>
      <c r="L18" s="7"/>
      <c r="M18" s="50"/>
      <c r="N18" s="10"/>
      <c r="O18" s="50"/>
      <c r="P18" s="7"/>
      <c r="Q18" s="50"/>
      <c r="R18" s="7"/>
      <c r="S18" s="50"/>
      <c r="T18" s="7"/>
      <c r="U18" s="50"/>
    </row>
    <row r="19" spans="1:27" ht="24" customHeight="1" x14ac:dyDescent="0.3">
      <c r="A19" s="230"/>
      <c r="B19" s="3" t="s">
        <v>155</v>
      </c>
      <c r="C19" s="7"/>
      <c r="D19" s="7"/>
      <c r="E19" s="50"/>
      <c r="F19" s="50"/>
      <c r="G19" s="120"/>
      <c r="H19" s="7"/>
      <c r="I19" s="50"/>
      <c r="J19" s="10"/>
      <c r="K19" s="50"/>
      <c r="L19" s="7">
        <v>1</v>
      </c>
      <c r="M19" s="50"/>
      <c r="N19" s="10"/>
      <c r="O19" s="50">
        <v>1</v>
      </c>
      <c r="P19" s="7"/>
      <c r="Q19" s="50"/>
      <c r="R19" s="7"/>
      <c r="S19" s="50"/>
      <c r="T19" s="7"/>
      <c r="U19" s="76"/>
    </row>
    <row r="20" spans="1:27" ht="24" customHeight="1" x14ac:dyDescent="0.3">
      <c r="A20" s="230"/>
      <c r="B20" s="3" t="s">
        <v>157</v>
      </c>
      <c r="C20" s="7"/>
      <c r="D20" s="7"/>
      <c r="E20" s="50"/>
      <c r="F20" s="50"/>
      <c r="G20" s="120"/>
      <c r="H20" s="7"/>
      <c r="I20" s="50"/>
      <c r="J20" s="10"/>
      <c r="K20" s="50">
        <v>1</v>
      </c>
      <c r="L20" s="7"/>
      <c r="M20" s="50"/>
      <c r="N20" s="10"/>
      <c r="O20" s="50"/>
      <c r="P20" s="7"/>
      <c r="Q20" s="50"/>
      <c r="R20" s="7"/>
      <c r="S20" s="50"/>
      <c r="T20" s="7"/>
      <c r="U20" s="50"/>
    </row>
    <row r="21" spans="1:27" ht="24" customHeight="1" x14ac:dyDescent="0.3">
      <c r="A21" s="230"/>
      <c r="B21" s="3" t="s">
        <v>151</v>
      </c>
      <c r="C21" s="7"/>
      <c r="D21" s="7"/>
      <c r="E21" s="50"/>
      <c r="F21" s="50"/>
      <c r="G21" s="120"/>
      <c r="H21" s="7"/>
      <c r="I21" s="50"/>
      <c r="J21" s="10"/>
      <c r="K21" s="50"/>
      <c r="L21" s="7"/>
      <c r="M21" s="50"/>
      <c r="N21" s="10"/>
      <c r="O21" s="50"/>
      <c r="P21" s="7"/>
      <c r="Q21" s="50"/>
      <c r="R21" s="7"/>
      <c r="S21" s="50"/>
      <c r="T21" s="7"/>
      <c r="U21" s="50"/>
    </row>
    <row r="22" spans="1:27" ht="27" thickBot="1" x14ac:dyDescent="0.35">
      <c r="A22" s="231"/>
      <c r="B22" s="31"/>
      <c r="C22" s="31">
        <f>SUM(C4:C21)</f>
        <v>0</v>
      </c>
      <c r="D22" s="31">
        <f>SUM(D4:D21)</f>
        <v>0</v>
      </c>
      <c r="E22" s="31">
        <f>SUM(E4:E21)</f>
        <v>0</v>
      </c>
      <c r="F22" s="31">
        <f>SUM(F4:F21)</f>
        <v>0</v>
      </c>
      <c r="G22" s="120"/>
      <c r="H22" s="2">
        <f t="shared" ref="H22:U22" si="1">SUM(H4:H21)</f>
        <v>0</v>
      </c>
      <c r="I22" s="2">
        <f t="shared" si="1"/>
        <v>0</v>
      </c>
      <c r="J22" s="2">
        <f t="shared" si="1"/>
        <v>0</v>
      </c>
      <c r="K22" s="2">
        <f t="shared" si="1"/>
        <v>13</v>
      </c>
      <c r="L22" s="2">
        <f t="shared" si="1"/>
        <v>3</v>
      </c>
      <c r="M22" s="2">
        <f t="shared" si="1"/>
        <v>3</v>
      </c>
      <c r="N22" s="2">
        <f t="shared" si="1"/>
        <v>1</v>
      </c>
      <c r="O22" s="2">
        <f t="shared" si="1"/>
        <v>3</v>
      </c>
      <c r="P22" s="2">
        <f t="shared" si="1"/>
        <v>0</v>
      </c>
      <c r="Q22" s="2">
        <f t="shared" si="1"/>
        <v>0</v>
      </c>
      <c r="R22" s="2">
        <f t="shared" si="1"/>
        <v>1</v>
      </c>
      <c r="S22" s="2">
        <f t="shared" si="1"/>
        <v>1</v>
      </c>
      <c r="T22" s="2">
        <f t="shared" si="1"/>
        <v>0</v>
      </c>
      <c r="U22" s="2">
        <f t="shared" si="1"/>
        <v>0</v>
      </c>
      <c r="W22" s="35"/>
      <c r="X22" s="18"/>
      <c r="Y22" s="18"/>
    </row>
    <row r="23" spans="1:27" ht="24" customHeight="1" thickTop="1" x14ac:dyDescent="0.3">
      <c r="A23" s="233" t="s">
        <v>27</v>
      </c>
      <c r="B23" s="23" t="s">
        <v>127</v>
      </c>
      <c r="C23" s="28"/>
      <c r="D23" s="28"/>
      <c r="E23" s="15"/>
      <c r="F23" s="16"/>
      <c r="G23" s="25"/>
      <c r="H23" s="43"/>
      <c r="I23" s="50"/>
      <c r="J23" s="10"/>
      <c r="K23" s="50"/>
      <c r="L23" s="7"/>
      <c r="M23" s="50"/>
      <c r="N23" s="7"/>
      <c r="O23" s="50">
        <v>1</v>
      </c>
      <c r="P23" s="7"/>
      <c r="Q23" s="50"/>
      <c r="R23" s="7"/>
      <c r="S23" s="50"/>
      <c r="T23" s="7"/>
      <c r="U23" s="50"/>
      <c r="W23" s="18"/>
      <c r="X23" s="18"/>
      <c r="Y23" s="18"/>
      <c r="Z23" s="18"/>
      <c r="AA23" s="18"/>
    </row>
    <row r="24" spans="1:27" ht="24" customHeight="1" x14ac:dyDescent="0.3">
      <c r="A24" s="233"/>
      <c r="B24" s="24" t="s">
        <v>128</v>
      </c>
      <c r="C24" s="32"/>
      <c r="D24" s="32"/>
      <c r="E24" s="54"/>
      <c r="F24" s="22"/>
      <c r="G24" s="25"/>
      <c r="H24" s="43"/>
      <c r="I24" s="50"/>
      <c r="J24" s="10"/>
      <c r="K24" s="50"/>
      <c r="L24" s="7"/>
      <c r="M24" s="50"/>
      <c r="N24" s="7"/>
      <c r="O24" s="50"/>
      <c r="P24" s="7"/>
      <c r="Q24" s="50"/>
      <c r="R24" s="7"/>
      <c r="S24" s="50"/>
      <c r="T24" s="7"/>
      <c r="U24" s="50"/>
      <c r="W24" s="18"/>
      <c r="X24" s="18"/>
      <c r="Y24" s="18"/>
      <c r="Z24" s="18"/>
      <c r="AA24" s="18"/>
    </row>
    <row r="25" spans="1:27" ht="24" customHeight="1" x14ac:dyDescent="0.3">
      <c r="A25" s="233"/>
      <c r="B25" s="24" t="s">
        <v>140</v>
      </c>
      <c r="C25" s="32"/>
      <c r="D25" s="32"/>
      <c r="E25" s="54"/>
      <c r="F25" s="22"/>
      <c r="G25" s="25"/>
      <c r="H25" s="10"/>
      <c r="I25" s="50"/>
      <c r="J25" s="10"/>
      <c r="K25" s="50"/>
      <c r="L25" s="7"/>
      <c r="M25" s="50"/>
      <c r="N25" s="7"/>
      <c r="O25" s="50"/>
      <c r="P25" s="7"/>
      <c r="Q25" s="76"/>
      <c r="R25" s="7"/>
      <c r="S25" s="50"/>
      <c r="T25" s="7"/>
      <c r="U25" s="50"/>
      <c r="W25" s="18"/>
      <c r="X25" s="18"/>
      <c r="Y25" s="18"/>
      <c r="Z25" s="18"/>
      <c r="AA25" s="18"/>
    </row>
    <row r="26" spans="1:27" ht="24" customHeight="1" x14ac:dyDescent="0.3">
      <c r="A26" s="233"/>
      <c r="B26" s="24" t="s">
        <v>129</v>
      </c>
      <c r="C26" s="32"/>
      <c r="D26" s="32"/>
      <c r="E26" s="54"/>
      <c r="F26" s="22"/>
      <c r="G26" s="25"/>
      <c r="H26" s="43"/>
      <c r="I26" s="50"/>
      <c r="J26" s="10"/>
      <c r="K26" s="50"/>
      <c r="L26" s="7"/>
      <c r="M26" s="50"/>
      <c r="N26" s="7"/>
      <c r="O26" s="50"/>
      <c r="P26" s="7"/>
      <c r="Q26" s="50"/>
      <c r="R26" s="7"/>
      <c r="S26" s="50"/>
      <c r="T26" s="7"/>
      <c r="U26" s="50"/>
      <c r="W26" s="18"/>
      <c r="X26" s="18"/>
      <c r="Y26" s="18"/>
      <c r="Z26" s="18"/>
      <c r="AA26" s="18"/>
    </row>
    <row r="27" spans="1:27" ht="24" customHeight="1" x14ac:dyDescent="0.3">
      <c r="A27" s="233"/>
      <c r="B27" s="24" t="s">
        <v>145</v>
      </c>
      <c r="C27" s="32"/>
      <c r="D27" s="32"/>
      <c r="E27" s="54"/>
      <c r="F27" s="22"/>
      <c r="G27" s="25"/>
      <c r="H27" s="43"/>
      <c r="I27" s="50"/>
      <c r="J27" s="10"/>
      <c r="K27" s="50"/>
      <c r="L27" s="7"/>
      <c r="M27" s="50">
        <v>1</v>
      </c>
      <c r="N27" s="7"/>
      <c r="O27" s="50"/>
      <c r="P27" s="7"/>
      <c r="Q27" s="50"/>
      <c r="R27" s="7"/>
      <c r="S27" s="50"/>
      <c r="T27" s="7"/>
      <c r="U27" s="50"/>
      <c r="W27" s="18"/>
      <c r="X27" s="18"/>
      <c r="Y27" s="18"/>
      <c r="Z27" s="18"/>
      <c r="AA27" s="18"/>
    </row>
    <row r="28" spans="1:27" ht="24" customHeight="1" x14ac:dyDescent="0.3">
      <c r="A28" s="233"/>
      <c r="B28" s="24" t="s">
        <v>130</v>
      </c>
      <c r="C28" s="32"/>
      <c r="D28" s="32"/>
      <c r="E28" s="54"/>
      <c r="F28" s="22"/>
      <c r="G28" s="25"/>
      <c r="H28" s="43"/>
      <c r="I28" s="50"/>
      <c r="J28" s="10"/>
      <c r="K28" s="50"/>
      <c r="L28" s="7"/>
      <c r="M28" s="50"/>
      <c r="N28" s="7"/>
      <c r="O28" s="50"/>
      <c r="P28" s="7"/>
      <c r="Q28" s="50"/>
      <c r="R28" s="7"/>
      <c r="S28" s="50"/>
      <c r="T28" s="7"/>
      <c r="U28" s="50"/>
      <c r="W28" s="18"/>
      <c r="X28" s="18"/>
      <c r="Y28" s="18"/>
      <c r="Z28" s="18"/>
      <c r="AA28" s="18"/>
    </row>
    <row r="29" spans="1:27" ht="24" customHeight="1" x14ac:dyDescent="0.3">
      <c r="A29" s="233"/>
      <c r="B29" s="24" t="s">
        <v>131</v>
      </c>
      <c r="C29" s="32"/>
      <c r="D29" s="32"/>
      <c r="E29" s="54"/>
      <c r="F29" s="22"/>
      <c r="G29" s="25"/>
      <c r="H29" s="43"/>
      <c r="I29" s="50"/>
      <c r="J29" s="10"/>
      <c r="K29" s="50"/>
      <c r="L29" s="7"/>
      <c r="M29" s="50"/>
      <c r="N29" s="7"/>
      <c r="O29" s="50"/>
      <c r="P29" s="7"/>
      <c r="Q29" s="50"/>
      <c r="R29" s="7">
        <v>1</v>
      </c>
      <c r="S29" s="50"/>
      <c r="T29" s="7"/>
      <c r="U29" s="50"/>
      <c r="W29" s="18"/>
      <c r="X29" s="18"/>
      <c r="Y29" s="18"/>
      <c r="Z29" s="18"/>
      <c r="AA29" s="18"/>
    </row>
    <row r="30" spans="1:27" ht="24" customHeight="1" x14ac:dyDescent="0.3">
      <c r="A30" s="233"/>
      <c r="B30" s="24" t="s">
        <v>132</v>
      </c>
      <c r="C30" s="32"/>
      <c r="D30" s="32"/>
      <c r="E30" s="54"/>
      <c r="F30" s="22"/>
      <c r="G30" s="25"/>
      <c r="H30" s="43"/>
      <c r="I30" s="50"/>
      <c r="J30" s="10"/>
      <c r="K30" s="50"/>
      <c r="L30" s="7"/>
      <c r="M30" s="50"/>
      <c r="N30" s="7"/>
      <c r="O30" s="50"/>
      <c r="P30" s="7"/>
      <c r="Q30" s="50"/>
      <c r="R30" s="7"/>
      <c r="S30" s="50"/>
      <c r="T30" s="7"/>
      <c r="U30" s="50"/>
      <c r="W30" s="18"/>
      <c r="X30" s="18"/>
      <c r="Y30" s="18"/>
      <c r="Z30" s="18"/>
      <c r="AA30" s="18"/>
    </row>
    <row r="31" spans="1:27" ht="24" customHeight="1" x14ac:dyDescent="0.3">
      <c r="A31" s="233"/>
      <c r="B31" s="24" t="s">
        <v>133</v>
      </c>
      <c r="C31" s="32"/>
      <c r="D31" s="32"/>
      <c r="E31" s="54"/>
      <c r="F31" s="22"/>
      <c r="G31" s="25"/>
      <c r="H31" s="7"/>
      <c r="I31" s="50"/>
      <c r="J31" s="10"/>
      <c r="K31" s="50"/>
      <c r="L31" s="7"/>
      <c r="M31" s="50"/>
      <c r="N31" s="7"/>
      <c r="O31" s="50"/>
      <c r="P31" s="7"/>
      <c r="Q31" s="50"/>
      <c r="R31" s="7"/>
      <c r="S31" s="50"/>
      <c r="T31" s="7"/>
      <c r="U31" s="50"/>
      <c r="W31" s="18"/>
      <c r="X31" s="18"/>
      <c r="Y31" s="18"/>
      <c r="Z31" s="18"/>
      <c r="AA31" s="18"/>
    </row>
    <row r="32" spans="1:27" ht="24" customHeight="1" x14ac:dyDescent="0.3">
      <c r="A32" s="233"/>
      <c r="B32" s="24" t="s">
        <v>134</v>
      </c>
      <c r="C32" s="32"/>
      <c r="D32" s="32"/>
      <c r="E32" s="54"/>
      <c r="F32" s="22"/>
      <c r="G32" s="25"/>
      <c r="H32" s="43"/>
      <c r="I32" s="50"/>
      <c r="J32" s="10"/>
      <c r="K32" s="50"/>
      <c r="L32" s="7"/>
      <c r="M32" s="50"/>
      <c r="N32" s="7"/>
      <c r="O32" s="50"/>
      <c r="P32" s="7"/>
      <c r="Q32" s="50"/>
      <c r="R32" s="7"/>
      <c r="S32" s="50"/>
      <c r="T32" s="7"/>
      <c r="U32" s="50"/>
      <c r="W32" s="18"/>
      <c r="X32" s="18"/>
      <c r="Y32" s="18"/>
      <c r="Z32" s="18"/>
      <c r="AA32" s="18"/>
    </row>
    <row r="33" spans="1:27" ht="24" customHeight="1" x14ac:dyDescent="0.3">
      <c r="A33" s="233"/>
      <c r="B33" s="24" t="s">
        <v>135</v>
      </c>
      <c r="C33" s="32"/>
      <c r="D33" s="32"/>
      <c r="E33" s="54"/>
      <c r="F33" s="22"/>
      <c r="G33" s="25"/>
      <c r="H33" s="7"/>
      <c r="I33" s="50"/>
      <c r="J33" s="10"/>
      <c r="K33" s="50"/>
      <c r="L33" s="7"/>
      <c r="M33" s="50"/>
      <c r="N33" s="7">
        <v>1</v>
      </c>
      <c r="O33" s="50">
        <v>1</v>
      </c>
      <c r="P33" s="7"/>
      <c r="Q33" s="50"/>
      <c r="R33" s="7"/>
      <c r="S33" s="50"/>
      <c r="T33" s="7"/>
      <c r="U33" s="50"/>
      <c r="W33" s="18"/>
      <c r="X33" s="18"/>
      <c r="Y33" s="18"/>
      <c r="Z33" s="18"/>
      <c r="AA33" s="18"/>
    </row>
    <row r="34" spans="1:27" ht="24" customHeight="1" x14ac:dyDescent="0.3">
      <c r="A34" s="233"/>
      <c r="B34" s="24" t="s">
        <v>141</v>
      </c>
      <c r="C34" s="32"/>
      <c r="D34" s="56"/>
      <c r="E34" s="54"/>
      <c r="F34" s="22"/>
      <c r="G34" s="25"/>
      <c r="H34" s="43"/>
      <c r="I34" s="50"/>
      <c r="J34" s="10"/>
      <c r="K34" s="50"/>
      <c r="L34" s="7"/>
      <c r="M34" s="50"/>
      <c r="N34" s="7"/>
      <c r="O34" s="50"/>
      <c r="P34" s="7"/>
      <c r="Q34" s="76"/>
      <c r="R34" s="7"/>
      <c r="S34" s="50"/>
      <c r="T34" s="7"/>
      <c r="U34" s="50"/>
      <c r="W34" s="18"/>
      <c r="X34" s="18"/>
      <c r="Y34" s="18"/>
      <c r="Z34" s="18"/>
      <c r="AA34" s="18"/>
    </row>
    <row r="35" spans="1:27" ht="24" customHeight="1" x14ac:dyDescent="0.3">
      <c r="A35" s="233"/>
      <c r="B35" s="24" t="s">
        <v>142</v>
      </c>
      <c r="C35" s="32"/>
      <c r="D35" s="32"/>
      <c r="E35" s="54"/>
      <c r="F35" s="22"/>
      <c r="G35" s="25"/>
      <c r="H35" s="43"/>
      <c r="I35" s="50"/>
      <c r="J35" s="10"/>
      <c r="K35" s="50"/>
      <c r="L35" s="7"/>
      <c r="M35" s="50"/>
      <c r="N35" s="7"/>
      <c r="O35" s="50"/>
      <c r="P35" s="7"/>
      <c r="Q35" s="50"/>
      <c r="R35" s="7"/>
      <c r="S35" s="50"/>
      <c r="T35" s="7"/>
      <c r="U35" s="50"/>
      <c r="W35" s="18"/>
      <c r="X35" s="18"/>
      <c r="Y35" s="18"/>
      <c r="Z35" s="18"/>
      <c r="AA35" s="18"/>
    </row>
    <row r="36" spans="1:27" ht="24" customHeight="1" x14ac:dyDescent="0.3">
      <c r="A36" s="233"/>
      <c r="B36" s="24" t="s">
        <v>144</v>
      </c>
      <c r="C36" s="32"/>
      <c r="D36" s="32"/>
      <c r="E36" s="101"/>
      <c r="F36" s="22"/>
      <c r="G36" s="25"/>
      <c r="H36" s="43"/>
      <c r="I36" s="50"/>
      <c r="J36" s="10"/>
      <c r="K36" s="50"/>
      <c r="L36" s="7"/>
      <c r="M36" s="50"/>
      <c r="N36" s="7"/>
      <c r="O36" s="50"/>
      <c r="P36" s="7"/>
      <c r="Q36" s="50"/>
      <c r="R36" s="7"/>
      <c r="S36" s="50"/>
      <c r="T36" s="7"/>
      <c r="U36" s="50"/>
      <c r="W36" s="18"/>
      <c r="X36" s="18"/>
      <c r="Y36" s="18"/>
      <c r="Z36" s="18"/>
      <c r="AA36" s="18"/>
    </row>
    <row r="37" spans="1:27" ht="24" customHeight="1" x14ac:dyDescent="0.3">
      <c r="A37" s="233"/>
      <c r="B37" s="24" t="s">
        <v>146</v>
      </c>
      <c r="C37" s="32"/>
      <c r="D37" s="32"/>
      <c r="E37" s="54"/>
      <c r="F37" s="22"/>
      <c r="G37" s="25"/>
      <c r="H37" s="43"/>
      <c r="I37" s="50"/>
      <c r="J37" s="10"/>
      <c r="K37" s="50"/>
      <c r="L37" s="7"/>
      <c r="M37" s="50"/>
      <c r="N37" s="7"/>
      <c r="O37" s="50"/>
      <c r="P37" s="7"/>
      <c r="Q37" s="50"/>
      <c r="R37" s="7"/>
      <c r="S37" s="50"/>
      <c r="T37" s="7"/>
      <c r="U37" s="50"/>
      <c r="W37" s="18"/>
      <c r="X37" s="18"/>
      <c r="Y37" s="18"/>
      <c r="Z37" s="18"/>
      <c r="AA37" s="18"/>
    </row>
    <row r="38" spans="1:27" ht="24" customHeight="1" x14ac:dyDescent="0.3">
      <c r="A38" s="233"/>
      <c r="B38" s="24" t="s">
        <v>136</v>
      </c>
      <c r="C38" s="32"/>
      <c r="D38" s="32"/>
      <c r="E38" s="54"/>
      <c r="F38" s="22"/>
      <c r="G38" s="25"/>
      <c r="H38" s="43"/>
      <c r="I38" s="50"/>
      <c r="J38" s="10"/>
      <c r="K38" s="50"/>
      <c r="L38" s="7"/>
      <c r="M38" s="50"/>
      <c r="N38" s="7"/>
      <c r="O38" s="50"/>
      <c r="P38" s="7"/>
      <c r="Q38" s="50"/>
      <c r="R38" s="7"/>
      <c r="S38" s="50"/>
      <c r="T38" s="7"/>
      <c r="U38" s="50"/>
      <c r="W38" s="18"/>
      <c r="X38" s="18"/>
      <c r="Y38" s="18"/>
      <c r="Z38" s="18"/>
      <c r="AA38" s="18"/>
    </row>
    <row r="39" spans="1:27" ht="24" customHeight="1" x14ac:dyDescent="0.3">
      <c r="A39" s="233"/>
      <c r="B39" s="24" t="s">
        <v>138</v>
      </c>
      <c r="C39" s="32"/>
      <c r="D39" s="32"/>
      <c r="E39" s="54"/>
      <c r="F39" s="22"/>
      <c r="G39" s="25"/>
      <c r="H39" s="7"/>
      <c r="I39" s="50"/>
      <c r="J39" s="10"/>
      <c r="K39" s="50"/>
      <c r="L39" s="7"/>
      <c r="M39" s="50"/>
      <c r="N39" s="7"/>
      <c r="O39" s="50"/>
      <c r="P39" s="7"/>
      <c r="Q39" s="50"/>
      <c r="R39" s="7"/>
      <c r="S39" s="50"/>
      <c r="T39" s="7"/>
      <c r="U39" s="50"/>
      <c r="W39" s="18"/>
      <c r="X39" s="18"/>
      <c r="Y39" s="18"/>
      <c r="Z39" s="18"/>
      <c r="AA39" s="18"/>
    </row>
    <row r="40" spans="1:27" ht="24" customHeight="1" x14ac:dyDescent="0.3">
      <c r="A40" s="233"/>
      <c r="B40" s="24" t="s">
        <v>139</v>
      </c>
      <c r="C40" s="32"/>
      <c r="D40" s="32"/>
      <c r="E40" s="54"/>
      <c r="F40" s="22"/>
      <c r="G40" s="25"/>
      <c r="H40" s="10"/>
      <c r="I40" s="50"/>
      <c r="J40" s="10"/>
      <c r="K40" s="50"/>
      <c r="L40" s="7"/>
      <c r="M40" s="50"/>
      <c r="N40" s="7"/>
      <c r="O40" s="50"/>
      <c r="P40" s="7"/>
      <c r="Q40" s="50"/>
      <c r="R40" s="7"/>
      <c r="S40" s="50"/>
      <c r="T40" s="7"/>
      <c r="U40" s="50"/>
      <c r="W40" s="18"/>
      <c r="X40" s="18"/>
      <c r="Y40" s="18"/>
      <c r="Z40" s="18"/>
      <c r="AA40" s="18"/>
    </row>
    <row r="41" spans="1:27" ht="24" customHeight="1" x14ac:dyDescent="0.3">
      <c r="A41" s="233"/>
      <c r="B41" s="24" t="s">
        <v>143</v>
      </c>
      <c r="C41" s="32"/>
      <c r="D41" s="32"/>
      <c r="E41" s="54"/>
      <c r="F41" s="22"/>
      <c r="G41" s="25"/>
      <c r="H41" s="10"/>
      <c r="I41" s="50"/>
      <c r="J41" s="10"/>
      <c r="K41" s="50"/>
      <c r="L41" s="7"/>
      <c r="M41" s="50"/>
      <c r="N41" s="7"/>
      <c r="O41" s="50"/>
      <c r="P41" s="7"/>
      <c r="Q41" s="50"/>
      <c r="R41" s="7"/>
      <c r="S41" s="50"/>
      <c r="T41" s="7"/>
      <c r="U41" s="50"/>
      <c r="W41" s="18"/>
      <c r="X41" s="18"/>
      <c r="Y41" s="18"/>
      <c r="Z41" s="18"/>
      <c r="AA41" s="18"/>
    </row>
    <row r="42" spans="1:27" ht="24" customHeight="1" x14ac:dyDescent="0.3">
      <c r="A42" s="233"/>
      <c r="B42" s="24" t="s">
        <v>137</v>
      </c>
      <c r="C42" s="32"/>
      <c r="D42" s="32"/>
      <c r="E42" s="54"/>
      <c r="F42" s="22"/>
      <c r="G42" s="25"/>
      <c r="H42" s="7"/>
      <c r="I42" s="50"/>
      <c r="J42" s="10"/>
      <c r="K42" s="50"/>
      <c r="L42" s="7"/>
      <c r="M42" s="50"/>
      <c r="N42" s="7"/>
      <c r="O42" s="50"/>
      <c r="P42" s="7"/>
      <c r="Q42" s="50"/>
      <c r="R42" s="7"/>
      <c r="S42" s="50"/>
      <c r="T42" s="7"/>
      <c r="U42" s="50"/>
      <c r="W42" s="18"/>
      <c r="X42" s="18"/>
      <c r="Y42" s="18"/>
      <c r="Z42" s="18"/>
      <c r="AA42" s="18"/>
    </row>
    <row r="43" spans="1:27" ht="27" thickBot="1" x14ac:dyDescent="0.35">
      <c r="A43" s="233"/>
      <c r="B43" s="26"/>
      <c r="C43" s="27">
        <f>SUM(C23:C42)</f>
        <v>0</v>
      </c>
      <c r="D43" s="27">
        <f>SUM(D23:D42)</f>
        <v>0</v>
      </c>
      <c r="E43" s="27">
        <f>SUM(E23:E42)</f>
        <v>0</v>
      </c>
      <c r="F43" s="125">
        <f>SUM(F23:F42)</f>
        <v>0</v>
      </c>
      <c r="G43" s="120"/>
      <c r="H43" s="2">
        <f t="shared" ref="H43:U43" si="2">SUM(H23:H42)</f>
        <v>0</v>
      </c>
      <c r="I43" s="2">
        <f t="shared" si="2"/>
        <v>0</v>
      </c>
      <c r="J43" s="2">
        <f t="shared" si="2"/>
        <v>0</v>
      </c>
      <c r="K43" s="2">
        <f t="shared" si="2"/>
        <v>0</v>
      </c>
      <c r="L43" s="2">
        <f t="shared" si="2"/>
        <v>0</v>
      </c>
      <c r="M43" s="2">
        <f t="shared" si="2"/>
        <v>1</v>
      </c>
      <c r="N43" s="2">
        <f t="shared" si="2"/>
        <v>1</v>
      </c>
      <c r="O43" s="2">
        <f t="shared" si="2"/>
        <v>2</v>
      </c>
      <c r="P43" s="2">
        <f t="shared" si="2"/>
        <v>0</v>
      </c>
      <c r="Q43" s="2">
        <f t="shared" si="2"/>
        <v>0</v>
      </c>
      <c r="R43" s="2">
        <f t="shared" si="2"/>
        <v>1</v>
      </c>
      <c r="S43" s="2">
        <f t="shared" si="2"/>
        <v>0</v>
      </c>
      <c r="T43" s="2">
        <f t="shared" si="2"/>
        <v>0</v>
      </c>
      <c r="U43" s="2">
        <f t="shared" si="2"/>
        <v>0</v>
      </c>
    </row>
    <row r="44" spans="1:27" ht="24" customHeight="1" thickTop="1" x14ac:dyDescent="0.3">
      <c r="A44" s="252" t="s">
        <v>13</v>
      </c>
      <c r="B44" s="3" t="s">
        <v>28</v>
      </c>
      <c r="C44" s="7">
        <v>4</v>
      </c>
      <c r="D44" s="7"/>
      <c r="E44" s="50"/>
      <c r="F44" s="50"/>
      <c r="G44" s="120"/>
      <c r="H44" s="7"/>
      <c r="I44" s="50"/>
      <c r="J44" s="10"/>
      <c r="K44" s="50"/>
      <c r="L44" s="7"/>
      <c r="M44" s="50"/>
      <c r="N44" s="7"/>
      <c r="O44" s="50"/>
      <c r="P44" s="7"/>
      <c r="Q44" s="50"/>
      <c r="R44" s="7"/>
      <c r="S44" s="50"/>
      <c r="T44" s="7"/>
      <c r="U44" s="50"/>
    </row>
    <row r="45" spans="1:27" ht="24" customHeight="1" x14ac:dyDescent="0.3">
      <c r="A45" s="252"/>
      <c r="B45" s="3" t="s">
        <v>29</v>
      </c>
      <c r="C45" s="77">
        <v>10</v>
      </c>
      <c r="D45" s="7"/>
      <c r="E45" s="50"/>
      <c r="F45" s="50"/>
      <c r="G45" s="120"/>
      <c r="H45" s="7"/>
      <c r="I45" s="50"/>
      <c r="J45" s="10"/>
      <c r="K45" s="50"/>
      <c r="L45" s="7">
        <v>1</v>
      </c>
      <c r="M45" s="50"/>
      <c r="N45" s="7"/>
      <c r="O45" s="50"/>
      <c r="P45" s="7"/>
      <c r="Q45" s="50"/>
      <c r="R45" s="7"/>
      <c r="S45" s="50"/>
      <c r="T45" s="7"/>
      <c r="U45" s="50"/>
    </row>
    <row r="46" spans="1:27" ht="24" customHeight="1" x14ac:dyDescent="0.3">
      <c r="A46" s="252"/>
      <c r="B46" s="3" t="s">
        <v>125</v>
      </c>
      <c r="C46" s="7"/>
      <c r="D46" s="7"/>
      <c r="E46" s="50">
        <v>3</v>
      </c>
      <c r="F46" s="50"/>
      <c r="G46" s="120"/>
      <c r="H46" s="7"/>
      <c r="I46" s="50"/>
      <c r="J46" s="10"/>
      <c r="K46" s="50"/>
      <c r="L46" s="7"/>
      <c r="M46" s="50"/>
      <c r="N46" s="7"/>
      <c r="O46" s="50"/>
      <c r="P46" s="7"/>
      <c r="Q46" s="50"/>
      <c r="R46" s="7"/>
      <c r="S46" s="50"/>
      <c r="T46" s="7"/>
      <c r="U46" s="50"/>
    </row>
    <row r="47" spans="1:27" ht="24" customHeight="1" x14ac:dyDescent="0.3">
      <c r="A47" s="252"/>
      <c r="B47" s="3" t="s">
        <v>121</v>
      </c>
      <c r="C47" s="7"/>
      <c r="D47" s="7"/>
      <c r="E47" s="50"/>
      <c r="F47" s="50"/>
      <c r="G47" s="120"/>
      <c r="H47" s="7"/>
      <c r="I47" s="50"/>
      <c r="J47" s="10"/>
      <c r="K47" s="50"/>
      <c r="L47" s="7"/>
      <c r="M47" s="50"/>
      <c r="N47" s="7"/>
      <c r="O47" s="50"/>
      <c r="P47" s="7"/>
      <c r="Q47" s="50"/>
      <c r="R47" s="7"/>
      <c r="S47" s="50"/>
      <c r="T47" s="7"/>
      <c r="U47" s="50"/>
    </row>
    <row r="48" spans="1:27" ht="24" customHeight="1" x14ac:dyDescent="0.3">
      <c r="A48" s="252"/>
      <c r="B48" s="3" t="s">
        <v>122</v>
      </c>
      <c r="C48" s="7"/>
      <c r="D48" s="7"/>
      <c r="E48" s="50"/>
      <c r="F48" s="50"/>
      <c r="G48" s="120"/>
      <c r="H48" s="7"/>
      <c r="I48" s="50"/>
      <c r="J48" s="10"/>
      <c r="K48" s="50"/>
      <c r="L48" s="7"/>
      <c r="M48" s="50"/>
      <c r="N48" s="7"/>
      <c r="O48" s="50"/>
      <c r="P48" s="7"/>
      <c r="Q48" s="50"/>
      <c r="R48" s="7"/>
      <c r="S48" s="50"/>
      <c r="T48" s="7"/>
      <c r="U48" s="50"/>
    </row>
    <row r="49" spans="1:39" ht="24" customHeight="1" x14ac:dyDescent="0.3">
      <c r="A49" s="252"/>
      <c r="B49" s="3" t="s">
        <v>123</v>
      </c>
      <c r="C49" s="7">
        <v>5</v>
      </c>
      <c r="D49" s="7"/>
      <c r="E49" s="50"/>
      <c r="F49" s="50">
        <v>5</v>
      </c>
      <c r="G49" s="120"/>
      <c r="H49" s="7"/>
      <c r="I49" s="50"/>
      <c r="J49" s="10"/>
      <c r="K49" s="50"/>
      <c r="L49" s="7"/>
      <c r="M49" s="50"/>
      <c r="N49" s="7"/>
      <c r="O49" s="50"/>
      <c r="P49" s="7"/>
      <c r="Q49" s="50"/>
      <c r="R49" s="7"/>
      <c r="S49" s="50"/>
      <c r="T49" s="7"/>
      <c r="U49" s="50"/>
    </row>
    <row r="50" spans="1:39" ht="24" customHeight="1" x14ac:dyDescent="0.3">
      <c r="A50" s="252"/>
      <c r="B50" s="100" t="s">
        <v>126</v>
      </c>
      <c r="C50" s="7"/>
      <c r="D50" s="7"/>
      <c r="E50" s="50"/>
      <c r="F50" s="50"/>
      <c r="G50" s="120"/>
      <c r="H50" s="7">
        <v>3</v>
      </c>
      <c r="I50" s="50"/>
      <c r="J50" s="10"/>
      <c r="K50" s="50">
        <v>3</v>
      </c>
      <c r="L50" s="7"/>
      <c r="M50" s="50"/>
      <c r="N50" s="7"/>
      <c r="O50" s="50"/>
      <c r="P50" s="7"/>
      <c r="Q50" s="50"/>
      <c r="R50" s="7"/>
      <c r="S50" s="50"/>
      <c r="T50" s="7"/>
      <c r="U50" s="50"/>
    </row>
    <row r="51" spans="1:39" ht="24" customHeight="1" x14ac:dyDescent="0.3">
      <c r="A51" s="252"/>
      <c r="B51" s="100" t="s">
        <v>124</v>
      </c>
      <c r="C51" s="7"/>
      <c r="D51" s="7"/>
      <c r="E51" s="50"/>
      <c r="F51" s="50"/>
      <c r="G51" s="120"/>
      <c r="H51" s="7">
        <v>2</v>
      </c>
      <c r="I51" s="50"/>
      <c r="J51" s="10"/>
      <c r="K51" s="50"/>
      <c r="L51" s="7">
        <v>2</v>
      </c>
      <c r="M51" s="50"/>
      <c r="N51" s="7"/>
      <c r="O51" s="50"/>
      <c r="P51" s="7"/>
      <c r="Q51" s="50"/>
      <c r="R51" s="7"/>
      <c r="S51" s="50"/>
      <c r="T51" s="7"/>
      <c r="U51" s="50"/>
    </row>
    <row r="52" spans="1:39" ht="26.25" x14ac:dyDescent="0.3">
      <c r="A52" s="279"/>
      <c r="B52" s="122"/>
      <c r="C52" s="123">
        <f>SUM(C44:C51)</f>
        <v>19</v>
      </c>
      <c r="D52" s="123">
        <f>SUM(D44:D51)</f>
        <v>0</v>
      </c>
      <c r="E52" s="123">
        <f>SUM(E44:E51)</f>
        <v>3</v>
      </c>
      <c r="F52" s="123">
        <f>SUM(F44:F51)</f>
        <v>5</v>
      </c>
      <c r="G52" s="120"/>
      <c r="H52" s="2">
        <f t="shared" ref="H52:S52" si="3">SUM(H44:H51)</f>
        <v>5</v>
      </c>
      <c r="I52" s="123">
        <f t="shared" si="3"/>
        <v>0</v>
      </c>
      <c r="J52" s="123">
        <f t="shared" si="3"/>
        <v>0</v>
      </c>
      <c r="K52" s="123">
        <f t="shared" si="3"/>
        <v>3</v>
      </c>
      <c r="L52" s="123">
        <f t="shared" si="3"/>
        <v>3</v>
      </c>
      <c r="M52" s="123">
        <f t="shared" si="3"/>
        <v>0</v>
      </c>
      <c r="N52" s="123">
        <f t="shared" si="3"/>
        <v>0</v>
      </c>
      <c r="O52" s="123">
        <f t="shared" si="3"/>
        <v>0</v>
      </c>
      <c r="P52" s="123">
        <f t="shared" si="3"/>
        <v>0</v>
      </c>
      <c r="Q52" s="123">
        <f t="shared" si="3"/>
        <v>0</v>
      </c>
      <c r="R52" s="123">
        <f t="shared" si="3"/>
        <v>0</v>
      </c>
      <c r="S52" s="123">
        <f t="shared" si="3"/>
        <v>0</v>
      </c>
      <c r="T52" s="123">
        <f>SUM(T44:T51)</f>
        <v>0</v>
      </c>
      <c r="U52" s="123">
        <f>SUM(U44:U51)</f>
        <v>0</v>
      </c>
      <c r="AA52" s="254"/>
      <c r="AB52" s="254"/>
      <c r="AC52" s="254"/>
      <c r="AD52" s="254"/>
      <c r="AF52" s="234"/>
      <c r="AG52" s="234"/>
      <c r="AH52" s="234"/>
      <c r="AI52" s="234"/>
      <c r="AJ52" s="234"/>
      <c r="AL52" s="234"/>
      <c r="AM52" s="234"/>
    </row>
    <row r="53" spans="1:39" ht="24" customHeight="1" x14ac:dyDescent="0.3">
      <c r="A53" s="253" t="s">
        <v>118</v>
      </c>
      <c r="B53" s="3" t="s">
        <v>171</v>
      </c>
      <c r="C53" s="7">
        <v>3</v>
      </c>
      <c r="D53" s="7"/>
      <c r="E53" s="50"/>
      <c r="F53" s="50">
        <v>2</v>
      </c>
      <c r="G53" s="120"/>
      <c r="H53" s="7"/>
      <c r="I53" s="50"/>
      <c r="J53" s="10"/>
      <c r="K53" s="50"/>
      <c r="L53" s="7"/>
      <c r="M53" s="50"/>
      <c r="N53" s="7"/>
      <c r="O53" s="50"/>
      <c r="P53" s="7"/>
      <c r="Q53" s="50"/>
      <c r="R53" s="7"/>
      <c r="S53" s="50"/>
      <c r="T53" s="7"/>
      <c r="U53" s="50"/>
    </row>
    <row r="54" spans="1:39" ht="24" customHeight="1" x14ac:dyDescent="0.3">
      <c r="A54" s="253"/>
      <c r="B54" s="3" t="s">
        <v>168</v>
      </c>
      <c r="C54" s="7"/>
      <c r="D54" s="7"/>
      <c r="E54" s="50"/>
      <c r="F54" s="50">
        <v>4</v>
      </c>
      <c r="G54" s="120"/>
      <c r="H54" s="7">
        <v>1</v>
      </c>
      <c r="I54" s="50"/>
      <c r="J54" s="10"/>
      <c r="K54" s="50">
        <v>1</v>
      </c>
      <c r="L54" s="7"/>
      <c r="M54" s="50"/>
      <c r="N54" s="7"/>
      <c r="O54" s="50"/>
      <c r="P54" s="7"/>
      <c r="Q54" s="50"/>
      <c r="R54" s="7"/>
      <c r="S54" s="50"/>
      <c r="T54" s="7"/>
      <c r="U54" s="50"/>
    </row>
    <row r="55" spans="1:39" ht="24" customHeight="1" x14ac:dyDescent="0.3">
      <c r="A55" s="253"/>
      <c r="B55" s="3" t="s">
        <v>170</v>
      </c>
      <c r="C55" s="7">
        <v>3</v>
      </c>
      <c r="D55" s="7"/>
      <c r="E55" s="50"/>
      <c r="F55" s="50">
        <v>5</v>
      </c>
      <c r="G55" s="120"/>
      <c r="H55" s="7"/>
      <c r="I55" s="50"/>
      <c r="J55" s="10"/>
      <c r="L55" s="7"/>
      <c r="M55" s="50"/>
      <c r="N55" s="7"/>
      <c r="O55" s="50">
        <v>1</v>
      </c>
      <c r="P55" s="7"/>
      <c r="Q55" s="50"/>
      <c r="R55" s="7"/>
      <c r="S55" s="50"/>
      <c r="T55" s="7"/>
      <c r="U55" s="50"/>
    </row>
    <row r="56" spans="1:39" ht="24" customHeight="1" x14ac:dyDescent="0.3">
      <c r="A56" s="253"/>
      <c r="B56" s="100" t="s">
        <v>166</v>
      </c>
      <c r="C56" s="7">
        <v>20</v>
      </c>
      <c r="D56" s="7"/>
      <c r="E56" s="50">
        <v>10</v>
      </c>
      <c r="F56" s="50"/>
      <c r="G56" s="120"/>
      <c r="H56" s="7"/>
      <c r="I56" s="50"/>
      <c r="J56" s="10">
        <v>2</v>
      </c>
      <c r="K56" s="50"/>
      <c r="L56" s="7">
        <v>2</v>
      </c>
      <c r="M56" s="50"/>
      <c r="N56" s="7"/>
      <c r="O56" s="50"/>
      <c r="P56" s="7"/>
      <c r="Q56" s="50"/>
      <c r="R56" s="7">
        <v>2</v>
      </c>
      <c r="S56" s="50"/>
      <c r="T56" s="7"/>
      <c r="U56" s="50"/>
    </row>
    <row r="57" spans="1:39" ht="24" customHeight="1" x14ac:dyDescent="0.3">
      <c r="A57" s="253"/>
      <c r="B57" s="100" t="s">
        <v>167</v>
      </c>
      <c r="C57" s="7">
        <v>8</v>
      </c>
      <c r="D57" s="7"/>
      <c r="E57" s="50">
        <v>3</v>
      </c>
      <c r="F57" s="50"/>
      <c r="G57" s="124"/>
      <c r="H57" s="7"/>
      <c r="I57" s="50"/>
      <c r="J57" s="10"/>
      <c r="K57" s="50"/>
      <c r="L57" s="7"/>
      <c r="M57" s="50"/>
      <c r="N57" s="7"/>
      <c r="O57" s="50"/>
      <c r="P57" s="7"/>
      <c r="Q57" s="50"/>
      <c r="R57" s="7"/>
      <c r="S57" s="50"/>
      <c r="T57" s="7"/>
      <c r="U57" s="50"/>
    </row>
    <row r="58" spans="1:39" ht="24" customHeight="1" x14ac:dyDescent="0.3">
      <c r="A58" s="253"/>
      <c r="B58" s="100" t="s">
        <v>172</v>
      </c>
      <c r="C58" s="7">
        <v>30</v>
      </c>
      <c r="D58" s="7"/>
      <c r="E58" s="50"/>
      <c r="F58" s="50">
        <v>35</v>
      </c>
      <c r="G58" s="124"/>
      <c r="H58" s="7"/>
      <c r="I58" s="50">
        <v>2</v>
      </c>
      <c r="J58" s="10"/>
      <c r="K58" s="50"/>
      <c r="L58" s="7"/>
      <c r="M58" s="50"/>
      <c r="N58" s="7"/>
      <c r="O58" s="50">
        <v>2</v>
      </c>
      <c r="P58" s="7"/>
      <c r="Q58" s="50"/>
      <c r="R58" s="7"/>
      <c r="S58" s="50"/>
      <c r="T58" s="7"/>
      <c r="U58" s="50"/>
    </row>
    <row r="59" spans="1:39" ht="24" customHeight="1" x14ac:dyDescent="0.3">
      <c r="A59" s="253"/>
      <c r="B59" s="100" t="s">
        <v>165</v>
      </c>
      <c r="C59" s="7">
        <v>5</v>
      </c>
      <c r="D59" s="7"/>
      <c r="E59" s="50"/>
      <c r="F59" s="50">
        <v>25</v>
      </c>
      <c r="G59" s="120"/>
      <c r="H59" s="7"/>
      <c r="I59" s="50"/>
      <c r="J59" s="10"/>
      <c r="K59" s="50"/>
      <c r="L59" s="7"/>
      <c r="M59" s="50"/>
      <c r="N59" s="7"/>
      <c r="O59" s="50"/>
      <c r="P59" s="7"/>
      <c r="Q59" s="50"/>
      <c r="R59" s="7"/>
      <c r="S59" s="50"/>
      <c r="T59" s="7"/>
      <c r="U59" s="50"/>
    </row>
    <row r="60" spans="1:39" ht="24" customHeight="1" x14ac:dyDescent="0.3">
      <c r="A60" s="253"/>
      <c r="B60" s="3" t="s">
        <v>173</v>
      </c>
      <c r="C60" s="7">
        <v>3</v>
      </c>
      <c r="D60" s="7"/>
      <c r="E60" s="50"/>
      <c r="F60" s="50">
        <v>1</v>
      </c>
      <c r="G60" s="120"/>
      <c r="H60" s="7"/>
      <c r="I60" s="50"/>
      <c r="J60" s="10"/>
      <c r="K60" s="50"/>
      <c r="L60" s="7">
        <v>1</v>
      </c>
      <c r="M60" s="50"/>
      <c r="N60" s="7"/>
      <c r="O60" s="50"/>
      <c r="P60" s="7"/>
      <c r="Q60" s="50"/>
      <c r="R60" s="7"/>
      <c r="S60" s="50"/>
      <c r="T60" s="7"/>
      <c r="U60" s="50"/>
    </row>
    <row r="61" spans="1:39" ht="24" customHeight="1" x14ac:dyDescent="0.3">
      <c r="A61" s="253"/>
      <c r="B61" s="3" t="s">
        <v>169</v>
      </c>
      <c r="C61" s="7"/>
      <c r="D61" s="7"/>
      <c r="E61" s="50"/>
      <c r="F61" s="50">
        <v>5</v>
      </c>
      <c r="G61" s="120"/>
      <c r="H61" s="7"/>
      <c r="I61" s="50"/>
      <c r="J61" s="10">
        <v>1</v>
      </c>
      <c r="K61" s="50"/>
      <c r="L61" s="7"/>
      <c r="M61" s="50"/>
      <c r="N61" s="7">
        <v>1</v>
      </c>
      <c r="O61" s="50"/>
      <c r="P61" s="7"/>
      <c r="Q61" s="50"/>
      <c r="R61" s="7"/>
      <c r="S61" s="50"/>
      <c r="T61" s="7"/>
      <c r="U61" s="50"/>
    </row>
    <row r="62" spans="1:39" ht="26.25" x14ac:dyDescent="0.3">
      <c r="A62" s="253"/>
      <c r="B62" s="2"/>
      <c r="C62" s="2">
        <f>SUM(C53:C61)</f>
        <v>72</v>
      </c>
      <c r="D62" s="2">
        <f>SUM(D53:D61)</f>
        <v>0</v>
      </c>
      <c r="E62" s="2">
        <f>SUM(E53:E61)</f>
        <v>13</v>
      </c>
      <c r="F62" s="2">
        <f>SUM(F53:F61)</f>
        <v>77</v>
      </c>
      <c r="G62" s="120"/>
      <c r="H62" s="2">
        <f t="shared" ref="H62:U62" si="4">SUM(H53:H61)</f>
        <v>1</v>
      </c>
      <c r="I62" s="2">
        <f t="shared" si="4"/>
        <v>2</v>
      </c>
      <c r="J62" s="2">
        <f t="shared" si="4"/>
        <v>3</v>
      </c>
      <c r="K62" s="2">
        <f t="shared" si="4"/>
        <v>1</v>
      </c>
      <c r="L62" s="2">
        <f t="shared" si="4"/>
        <v>3</v>
      </c>
      <c r="M62" s="2">
        <f t="shared" si="4"/>
        <v>0</v>
      </c>
      <c r="N62" s="2">
        <f t="shared" si="4"/>
        <v>1</v>
      </c>
      <c r="O62" s="2">
        <f t="shared" si="4"/>
        <v>3</v>
      </c>
      <c r="P62" s="2">
        <f t="shared" si="4"/>
        <v>0</v>
      </c>
      <c r="Q62" s="2">
        <f t="shared" si="4"/>
        <v>0</v>
      </c>
      <c r="R62" s="2">
        <f t="shared" si="4"/>
        <v>2</v>
      </c>
      <c r="S62" s="2">
        <f t="shared" si="4"/>
        <v>0</v>
      </c>
      <c r="T62" s="2">
        <f t="shared" si="4"/>
        <v>0</v>
      </c>
      <c r="U62" s="2">
        <f t="shared" si="4"/>
        <v>0</v>
      </c>
      <c r="AA62" s="254"/>
      <c r="AB62" s="254"/>
      <c r="AC62" s="254"/>
      <c r="AD62" s="254"/>
      <c r="AF62" s="234"/>
      <c r="AG62" s="234"/>
      <c r="AH62" s="234"/>
      <c r="AI62" s="234"/>
      <c r="AJ62" s="234"/>
      <c r="AL62" s="234"/>
      <c r="AM62" s="234"/>
    </row>
    <row r="64" spans="1:39" ht="19.5" customHeight="1" x14ac:dyDescent="0.35">
      <c r="A64" s="235" t="s">
        <v>23</v>
      </c>
      <c r="B64" s="235"/>
      <c r="C64" s="126">
        <v>47000</v>
      </c>
      <c r="D64" s="126">
        <v>4700</v>
      </c>
      <c r="E64" s="126">
        <v>58000</v>
      </c>
      <c r="F64" s="126">
        <v>5800</v>
      </c>
      <c r="H64" s="126">
        <v>5800</v>
      </c>
      <c r="I64" s="126">
        <v>4700</v>
      </c>
      <c r="J64" s="20">
        <v>6800</v>
      </c>
      <c r="K64" s="20">
        <v>5200</v>
      </c>
      <c r="L64" s="20">
        <v>20700</v>
      </c>
      <c r="M64" s="20">
        <v>6400</v>
      </c>
      <c r="N64" s="20">
        <v>18700</v>
      </c>
      <c r="O64" s="126">
        <v>25700</v>
      </c>
      <c r="P64" s="126">
        <v>8500</v>
      </c>
      <c r="Q64" s="20">
        <v>21700</v>
      </c>
      <c r="R64" s="20">
        <v>15000</v>
      </c>
      <c r="S64" s="20">
        <v>18000</v>
      </c>
      <c r="T64" s="20"/>
      <c r="U64" s="20"/>
      <c r="W64" s="236">
        <f>P67*0.85</f>
        <v>5427420</v>
      </c>
      <c r="X64" s="237"/>
      <c r="Y64" s="238"/>
      <c r="AA64" s="242">
        <f>P69-P67</f>
        <v>0</v>
      </c>
      <c r="AB64" s="243"/>
      <c r="AC64" s="243"/>
      <c r="AD64" s="243"/>
      <c r="AF64" s="234"/>
      <c r="AG64" s="234"/>
      <c r="AH64" s="234"/>
      <c r="AI64" s="234"/>
      <c r="AJ64" s="234"/>
      <c r="AL64" s="234"/>
      <c r="AM64" s="234"/>
    </row>
    <row r="65" spans="1:39" ht="19.5" customHeight="1" x14ac:dyDescent="0.35">
      <c r="A65" s="235" t="s">
        <v>24</v>
      </c>
      <c r="B65" s="235"/>
      <c r="C65" s="20">
        <f>C64*C3</f>
        <v>4277000</v>
      </c>
      <c r="D65" s="20">
        <f>D64*D3</f>
        <v>0</v>
      </c>
      <c r="E65" s="20">
        <f>E64*E3</f>
        <v>928000</v>
      </c>
      <c r="F65" s="20">
        <f>F64*F3</f>
        <v>475600</v>
      </c>
      <c r="H65" s="20">
        <f t="shared" ref="H65:U65" si="5">H64*H3</f>
        <v>34800</v>
      </c>
      <c r="I65" s="20">
        <f t="shared" si="5"/>
        <v>9400</v>
      </c>
      <c r="J65" s="20">
        <f t="shared" si="5"/>
        <v>20400</v>
      </c>
      <c r="K65" s="20">
        <f t="shared" si="5"/>
        <v>88400</v>
      </c>
      <c r="L65" s="20">
        <f t="shared" si="5"/>
        <v>186300</v>
      </c>
      <c r="M65" s="20">
        <f t="shared" si="5"/>
        <v>25600</v>
      </c>
      <c r="N65" s="20">
        <f t="shared" si="5"/>
        <v>56100</v>
      </c>
      <c r="O65" s="20">
        <f t="shared" si="5"/>
        <v>205600</v>
      </c>
      <c r="P65" s="20">
        <f t="shared" si="5"/>
        <v>0</v>
      </c>
      <c r="Q65" s="20">
        <f t="shared" si="5"/>
        <v>0</v>
      </c>
      <c r="R65" s="20">
        <f t="shared" si="5"/>
        <v>60000</v>
      </c>
      <c r="S65" s="20">
        <f t="shared" si="5"/>
        <v>18000</v>
      </c>
      <c r="T65" s="20">
        <f t="shared" si="5"/>
        <v>0</v>
      </c>
      <c r="U65" s="20">
        <f t="shared" si="5"/>
        <v>0</v>
      </c>
      <c r="W65" s="239"/>
      <c r="X65" s="240"/>
      <c r="Y65" s="241"/>
      <c r="AA65" s="243"/>
      <c r="AB65" s="243"/>
      <c r="AC65" s="243"/>
      <c r="AD65" s="243"/>
      <c r="AF65" s="234"/>
      <c r="AG65" s="234"/>
      <c r="AH65" s="234"/>
      <c r="AI65" s="234"/>
      <c r="AJ65" s="234"/>
      <c r="AL65" s="234"/>
      <c r="AM65" s="234"/>
    </row>
    <row r="67" spans="1:39" ht="26.25" x14ac:dyDescent="0.3">
      <c r="P67" s="259">
        <f>SUM(C65:U65)</f>
        <v>6385200</v>
      </c>
      <c r="Q67" s="260"/>
      <c r="W67" s="247"/>
      <c r="X67" s="248"/>
      <c r="Y67" s="248"/>
      <c r="AA67" s="249"/>
      <c r="AB67" s="250"/>
      <c r="AC67" s="250"/>
      <c r="AD67" s="251"/>
    </row>
    <row r="69" spans="1:39" ht="26.25" x14ac:dyDescent="0.3">
      <c r="C69" s="244"/>
      <c r="D69" s="245"/>
      <c r="P69" s="246">
        <v>6385200</v>
      </c>
      <c r="Q69" s="246"/>
      <c r="W69" s="247">
        <f>P69*0.85</f>
        <v>5427420</v>
      </c>
      <c r="X69" s="248"/>
      <c r="Y69" s="248"/>
      <c r="AA69" s="249"/>
      <c r="AB69" s="250"/>
      <c r="AC69" s="250"/>
      <c r="AD69" s="251"/>
    </row>
    <row r="70" spans="1:39" x14ac:dyDescent="0.3">
      <c r="Q70" s="18"/>
      <c r="S70" s="18"/>
      <c r="U70" s="18"/>
      <c r="W70" s="245"/>
      <c r="X70" s="245"/>
      <c r="Y70" s="245"/>
      <c r="AA70" s="255"/>
      <c r="AB70" s="256"/>
      <c r="AC70" s="256"/>
      <c r="AD70" s="256"/>
    </row>
    <row r="71" spans="1:39" x14ac:dyDescent="0.3">
      <c r="P71" s="244"/>
      <c r="Q71" s="245"/>
      <c r="W71" s="245"/>
      <c r="X71" s="245"/>
      <c r="Y71" s="245"/>
      <c r="AA71" s="245"/>
      <c r="AB71" s="245"/>
      <c r="AC71" s="245"/>
      <c r="AD71" s="245"/>
    </row>
    <row r="72" spans="1:39" x14ac:dyDescent="0.3">
      <c r="P72" s="245"/>
      <c r="Q72" s="245"/>
      <c r="W72" s="245"/>
      <c r="X72" s="245"/>
      <c r="Y72" s="245"/>
      <c r="AA72" s="245"/>
      <c r="AB72" s="245"/>
      <c r="AC72" s="245"/>
      <c r="AD72" s="245"/>
    </row>
    <row r="73" spans="1:39" x14ac:dyDescent="0.3">
      <c r="P73" s="18"/>
      <c r="Q73" s="18"/>
      <c r="S73" s="18"/>
      <c r="U73" s="18"/>
      <c r="AA73" s="245"/>
      <c r="AB73" s="245"/>
      <c r="AC73" s="245"/>
      <c r="AD73" s="245"/>
    </row>
    <row r="74" spans="1:39" x14ac:dyDescent="0.3">
      <c r="C74">
        <f>C64*0.85</f>
        <v>39950</v>
      </c>
      <c r="D74">
        <f t="shared" ref="D74:R74" si="6">D64*0.85</f>
        <v>3995</v>
      </c>
      <c r="E74">
        <f t="shared" si="6"/>
        <v>49300</v>
      </c>
      <c r="F74">
        <f t="shared" si="6"/>
        <v>4930</v>
      </c>
      <c r="H74">
        <f t="shared" si="6"/>
        <v>4930</v>
      </c>
      <c r="I74">
        <f t="shared" si="6"/>
        <v>3995</v>
      </c>
      <c r="J74">
        <f t="shared" si="6"/>
        <v>5780</v>
      </c>
      <c r="K74">
        <f t="shared" si="6"/>
        <v>4420</v>
      </c>
      <c r="L74">
        <f t="shared" si="6"/>
        <v>17595</v>
      </c>
      <c r="M74">
        <f t="shared" si="6"/>
        <v>5440</v>
      </c>
      <c r="N74">
        <f t="shared" si="6"/>
        <v>15895</v>
      </c>
      <c r="O74">
        <f t="shared" si="6"/>
        <v>21845</v>
      </c>
      <c r="P74">
        <f t="shared" si="6"/>
        <v>7225</v>
      </c>
      <c r="Q74">
        <f t="shared" si="6"/>
        <v>18445</v>
      </c>
      <c r="R74">
        <f t="shared" si="6"/>
        <v>12750</v>
      </c>
      <c r="S74">
        <f>S64*0.85</f>
        <v>15300</v>
      </c>
      <c r="T74">
        <f>T64*0.85</f>
        <v>0</v>
      </c>
      <c r="U74">
        <f>U64*0.85</f>
        <v>0</v>
      </c>
    </row>
    <row r="75" spans="1:39" x14ac:dyDescent="0.3">
      <c r="C75">
        <v>29500</v>
      </c>
      <c r="D75">
        <v>2950</v>
      </c>
      <c r="E75">
        <v>51000</v>
      </c>
      <c r="F75">
        <v>5100</v>
      </c>
      <c r="H75">
        <v>3600</v>
      </c>
      <c r="I75">
        <v>2950</v>
      </c>
      <c r="J75">
        <v>4000</v>
      </c>
      <c r="K75">
        <v>4200</v>
      </c>
      <c r="L75">
        <v>15000</v>
      </c>
      <c r="M75">
        <v>4500</v>
      </c>
      <c r="N75">
        <v>9500</v>
      </c>
      <c r="O75">
        <v>12000</v>
      </c>
      <c r="P75">
        <v>8000</v>
      </c>
      <c r="Q75">
        <v>12000</v>
      </c>
      <c r="R75">
        <v>8500</v>
      </c>
    </row>
    <row r="76" spans="1:39" x14ac:dyDescent="0.3">
      <c r="C76">
        <f>C74-C75</f>
        <v>10450</v>
      </c>
      <c r="D76">
        <f t="shared" ref="D76:R76" si="7">D74-D75</f>
        <v>1045</v>
      </c>
      <c r="E76">
        <f t="shared" si="7"/>
        <v>-1700</v>
      </c>
      <c r="F76">
        <f t="shared" si="7"/>
        <v>-170</v>
      </c>
      <c r="H76">
        <f t="shared" si="7"/>
        <v>1330</v>
      </c>
      <c r="I76">
        <f t="shared" si="7"/>
        <v>1045</v>
      </c>
      <c r="J76">
        <f t="shared" si="7"/>
        <v>1780</v>
      </c>
      <c r="K76">
        <f t="shared" si="7"/>
        <v>220</v>
      </c>
      <c r="L76">
        <f t="shared" si="7"/>
        <v>2595</v>
      </c>
      <c r="M76">
        <f t="shared" si="7"/>
        <v>940</v>
      </c>
      <c r="N76">
        <f t="shared" si="7"/>
        <v>6395</v>
      </c>
      <c r="O76">
        <f t="shared" si="7"/>
        <v>9845</v>
      </c>
      <c r="P76">
        <f t="shared" si="7"/>
        <v>-775</v>
      </c>
      <c r="Q76">
        <f t="shared" si="7"/>
        <v>6445</v>
      </c>
      <c r="R76">
        <f t="shared" si="7"/>
        <v>4250</v>
      </c>
    </row>
    <row r="77" spans="1:39" x14ac:dyDescent="0.3">
      <c r="C77">
        <f t="shared" ref="C77:R77" si="8">C76*C3</f>
        <v>950950</v>
      </c>
      <c r="D77">
        <f t="shared" si="8"/>
        <v>0</v>
      </c>
      <c r="E77">
        <f t="shared" si="8"/>
        <v>-27200</v>
      </c>
      <c r="F77">
        <f t="shared" si="8"/>
        <v>-13940</v>
      </c>
      <c r="G77">
        <f t="shared" si="8"/>
        <v>0</v>
      </c>
      <c r="H77">
        <f t="shared" si="8"/>
        <v>7980</v>
      </c>
      <c r="I77">
        <f t="shared" si="8"/>
        <v>2090</v>
      </c>
      <c r="J77">
        <f t="shared" si="8"/>
        <v>5340</v>
      </c>
      <c r="K77">
        <f t="shared" si="8"/>
        <v>3740</v>
      </c>
      <c r="L77">
        <f t="shared" si="8"/>
        <v>23355</v>
      </c>
      <c r="M77">
        <f t="shared" si="8"/>
        <v>3760</v>
      </c>
      <c r="N77">
        <f t="shared" si="8"/>
        <v>19185</v>
      </c>
      <c r="O77">
        <f t="shared" si="8"/>
        <v>78760</v>
      </c>
      <c r="P77">
        <f t="shared" si="8"/>
        <v>0</v>
      </c>
      <c r="Q77">
        <f t="shared" si="8"/>
        <v>0</v>
      </c>
      <c r="R77">
        <f t="shared" si="8"/>
        <v>17000</v>
      </c>
      <c r="Z77" s="245"/>
      <c r="AA77" s="245"/>
      <c r="AB77" s="245"/>
      <c r="AC77" s="245"/>
      <c r="AD77" s="245"/>
    </row>
    <row r="78" spans="1:39" x14ac:dyDescent="0.3">
      <c r="Z78" s="245"/>
      <c r="AA78" s="245"/>
      <c r="AB78" s="245"/>
      <c r="AC78" s="245"/>
      <c r="AD78" s="245"/>
    </row>
    <row r="79" spans="1:39" ht="26.25" x14ac:dyDescent="0.3">
      <c r="P79" s="257">
        <f>SUM(C77:R77)</f>
        <v>1071020</v>
      </c>
      <c r="Q79" s="258"/>
    </row>
  </sheetData>
  <mergeCells count="31">
    <mergeCell ref="A1:B2"/>
    <mergeCell ref="C1:D1"/>
    <mergeCell ref="E1:F1"/>
    <mergeCell ref="A4:A22"/>
    <mergeCell ref="A23:A43"/>
    <mergeCell ref="A44:A52"/>
    <mergeCell ref="AA52:AD52"/>
    <mergeCell ref="AF52:AJ52"/>
    <mergeCell ref="AL52:AM52"/>
    <mergeCell ref="A64:B64"/>
    <mergeCell ref="W64:Y65"/>
    <mergeCell ref="AA64:AD65"/>
    <mergeCell ref="AF64:AJ65"/>
    <mergeCell ref="AL64:AM65"/>
    <mergeCell ref="A65:B65"/>
    <mergeCell ref="AF62:AJ62"/>
    <mergeCell ref="A53:A62"/>
    <mergeCell ref="AA62:AD62"/>
    <mergeCell ref="P67:Q67"/>
    <mergeCell ref="W67:Y67"/>
    <mergeCell ref="AA67:AD67"/>
    <mergeCell ref="C69:D69"/>
    <mergeCell ref="P69:Q69"/>
    <mergeCell ref="W69:Y69"/>
    <mergeCell ref="AA69:AD69"/>
    <mergeCell ref="AL62:AM62"/>
    <mergeCell ref="W70:Y72"/>
    <mergeCell ref="AA70:AD73"/>
    <mergeCell ref="P71:Q72"/>
    <mergeCell ref="Z77:AD78"/>
    <mergeCell ref="P79:Q79"/>
  </mergeCells>
  <phoneticPr fontId="38" type="noConversion"/>
  <conditionalFormatting sqref="B7:B11">
    <cfRule type="duplicateValues" dxfId="165" priority="3"/>
  </conditionalFormatting>
  <conditionalFormatting sqref="B44:B51">
    <cfRule type="duplicateValues" dxfId="164" priority="4"/>
  </conditionalFormatting>
  <conditionalFormatting sqref="B12">
    <cfRule type="duplicateValues" dxfId="163" priority="2"/>
  </conditionalFormatting>
  <conditionalFormatting sqref="B23:B42">
    <cfRule type="duplicateValues" dxfId="162" priority="7"/>
  </conditionalFormatting>
  <conditionalFormatting sqref="B4:B6 B13:B21">
    <cfRule type="expression" dxfId="161" priority="8" stopIfTrue="1">
      <formula>AND(COUNTIF($B$4:$B$6, B4)+COUNTIF($B$13:$B$21, B4)&gt;1,NOT(ISBLANK(B4)))</formula>
    </cfRule>
  </conditionalFormatting>
  <conditionalFormatting sqref="B53:B61">
    <cfRule type="duplicateValues" dxfId="160" priority="9"/>
  </conditionalFormatting>
  <printOptions horizontalCentered="1" verticalCentered="1"/>
  <pageMargins left="0" right="0" top="7.874015748031496E-2" bottom="7.874015748031496E-2" header="0" footer="0"/>
  <pageSetup paperSize="9" scale="23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V17"/>
  <sheetViews>
    <sheetView zoomScale="70" zoomScaleNormal="70" workbookViewId="0">
      <pane ySplit="3" topLeftCell="A5" activePane="bottomLeft" state="frozen"/>
      <selection activeCell="Y2" sqref="Y2"/>
      <selection pane="bottomLeft" activeCell="Y2" sqref="Y2"/>
    </sheetView>
  </sheetViews>
  <sheetFormatPr defaultRowHeight="16.5" x14ac:dyDescent="0.3"/>
  <cols>
    <col min="1" max="1" width="32.875" customWidth="1"/>
    <col min="2" max="6" width="10" customWidth="1"/>
    <col min="7" max="7" width="5.75" customWidth="1"/>
    <col min="8" max="8" width="18.5" customWidth="1"/>
    <col min="9" max="22" width="10.875" customWidth="1"/>
  </cols>
  <sheetData>
    <row r="1" spans="1:22" ht="113.25" customHeight="1" x14ac:dyDescent="0.3">
      <c r="A1" s="222" t="s">
        <v>117</v>
      </c>
      <c r="B1" s="223"/>
      <c r="C1" s="267" t="s">
        <v>97</v>
      </c>
      <c r="D1" s="268"/>
      <c r="E1" s="228" t="s">
        <v>98</v>
      </c>
      <c r="F1" s="228"/>
      <c r="G1" s="8"/>
      <c r="H1" s="269" t="s">
        <v>18</v>
      </c>
      <c r="I1" s="72" t="s">
        <v>20</v>
      </c>
      <c r="J1" s="119" t="s">
        <v>21</v>
      </c>
      <c r="K1" s="5" t="s">
        <v>101</v>
      </c>
      <c r="L1" s="119" t="s">
        <v>100</v>
      </c>
      <c r="M1" s="5" t="s">
        <v>96</v>
      </c>
      <c r="N1" s="119" t="s">
        <v>99</v>
      </c>
      <c r="O1" s="5" t="s">
        <v>114</v>
      </c>
      <c r="P1" s="119" t="s">
        <v>115</v>
      </c>
      <c r="Q1" s="5" t="s">
        <v>104</v>
      </c>
      <c r="R1" s="119" t="s">
        <v>105</v>
      </c>
      <c r="S1" s="5" t="s">
        <v>106</v>
      </c>
      <c r="T1" s="121" t="s">
        <v>11</v>
      </c>
      <c r="U1" s="5" t="s">
        <v>86</v>
      </c>
      <c r="V1" s="119" t="s">
        <v>88</v>
      </c>
    </row>
    <row r="2" spans="1:22" ht="43.5" customHeight="1" x14ac:dyDescent="0.3">
      <c r="A2" s="224"/>
      <c r="B2" s="225"/>
      <c r="C2" s="73" t="s">
        <v>2</v>
      </c>
      <c r="D2" s="73" t="s">
        <v>22</v>
      </c>
      <c r="E2" s="1" t="s">
        <v>2</v>
      </c>
      <c r="F2" s="1" t="s">
        <v>1</v>
      </c>
      <c r="G2" s="9"/>
      <c r="H2" s="270"/>
      <c r="I2" s="6" t="s">
        <v>3</v>
      </c>
      <c r="J2" s="1" t="s">
        <v>1</v>
      </c>
      <c r="K2" s="6" t="s">
        <v>3</v>
      </c>
      <c r="L2" s="1" t="s">
        <v>1</v>
      </c>
      <c r="M2" s="6" t="s">
        <v>3</v>
      </c>
      <c r="N2" s="1" t="s">
        <v>1</v>
      </c>
      <c r="O2" s="6" t="s">
        <v>3</v>
      </c>
      <c r="P2" s="1" t="s">
        <v>1</v>
      </c>
      <c r="Q2" s="6" t="s">
        <v>3</v>
      </c>
      <c r="R2" s="1" t="s">
        <v>1</v>
      </c>
      <c r="S2" s="6" t="s">
        <v>3</v>
      </c>
      <c r="T2" s="1" t="s">
        <v>1</v>
      </c>
      <c r="U2" s="6" t="s">
        <v>3</v>
      </c>
      <c r="V2" s="1" t="s">
        <v>3</v>
      </c>
    </row>
    <row r="3" spans="1:22" ht="39" customHeight="1" thickBot="1" x14ac:dyDescent="0.35">
      <c r="A3" s="271" t="s">
        <v>10</v>
      </c>
      <c r="B3" s="272"/>
      <c r="C3" s="44">
        <f>SUM(C4:C19)</f>
        <v>91</v>
      </c>
      <c r="D3" s="44">
        <f>SUM(D4:D19)</f>
        <v>0</v>
      </c>
      <c r="E3" s="44">
        <f>SUM(E4:E19)</f>
        <v>16</v>
      </c>
      <c r="F3" s="44">
        <f>SUM(F4:F19)</f>
        <v>82</v>
      </c>
      <c r="G3" s="120"/>
      <c r="H3" s="13" t="s">
        <v>10</v>
      </c>
      <c r="I3" s="44">
        <f>SUM(I4:I14)</f>
        <v>6</v>
      </c>
      <c r="J3" s="44">
        <f t="shared" ref="J3:U3" si="0">SUM(J4:J14)</f>
        <v>2</v>
      </c>
      <c r="K3" s="44">
        <f t="shared" si="0"/>
        <v>3</v>
      </c>
      <c r="L3" s="44">
        <f t="shared" si="0"/>
        <v>17</v>
      </c>
      <c r="M3" s="44">
        <f t="shared" si="0"/>
        <v>9</v>
      </c>
      <c r="N3" s="44">
        <f t="shared" si="0"/>
        <v>4</v>
      </c>
      <c r="O3" s="44">
        <f t="shared" si="0"/>
        <v>3</v>
      </c>
      <c r="P3" s="44">
        <f t="shared" si="0"/>
        <v>8</v>
      </c>
      <c r="Q3" s="44">
        <f t="shared" si="0"/>
        <v>0</v>
      </c>
      <c r="R3" s="44">
        <f t="shared" si="0"/>
        <v>0</v>
      </c>
      <c r="S3" s="44">
        <f t="shared" si="0"/>
        <v>4</v>
      </c>
      <c r="T3" s="44">
        <f t="shared" si="0"/>
        <v>1</v>
      </c>
      <c r="U3" s="44">
        <f t="shared" si="0"/>
        <v>0</v>
      </c>
      <c r="V3" s="93">
        <f>SUM(V4:V11)</f>
        <v>0</v>
      </c>
    </row>
    <row r="4" spans="1:22" ht="82.7" customHeight="1" thickTop="1" x14ac:dyDescent="0.3">
      <c r="A4" s="273" t="s">
        <v>15</v>
      </c>
      <c r="B4" s="274"/>
      <c r="C4" s="57">
        <f>'학교별02.27'!C22</f>
        <v>0</v>
      </c>
      <c r="D4" s="57">
        <f>'학교별02.27'!D22</f>
        <v>0</v>
      </c>
      <c r="E4" s="58">
        <f>'학교별02.27'!E22</f>
        <v>0</v>
      </c>
      <c r="F4" s="59">
        <f>'학교별02.27'!F22</f>
        <v>0</v>
      </c>
      <c r="G4" s="120"/>
      <c r="H4" s="49" t="s">
        <v>15</v>
      </c>
      <c r="I4" s="47">
        <f>'학교별02.27'!H22</f>
        <v>0</v>
      </c>
      <c r="J4" s="45">
        <f>'학교별02.27'!I22</f>
        <v>0</v>
      </c>
      <c r="K4" s="47">
        <f>'학교별02.27'!J22</f>
        <v>0</v>
      </c>
      <c r="L4" s="45">
        <f>'학교별02.27'!K22</f>
        <v>13</v>
      </c>
      <c r="M4" s="47">
        <f>'학교별02.27'!L22</f>
        <v>3</v>
      </c>
      <c r="N4" s="45">
        <f>'학교별02.27'!M22</f>
        <v>3</v>
      </c>
      <c r="O4" s="47">
        <f>'학교별02.27'!N22</f>
        <v>1</v>
      </c>
      <c r="P4" s="45">
        <f>'학교별02.27'!O22</f>
        <v>3</v>
      </c>
      <c r="Q4" s="47">
        <f>'학교별02.27'!P22</f>
        <v>0</v>
      </c>
      <c r="R4" s="45">
        <f>'학교별02.27'!Q22</f>
        <v>0</v>
      </c>
      <c r="S4" s="47">
        <f>'학교별02.27'!R22</f>
        <v>1</v>
      </c>
      <c r="T4" s="45">
        <f>'학교별02.27'!S22</f>
        <v>1</v>
      </c>
      <c r="U4" s="47">
        <f>'학교별02.27'!T22</f>
        <v>0</v>
      </c>
      <c r="V4" s="87">
        <f>'학교별02.27'!U22</f>
        <v>0</v>
      </c>
    </row>
    <row r="5" spans="1:22" ht="82.7" customHeight="1" thickBot="1" x14ac:dyDescent="0.35">
      <c r="A5" s="275"/>
      <c r="B5" s="276"/>
      <c r="C5" s="79"/>
      <c r="D5" s="60"/>
      <c r="E5" s="62"/>
      <c r="F5" s="61"/>
      <c r="G5" s="120"/>
      <c r="H5" s="40"/>
      <c r="I5" s="83"/>
      <c r="J5" s="81"/>
      <c r="K5" s="95"/>
      <c r="L5" s="81"/>
      <c r="M5" s="84"/>
      <c r="N5" s="81"/>
      <c r="O5" s="83"/>
      <c r="P5" s="42"/>
      <c r="Q5" s="41"/>
      <c r="R5" s="42"/>
      <c r="S5" s="83"/>
      <c r="T5" s="42"/>
      <c r="U5" s="41"/>
      <c r="V5" s="94"/>
    </row>
    <row r="6" spans="1:22" ht="18" thickTop="1" thickBot="1" x14ac:dyDescent="0.35">
      <c r="H6" s="33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89"/>
    </row>
    <row r="7" spans="1:22" ht="82.7" customHeight="1" thickTop="1" x14ac:dyDescent="0.3">
      <c r="A7" s="277" t="s">
        <v>26</v>
      </c>
      <c r="B7" s="278"/>
      <c r="C7" s="47">
        <f>'학교별02.27'!C43</f>
        <v>0</v>
      </c>
      <c r="D7" s="47">
        <f>'학교별02.27'!D43</f>
        <v>0</v>
      </c>
      <c r="E7" s="45">
        <f>'학교별02.27'!E43</f>
        <v>0</v>
      </c>
      <c r="F7" s="45">
        <f>'학교별02.27'!F43</f>
        <v>0</v>
      </c>
      <c r="G7" s="37"/>
      <c r="H7" s="55" t="s">
        <v>17</v>
      </c>
      <c r="I7" s="48">
        <f>'학교별02.27'!H43</f>
        <v>0</v>
      </c>
      <c r="J7" s="46">
        <f>'학교별02.27'!I43</f>
        <v>0</v>
      </c>
      <c r="K7" s="48">
        <f>'학교별02.27'!J43</f>
        <v>0</v>
      </c>
      <c r="L7" s="46">
        <f>'학교별02.27'!K43</f>
        <v>0</v>
      </c>
      <c r="M7" s="48">
        <f>'학교별02.27'!L43</f>
        <v>0</v>
      </c>
      <c r="N7" s="46">
        <f>'학교별02.27'!M43</f>
        <v>1</v>
      </c>
      <c r="O7" s="48">
        <f>'학교별02.27'!N43</f>
        <v>1</v>
      </c>
      <c r="P7" s="46">
        <f>'학교별02.27'!O43</f>
        <v>2</v>
      </c>
      <c r="Q7" s="48">
        <f>'학교별02.27'!P43</f>
        <v>0</v>
      </c>
      <c r="R7" s="46">
        <f>'학교별02.27'!Q43</f>
        <v>0</v>
      </c>
      <c r="S7" s="48">
        <f>'학교별02.27'!R43</f>
        <v>1</v>
      </c>
      <c r="T7" s="46">
        <f>'학교별02.27'!S43</f>
        <v>0</v>
      </c>
      <c r="U7" s="48">
        <f>'학교별02.27'!T43</f>
        <v>0</v>
      </c>
      <c r="V7" s="90">
        <f>'학교별02.27'!U43</f>
        <v>0</v>
      </c>
    </row>
    <row r="8" spans="1:22" ht="82.7" customHeight="1" thickBot="1" x14ac:dyDescent="0.35">
      <c r="A8" s="261"/>
      <c r="B8" s="262"/>
      <c r="C8" s="75"/>
      <c r="D8" s="96"/>
      <c r="E8" s="78"/>
      <c r="F8" s="38"/>
      <c r="G8" s="39"/>
      <c r="H8" s="120"/>
      <c r="I8" s="41"/>
      <c r="J8" s="42"/>
      <c r="K8" s="41"/>
      <c r="L8" s="42"/>
      <c r="M8" s="41"/>
      <c r="N8" s="42"/>
      <c r="O8" s="41"/>
      <c r="P8" s="42"/>
      <c r="Q8" s="41"/>
      <c r="R8" s="98"/>
      <c r="S8" s="41"/>
      <c r="T8" s="42"/>
      <c r="U8" s="41"/>
      <c r="V8" s="88"/>
    </row>
    <row r="9" spans="1:22" ht="18" thickTop="1" thickBot="1" x14ac:dyDescent="0.35">
      <c r="H9" s="33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89"/>
    </row>
    <row r="10" spans="1:22" ht="82.7" customHeight="1" thickTop="1" x14ac:dyDescent="0.3">
      <c r="A10" s="263" t="s">
        <v>16</v>
      </c>
      <c r="B10" s="264"/>
      <c r="C10" s="65">
        <f>'학교별02.27'!C52</f>
        <v>19</v>
      </c>
      <c r="D10" s="65">
        <f>'학교별02.27'!D52</f>
        <v>0</v>
      </c>
      <c r="E10" s="66">
        <f>'학교별02.27'!E52</f>
        <v>3</v>
      </c>
      <c r="F10" s="67">
        <f>'학교별02.27'!F52</f>
        <v>5</v>
      </c>
      <c r="G10" s="120"/>
      <c r="H10" s="136" t="s">
        <v>25</v>
      </c>
      <c r="I10" s="127">
        <f>'학교별02.27'!H52</f>
        <v>5</v>
      </c>
      <c r="J10" s="128">
        <f>'학교별02.27'!I52</f>
        <v>0</v>
      </c>
      <c r="K10" s="127">
        <f>'학교별02.27'!J52</f>
        <v>0</v>
      </c>
      <c r="L10" s="128">
        <f>'학교별02.27'!K52</f>
        <v>3</v>
      </c>
      <c r="M10" s="127">
        <f>'학교별02.27'!L52</f>
        <v>3</v>
      </c>
      <c r="N10" s="128">
        <f>'학교별02.27'!M52</f>
        <v>0</v>
      </c>
      <c r="O10" s="127">
        <f>'학교별02.27'!N52</f>
        <v>0</v>
      </c>
      <c r="P10" s="128">
        <f>'학교별02.27'!O52</f>
        <v>0</v>
      </c>
      <c r="Q10" s="127">
        <f>'학교별02.27'!P52</f>
        <v>0</v>
      </c>
      <c r="R10" s="128">
        <f>'학교별02.27'!Q52</f>
        <v>0</v>
      </c>
      <c r="S10" s="127">
        <f>'학교별02.27'!R52</f>
        <v>0</v>
      </c>
      <c r="T10" s="128">
        <f>'학교별02.27'!S52</f>
        <v>0</v>
      </c>
      <c r="U10" s="127">
        <f>'학교별02.27'!T52</f>
        <v>0</v>
      </c>
      <c r="V10" s="137">
        <f>'학교별02.27'!U52</f>
        <v>0</v>
      </c>
    </row>
    <row r="11" spans="1:22" ht="82.7" customHeight="1" thickBot="1" x14ac:dyDescent="0.35">
      <c r="A11" s="265"/>
      <c r="B11" s="266"/>
      <c r="C11" s="68"/>
      <c r="D11" s="69"/>
      <c r="E11" s="70"/>
      <c r="F11" s="71"/>
      <c r="H11" s="33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89"/>
    </row>
    <row r="12" spans="1:22" ht="18" thickTop="1" thickBot="1" x14ac:dyDescent="0.35">
      <c r="H12" s="33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138"/>
    </row>
    <row r="13" spans="1:22" ht="82.7" customHeight="1" thickTop="1" x14ac:dyDescent="0.3">
      <c r="A13" s="282" t="s">
        <v>175</v>
      </c>
      <c r="B13" s="283"/>
      <c r="C13" s="129">
        <f>'학교별02.27'!C62</f>
        <v>72</v>
      </c>
      <c r="D13" s="129">
        <f>'학교별02.27'!D62</f>
        <v>0</v>
      </c>
      <c r="E13" s="130">
        <f>'학교별02.27'!E62</f>
        <v>13</v>
      </c>
      <c r="F13" s="131">
        <f>'학교별02.27'!F62</f>
        <v>77</v>
      </c>
      <c r="G13" s="124"/>
      <c r="H13" s="136" t="s">
        <v>174</v>
      </c>
      <c r="I13" s="127">
        <f>'학교별02.27'!H62</f>
        <v>1</v>
      </c>
      <c r="J13" s="128">
        <f>'학교별02.27'!I62</f>
        <v>2</v>
      </c>
      <c r="K13" s="127">
        <f>'학교별02.27'!J62</f>
        <v>3</v>
      </c>
      <c r="L13" s="128">
        <f>'학교별02.27'!K62</f>
        <v>1</v>
      </c>
      <c r="M13" s="127">
        <f>'학교별02.27'!L62</f>
        <v>3</v>
      </c>
      <c r="N13" s="128">
        <f>'학교별02.27'!M62</f>
        <v>0</v>
      </c>
      <c r="O13" s="127">
        <f>'학교별02.27'!N62</f>
        <v>1</v>
      </c>
      <c r="P13" s="128">
        <f>'학교별02.27'!O62</f>
        <v>3</v>
      </c>
      <c r="Q13" s="127">
        <f>'학교별02.27'!P62</f>
        <v>0</v>
      </c>
      <c r="R13" s="128">
        <f>'학교별02.27'!Q62</f>
        <v>0</v>
      </c>
      <c r="S13" s="127">
        <f>'학교별02.27'!R62</f>
        <v>2</v>
      </c>
      <c r="T13" s="128">
        <f>'학교별02.27'!S62</f>
        <v>0</v>
      </c>
      <c r="U13" s="127">
        <f>'학교별02.27'!T62</f>
        <v>0</v>
      </c>
      <c r="V13" s="137">
        <f>'학교별02.27'!U62</f>
        <v>0</v>
      </c>
    </row>
    <row r="14" spans="1:22" ht="82.7" customHeight="1" thickBot="1" x14ac:dyDescent="0.35">
      <c r="A14" s="280"/>
      <c r="B14" s="281"/>
      <c r="C14" s="132"/>
      <c r="D14" s="133"/>
      <c r="E14" s="134"/>
      <c r="F14" s="135"/>
      <c r="H14" s="64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92"/>
    </row>
    <row r="15" spans="1:22" ht="17.25" thickTop="1" x14ac:dyDescent="0.3"/>
    <row r="17" spans="8:8" x14ac:dyDescent="0.3">
      <c r="H17" t="s">
        <v>83</v>
      </c>
    </row>
  </sheetData>
  <mergeCells count="13">
    <mergeCell ref="C1:D1"/>
    <mergeCell ref="E1:F1"/>
    <mergeCell ref="H1:H2"/>
    <mergeCell ref="A3:B3"/>
    <mergeCell ref="A4:B4"/>
    <mergeCell ref="A5:B5"/>
    <mergeCell ref="A14:B14"/>
    <mergeCell ref="A7:B7"/>
    <mergeCell ref="A8:B8"/>
    <mergeCell ref="A10:B10"/>
    <mergeCell ref="A11:B11"/>
    <mergeCell ref="A1:B2"/>
    <mergeCell ref="A13:B13"/>
  </mergeCells>
  <phoneticPr fontId="38" type="noConversion"/>
  <conditionalFormatting sqref="A10">
    <cfRule type="duplicateValues" dxfId="159" priority="2"/>
  </conditionalFormatting>
  <conditionalFormatting sqref="A4:A5">
    <cfRule type="duplicateValues" dxfId="158" priority="3"/>
  </conditionalFormatting>
  <conditionalFormatting sqref="A7:A8">
    <cfRule type="duplicateValues" dxfId="157" priority="4"/>
  </conditionalFormatting>
  <conditionalFormatting sqref="A13">
    <cfRule type="duplicateValues" dxfId="156" priority="1"/>
  </conditionalFormatting>
  <printOptions horizontalCentered="1" verticalCentered="1"/>
  <pageMargins left="0" right="0" top="7.874015748031496E-2" bottom="7.874015748031496E-2" header="0" footer="0"/>
  <pageSetup paperSize="9" scale="52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79"/>
  <sheetViews>
    <sheetView zoomScale="70" zoomScaleNormal="70" workbookViewId="0">
      <pane ySplit="3" topLeftCell="A46" activePane="bottomLeft" state="frozen"/>
      <selection activeCell="Y2" sqref="Y2"/>
      <selection pane="bottomLeft" activeCell="Q65" sqref="Q65"/>
    </sheetView>
  </sheetViews>
  <sheetFormatPr defaultRowHeight="16.5" x14ac:dyDescent="0.3"/>
  <cols>
    <col min="1" max="1" width="9" customWidth="1"/>
    <col min="2" max="2" width="33.75" customWidth="1"/>
    <col min="3" max="3" width="10.75" customWidth="1"/>
    <col min="4" max="4" width="10" customWidth="1"/>
    <col min="5" max="5" width="10.5" customWidth="1"/>
    <col min="6" max="6" width="10" customWidth="1"/>
    <col min="7" max="7" width="4.125" customWidth="1"/>
    <col min="8" max="21" width="10.875" customWidth="1"/>
    <col min="22" max="22" width="5.5" customWidth="1"/>
    <col min="23" max="23" width="10.875" bestFit="1" customWidth="1"/>
  </cols>
  <sheetData>
    <row r="1" spans="1:25" ht="113.25" customHeight="1" x14ac:dyDescent="0.3">
      <c r="A1" s="222" t="s">
        <v>176</v>
      </c>
      <c r="B1" s="223"/>
      <c r="C1" s="226" t="s">
        <v>0</v>
      </c>
      <c r="D1" s="227"/>
      <c r="E1" s="228" t="s">
        <v>19</v>
      </c>
      <c r="F1" s="228"/>
      <c r="G1" s="8"/>
      <c r="H1" s="72" t="s">
        <v>20</v>
      </c>
      <c r="I1" s="139" t="s">
        <v>21</v>
      </c>
      <c r="J1" s="5" t="s">
        <v>7</v>
      </c>
      <c r="K1" s="139" t="s">
        <v>4</v>
      </c>
      <c r="L1" s="5" t="s">
        <v>6</v>
      </c>
      <c r="M1" s="139" t="s">
        <v>5</v>
      </c>
      <c r="N1" s="5" t="s">
        <v>9</v>
      </c>
      <c r="O1" s="139" t="s">
        <v>119</v>
      </c>
      <c r="P1" s="5" t="s">
        <v>8</v>
      </c>
      <c r="Q1" s="139" t="s">
        <v>12</v>
      </c>
      <c r="R1" s="5" t="s">
        <v>95</v>
      </c>
      <c r="S1" s="139" t="s">
        <v>11</v>
      </c>
      <c r="T1" s="5" t="s">
        <v>120</v>
      </c>
      <c r="U1" s="139" t="s">
        <v>120</v>
      </c>
    </row>
    <row r="2" spans="1:25" ht="43.5" customHeight="1" x14ac:dyDescent="0.3">
      <c r="A2" s="224"/>
      <c r="B2" s="225"/>
      <c r="C2" s="73" t="s">
        <v>2</v>
      </c>
      <c r="D2" s="21" t="s">
        <v>1</v>
      </c>
      <c r="E2" s="1" t="s">
        <v>2</v>
      </c>
      <c r="F2" s="1" t="s">
        <v>1</v>
      </c>
      <c r="G2" s="9"/>
      <c r="H2" s="6" t="s">
        <v>3</v>
      </c>
      <c r="I2" s="1" t="s">
        <v>1</v>
      </c>
      <c r="J2" s="6" t="s">
        <v>3</v>
      </c>
      <c r="K2" s="1" t="s">
        <v>1</v>
      </c>
      <c r="L2" s="6" t="s">
        <v>3</v>
      </c>
      <c r="M2" s="1" t="s">
        <v>1</v>
      </c>
      <c r="N2" s="6" t="s">
        <v>3</v>
      </c>
      <c r="O2" s="1" t="s">
        <v>1</v>
      </c>
      <c r="P2" s="6" t="s">
        <v>3</v>
      </c>
      <c r="Q2" s="1" t="s">
        <v>1</v>
      </c>
      <c r="R2" s="6" t="s">
        <v>3</v>
      </c>
      <c r="S2" s="1" t="s">
        <v>1</v>
      </c>
      <c r="T2" s="6" t="s">
        <v>3</v>
      </c>
      <c r="U2" s="1" t="s">
        <v>1</v>
      </c>
    </row>
    <row r="3" spans="1:25" ht="26.25" x14ac:dyDescent="0.3">
      <c r="A3" s="97" t="s">
        <v>14</v>
      </c>
      <c r="B3" s="12" t="s">
        <v>10</v>
      </c>
      <c r="C3" s="29">
        <f>C22+C43+C52+C62</f>
        <v>40</v>
      </c>
      <c r="D3" s="29">
        <f>D22+D43+D52+D62</f>
        <v>0</v>
      </c>
      <c r="E3" s="29">
        <f>E22+E43+E52+E62</f>
        <v>16</v>
      </c>
      <c r="F3" s="29">
        <f>F22+F43+F52+F62</f>
        <v>21</v>
      </c>
      <c r="G3" s="140"/>
      <c r="H3" s="2">
        <f t="shared" ref="H3:U3" si="0">H22+H43+H52+H62</f>
        <v>6</v>
      </c>
      <c r="I3" s="2">
        <f t="shared" si="0"/>
        <v>0</v>
      </c>
      <c r="J3" s="2">
        <f t="shared" si="0"/>
        <v>5</v>
      </c>
      <c r="K3" s="2">
        <f t="shared" si="0"/>
        <v>5</v>
      </c>
      <c r="L3" s="2">
        <f t="shared" si="0"/>
        <v>9</v>
      </c>
      <c r="M3" s="2">
        <f t="shared" si="0"/>
        <v>0</v>
      </c>
      <c r="N3" s="2">
        <f t="shared" si="0"/>
        <v>4</v>
      </c>
      <c r="O3" s="2">
        <f t="shared" si="0"/>
        <v>0</v>
      </c>
      <c r="P3" s="2">
        <f t="shared" si="0"/>
        <v>2</v>
      </c>
      <c r="Q3" s="2">
        <f t="shared" si="0"/>
        <v>0</v>
      </c>
      <c r="R3" s="2">
        <f t="shared" si="0"/>
        <v>8</v>
      </c>
      <c r="S3" s="2">
        <f t="shared" si="0"/>
        <v>2</v>
      </c>
      <c r="T3" s="2">
        <f t="shared" si="0"/>
        <v>0</v>
      </c>
      <c r="U3" s="2">
        <f t="shared" si="0"/>
        <v>0</v>
      </c>
      <c r="V3" s="4">
        <f>D3*10</f>
        <v>0</v>
      </c>
      <c r="W3">
        <f>F3*10+E3</f>
        <v>226</v>
      </c>
      <c r="X3" s="4">
        <f>SUM(H3:Q3)</f>
        <v>31</v>
      </c>
      <c r="Y3" s="11">
        <f>SUM(V3:X3)</f>
        <v>257</v>
      </c>
    </row>
    <row r="4" spans="1:25" ht="24" customHeight="1" x14ac:dyDescent="0.3">
      <c r="A4" s="229" t="s">
        <v>34</v>
      </c>
      <c r="B4" s="3" t="s">
        <v>160</v>
      </c>
      <c r="C4" s="7"/>
      <c r="D4" s="7"/>
      <c r="E4" s="50"/>
      <c r="F4" s="50"/>
      <c r="G4" s="140"/>
      <c r="H4" s="7"/>
      <c r="I4" s="50"/>
      <c r="J4" s="10"/>
      <c r="K4" s="50"/>
      <c r="L4" s="7"/>
      <c r="M4" s="50"/>
      <c r="N4" s="10"/>
      <c r="O4" s="50"/>
      <c r="P4" s="7"/>
      <c r="Q4" s="50"/>
      <c r="R4" s="7"/>
      <c r="S4" s="50"/>
      <c r="T4" s="7"/>
      <c r="U4" s="50"/>
    </row>
    <row r="5" spans="1:25" ht="24" customHeight="1" x14ac:dyDescent="0.3">
      <c r="A5" s="230"/>
      <c r="B5" s="3" t="s">
        <v>150</v>
      </c>
      <c r="C5" s="7"/>
      <c r="D5" s="7"/>
      <c r="E5" s="50"/>
      <c r="F5" s="50"/>
      <c r="G5" s="140"/>
      <c r="H5" s="7"/>
      <c r="I5" s="50"/>
      <c r="J5" s="10"/>
      <c r="K5" s="50">
        <v>1</v>
      </c>
      <c r="L5" s="7"/>
      <c r="M5" s="50"/>
      <c r="N5" s="10"/>
      <c r="O5" s="50"/>
      <c r="P5" s="7"/>
      <c r="Q5" s="50"/>
      <c r="R5" s="7"/>
      <c r="S5" s="50"/>
      <c r="T5" s="7"/>
      <c r="U5" s="50"/>
    </row>
    <row r="6" spans="1:25" ht="24" customHeight="1" x14ac:dyDescent="0.3">
      <c r="A6" s="230"/>
      <c r="B6" s="3" t="s">
        <v>149</v>
      </c>
      <c r="C6" s="7"/>
      <c r="D6" s="7"/>
      <c r="E6" s="50"/>
      <c r="F6" s="50"/>
      <c r="G6" s="140"/>
      <c r="H6" s="7"/>
      <c r="I6" s="50"/>
      <c r="J6" s="10"/>
      <c r="K6" s="50"/>
      <c r="L6" s="7"/>
      <c r="M6" s="50"/>
      <c r="N6" s="10">
        <v>1</v>
      </c>
      <c r="O6" s="50"/>
      <c r="P6" s="7"/>
      <c r="Q6" s="50"/>
      <c r="R6" s="7">
        <v>1</v>
      </c>
      <c r="S6" s="50"/>
      <c r="T6" s="7"/>
      <c r="U6" s="50"/>
    </row>
    <row r="7" spans="1:25" ht="24" customHeight="1" x14ac:dyDescent="0.3">
      <c r="A7" s="230"/>
      <c r="B7" s="3" t="s">
        <v>156</v>
      </c>
      <c r="C7" s="7"/>
      <c r="D7" s="7"/>
      <c r="E7" s="50"/>
      <c r="F7" s="50"/>
      <c r="G7" s="140"/>
      <c r="H7" s="7"/>
      <c r="I7" s="50"/>
      <c r="J7" s="10"/>
      <c r="K7" s="50">
        <v>1</v>
      </c>
      <c r="L7" s="7"/>
      <c r="M7" s="50"/>
      <c r="N7" s="10"/>
      <c r="O7" s="50"/>
      <c r="P7" s="7"/>
      <c r="Q7" s="50"/>
      <c r="R7" s="7"/>
      <c r="S7" s="50"/>
      <c r="T7" s="7"/>
      <c r="U7" s="50"/>
    </row>
    <row r="8" spans="1:25" ht="24" customHeight="1" x14ac:dyDescent="0.3">
      <c r="A8" s="230"/>
      <c r="B8" s="3" t="s">
        <v>148</v>
      </c>
      <c r="C8" s="77"/>
      <c r="D8" s="7"/>
      <c r="E8" s="50"/>
      <c r="F8" s="50"/>
      <c r="G8" s="63"/>
      <c r="H8" s="7"/>
      <c r="I8" s="50"/>
      <c r="J8" s="10">
        <v>1</v>
      </c>
      <c r="K8" s="50"/>
      <c r="L8" s="7"/>
      <c r="M8" s="50"/>
      <c r="N8" s="10"/>
      <c r="O8" s="50"/>
      <c r="P8" s="7"/>
      <c r="Q8" s="50"/>
      <c r="R8" s="7"/>
      <c r="S8" s="50"/>
      <c r="T8" s="7"/>
      <c r="U8" s="50"/>
    </row>
    <row r="9" spans="1:25" ht="24" customHeight="1" x14ac:dyDescent="0.3">
      <c r="A9" s="230"/>
      <c r="B9" s="3" t="s">
        <v>153</v>
      </c>
      <c r="C9" s="7"/>
      <c r="D9" s="7"/>
      <c r="E9" s="50"/>
      <c r="F9" s="50"/>
      <c r="G9" s="140"/>
      <c r="H9" s="7"/>
      <c r="I9" s="50"/>
      <c r="J9" s="10"/>
      <c r="K9" s="50"/>
      <c r="L9" s="7"/>
      <c r="M9" s="50"/>
      <c r="N9" s="10"/>
      <c r="O9" s="50"/>
      <c r="P9" s="7"/>
      <c r="Q9" s="50"/>
      <c r="R9" s="7"/>
      <c r="S9" s="50"/>
      <c r="T9" s="7"/>
      <c r="U9" s="50"/>
    </row>
    <row r="10" spans="1:25" ht="24" customHeight="1" x14ac:dyDescent="0.3">
      <c r="A10" s="230"/>
      <c r="B10" s="3" t="s">
        <v>158</v>
      </c>
      <c r="C10" s="7"/>
      <c r="D10" s="7"/>
      <c r="E10" s="50"/>
      <c r="F10" s="50"/>
      <c r="G10" s="140"/>
      <c r="H10" s="7"/>
      <c r="I10" s="50"/>
      <c r="J10" s="10">
        <v>1</v>
      </c>
      <c r="K10" s="50"/>
      <c r="L10" s="7"/>
      <c r="M10" s="50"/>
      <c r="N10" s="10"/>
      <c r="O10" s="50"/>
      <c r="P10" s="7"/>
      <c r="Q10" s="50"/>
      <c r="R10" s="7"/>
      <c r="S10" s="50"/>
      <c r="T10" s="7"/>
      <c r="U10" s="50"/>
    </row>
    <row r="11" spans="1:25" ht="24" customHeight="1" x14ac:dyDescent="0.3">
      <c r="A11" s="230"/>
      <c r="B11" s="3" t="s">
        <v>152</v>
      </c>
      <c r="C11" s="7"/>
      <c r="D11" s="7"/>
      <c r="E11" s="50"/>
      <c r="F11" s="50"/>
      <c r="G11" s="140"/>
      <c r="H11" s="7"/>
      <c r="I11" s="50"/>
      <c r="J11" s="10"/>
      <c r="K11" s="50"/>
      <c r="L11" s="7">
        <v>1</v>
      </c>
      <c r="M11" s="50"/>
      <c r="N11" s="10"/>
      <c r="O11" s="50"/>
      <c r="P11" s="7"/>
      <c r="Q11" s="50"/>
      <c r="R11" s="7"/>
      <c r="S11" s="50"/>
      <c r="T11" s="7"/>
      <c r="U11" s="50"/>
    </row>
    <row r="12" spans="1:25" ht="24" customHeight="1" x14ac:dyDescent="0.3">
      <c r="A12" s="230"/>
      <c r="B12" s="3" t="s">
        <v>161</v>
      </c>
      <c r="C12" s="7"/>
      <c r="D12" s="77"/>
      <c r="E12" s="76"/>
      <c r="F12" s="50"/>
      <c r="G12" s="80"/>
      <c r="H12" s="7"/>
      <c r="I12" s="76"/>
      <c r="J12" s="7"/>
      <c r="K12" s="50"/>
      <c r="L12" s="7">
        <v>1</v>
      </c>
      <c r="M12" s="50"/>
      <c r="N12" s="10"/>
      <c r="O12" s="50"/>
      <c r="P12" s="7"/>
      <c r="Q12" s="76"/>
      <c r="R12" s="10"/>
      <c r="S12" s="76"/>
      <c r="T12" s="77"/>
      <c r="U12" s="76"/>
    </row>
    <row r="13" spans="1:25" ht="24" customHeight="1" x14ac:dyDescent="0.3">
      <c r="A13" s="230"/>
      <c r="B13" s="3" t="s">
        <v>154</v>
      </c>
      <c r="C13" s="7"/>
      <c r="D13" s="7"/>
      <c r="E13" s="50"/>
      <c r="F13" s="50"/>
      <c r="G13" s="140"/>
      <c r="H13" s="7"/>
      <c r="I13" s="50"/>
      <c r="J13" s="10"/>
      <c r="K13" s="50"/>
      <c r="L13" s="7"/>
      <c r="M13" s="50"/>
      <c r="N13" s="10"/>
      <c r="O13" s="50"/>
      <c r="P13" s="7"/>
      <c r="Q13" s="50"/>
      <c r="R13" s="7">
        <v>1</v>
      </c>
      <c r="S13" s="50"/>
      <c r="T13" s="7"/>
      <c r="U13" s="50"/>
    </row>
    <row r="14" spans="1:25" ht="24" customHeight="1" x14ac:dyDescent="0.3">
      <c r="A14" s="230"/>
      <c r="B14" s="100" t="s">
        <v>164</v>
      </c>
      <c r="C14" s="7"/>
      <c r="D14" s="7"/>
      <c r="E14" s="50"/>
      <c r="F14" s="50"/>
      <c r="G14" s="140"/>
      <c r="H14" s="7"/>
      <c r="I14" s="50"/>
      <c r="J14" s="10"/>
      <c r="K14" s="50"/>
      <c r="L14" s="7"/>
      <c r="M14" s="50"/>
      <c r="N14" s="10"/>
      <c r="O14" s="50"/>
      <c r="P14" s="7"/>
      <c r="Q14" s="50"/>
      <c r="R14" s="7"/>
      <c r="S14" s="50"/>
      <c r="T14" s="7"/>
      <c r="U14" s="50"/>
    </row>
    <row r="15" spans="1:25" ht="24" customHeight="1" x14ac:dyDescent="0.3">
      <c r="A15" s="230"/>
      <c r="B15" s="3" t="s">
        <v>159</v>
      </c>
      <c r="C15" s="7"/>
      <c r="D15" s="7"/>
      <c r="E15" s="50"/>
      <c r="F15" s="50"/>
      <c r="G15" s="140"/>
      <c r="H15" s="7"/>
      <c r="I15" s="50"/>
      <c r="J15" s="10"/>
      <c r="K15" s="50">
        <v>1</v>
      </c>
      <c r="L15" s="7"/>
      <c r="M15" s="50"/>
      <c r="N15" s="10"/>
      <c r="O15" s="50"/>
      <c r="P15" s="7"/>
      <c r="Q15" s="50"/>
      <c r="R15" s="7"/>
      <c r="S15" s="50"/>
      <c r="T15" s="7"/>
      <c r="U15" s="50"/>
    </row>
    <row r="16" spans="1:25" ht="24" customHeight="1" x14ac:dyDescent="0.3">
      <c r="A16" s="230"/>
      <c r="B16" s="3" t="s">
        <v>147</v>
      </c>
      <c r="C16" s="7"/>
      <c r="D16" s="7"/>
      <c r="E16" s="50"/>
      <c r="F16" s="50"/>
      <c r="G16" s="140"/>
      <c r="H16" s="7"/>
      <c r="I16" s="50"/>
      <c r="J16" s="10"/>
      <c r="K16" s="50"/>
      <c r="L16" s="7"/>
      <c r="M16" s="50"/>
      <c r="N16" s="10"/>
      <c r="O16" s="50"/>
      <c r="P16" s="7"/>
      <c r="Q16" s="50"/>
      <c r="R16" s="7"/>
      <c r="S16" s="50"/>
      <c r="T16" s="7"/>
      <c r="U16" s="50"/>
    </row>
    <row r="17" spans="1:27" ht="24" customHeight="1" x14ac:dyDescent="0.3">
      <c r="A17" s="230"/>
      <c r="B17" s="3" t="s">
        <v>163</v>
      </c>
      <c r="C17" s="7"/>
      <c r="D17" s="7"/>
      <c r="E17" s="50"/>
      <c r="F17" s="50"/>
      <c r="G17" s="140"/>
      <c r="H17" s="7"/>
      <c r="I17" s="50"/>
      <c r="J17" s="10"/>
      <c r="K17" s="50"/>
      <c r="L17" s="7"/>
      <c r="M17" s="50"/>
      <c r="N17" s="10"/>
      <c r="O17" s="50"/>
      <c r="P17" s="7"/>
      <c r="Q17" s="50"/>
      <c r="R17" s="7"/>
      <c r="S17" s="50"/>
      <c r="T17" s="7"/>
      <c r="U17" s="50"/>
    </row>
    <row r="18" spans="1:27" ht="24" customHeight="1" x14ac:dyDescent="0.3">
      <c r="A18" s="230"/>
      <c r="B18" s="3" t="s">
        <v>162</v>
      </c>
      <c r="C18" s="7"/>
      <c r="D18" s="7"/>
      <c r="E18" s="50"/>
      <c r="F18" s="50"/>
      <c r="G18" s="140"/>
      <c r="H18" s="7"/>
      <c r="I18" s="50"/>
      <c r="J18" s="10"/>
      <c r="K18" s="50"/>
      <c r="L18" s="7"/>
      <c r="M18" s="50"/>
      <c r="N18" s="10"/>
      <c r="O18" s="50"/>
      <c r="P18" s="7"/>
      <c r="Q18" s="50"/>
      <c r="R18" s="7"/>
      <c r="S18" s="50"/>
      <c r="T18" s="7"/>
      <c r="U18" s="50"/>
    </row>
    <row r="19" spans="1:27" ht="24" customHeight="1" x14ac:dyDescent="0.3">
      <c r="A19" s="230"/>
      <c r="B19" s="3" t="s">
        <v>155</v>
      </c>
      <c r="C19" s="7"/>
      <c r="D19" s="7"/>
      <c r="E19" s="50"/>
      <c r="F19" s="50"/>
      <c r="G19" s="140"/>
      <c r="H19" s="7"/>
      <c r="I19" s="50"/>
      <c r="J19" s="10"/>
      <c r="K19" s="50"/>
      <c r="L19" s="7"/>
      <c r="M19" s="50"/>
      <c r="N19" s="10"/>
      <c r="O19" s="50"/>
      <c r="P19" s="7"/>
      <c r="Q19" s="50"/>
      <c r="R19" s="7">
        <v>1</v>
      </c>
      <c r="S19" s="50">
        <v>1</v>
      </c>
      <c r="T19" s="7"/>
      <c r="U19" s="76"/>
    </row>
    <row r="20" spans="1:27" ht="24" customHeight="1" x14ac:dyDescent="0.3">
      <c r="A20" s="230"/>
      <c r="B20" s="3" t="s">
        <v>157</v>
      </c>
      <c r="C20" s="7"/>
      <c r="D20" s="7"/>
      <c r="E20" s="50"/>
      <c r="F20" s="50"/>
      <c r="G20" s="140"/>
      <c r="H20" s="7"/>
      <c r="I20" s="50"/>
      <c r="J20" s="10"/>
      <c r="K20" s="50"/>
      <c r="L20" s="7"/>
      <c r="M20" s="50"/>
      <c r="N20" s="10"/>
      <c r="O20" s="50"/>
      <c r="P20" s="7"/>
      <c r="Q20" s="50"/>
      <c r="R20" s="7"/>
      <c r="S20" s="50"/>
      <c r="T20" s="7"/>
      <c r="U20" s="50"/>
    </row>
    <row r="21" spans="1:27" ht="24" customHeight="1" x14ac:dyDescent="0.3">
      <c r="A21" s="230"/>
      <c r="B21" s="3" t="s">
        <v>151</v>
      </c>
      <c r="C21" s="7"/>
      <c r="D21" s="7"/>
      <c r="E21" s="50"/>
      <c r="F21" s="50"/>
      <c r="G21" s="140"/>
      <c r="H21" s="7"/>
      <c r="I21" s="50"/>
      <c r="J21" s="10"/>
      <c r="K21" s="50"/>
      <c r="L21" s="7"/>
      <c r="M21" s="50"/>
      <c r="N21" s="10"/>
      <c r="O21" s="50"/>
      <c r="P21" s="7"/>
      <c r="Q21" s="50"/>
      <c r="R21" s="7"/>
      <c r="S21" s="50"/>
      <c r="T21" s="7"/>
      <c r="U21" s="50"/>
    </row>
    <row r="22" spans="1:27" ht="27" thickBot="1" x14ac:dyDescent="0.35">
      <c r="A22" s="231"/>
      <c r="B22" s="31"/>
      <c r="C22" s="31">
        <f>SUM(C4:C21)</f>
        <v>0</v>
      </c>
      <c r="D22" s="31">
        <f>SUM(D4:D21)</f>
        <v>0</v>
      </c>
      <c r="E22" s="31">
        <f>SUM(E4:E21)</f>
        <v>0</v>
      </c>
      <c r="F22" s="31">
        <f>SUM(F4:F21)</f>
        <v>0</v>
      </c>
      <c r="G22" s="140"/>
      <c r="H22" s="2">
        <f t="shared" ref="H22:U22" si="1">SUM(H4:H21)</f>
        <v>0</v>
      </c>
      <c r="I22" s="2">
        <f t="shared" si="1"/>
        <v>0</v>
      </c>
      <c r="J22" s="2">
        <f t="shared" si="1"/>
        <v>2</v>
      </c>
      <c r="K22" s="2">
        <f t="shared" si="1"/>
        <v>3</v>
      </c>
      <c r="L22" s="2">
        <f t="shared" si="1"/>
        <v>2</v>
      </c>
      <c r="M22" s="2">
        <f t="shared" si="1"/>
        <v>0</v>
      </c>
      <c r="N22" s="2">
        <f t="shared" si="1"/>
        <v>1</v>
      </c>
      <c r="O22" s="2">
        <f t="shared" si="1"/>
        <v>0</v>
      </c>
      <c r="P22" s="2">
        <f t="shared" si="1"/>
        <v>0</v>
      </c>
      <c r="Q22" s="2">
        <f t="shared" si="1"/>
        <v>0</v>
      </c>
      <c r="R22" s="2">
        <f t="shared" si="1"/>
        <v>3</v>
      </c>
      <c r="S22" s="2">
        <f t="shared" si="1"/>
        <v>1</v>
      </c>
      <c r="T22" s="2">
        <f t="shared" si="1"/>
        <v>0</v>
      </c>
      <c r="U22" s="2">
        <f t="shared" si="1"/>
        <v>0</v>
      </c>
      <c r="W22" s="35"/>
      <c r="X22" s="18"/>
      <c r="Y22" s="18"/>
    </row>
    <row r="23" spans="1:27" ht="24" customHeight="1" thickTop="1" x14ac:dyDescent="0.3">
      <c r="A23" s="233" t="s">
        <v>27</v>
      </c>
      <c r="B23" s="23" t="s">
        <v>127</v>
      </c>
      <c r="C23" s="28"/>
      <c r="D23" s="28"/>
      <c r="E23" s="15"/>
      <c r="F23" s="16"/>
      <c r="G23" s="25"/>
      <c r="H23" s="43"/>
      <c r="I23" s="50"/>
      <c r="J23" s="10">
        <v>1</v>
      </c>
      <c r="K23" s="50"/>
      <c r="L23" s="7"/>
      <c r="M23" s="50"/>
      <c r="N23" s="7"/>
      <c r="O23" s="50"/>
      <c r="P23" s="7"/>
      <c r="Q23" s="50"/>
      <c r="R23" s="7"/>
      <c r="S23" s="50"/>
      <c r="T23" s="7"/>
      <c r="U23" s="50"/>
      <c r="W23" s="18"/>
      <c r="X23" s="18"/>
      <c r="Y23" s="18"/>
      <c r="Z23" s="18"/>
      <c r="AA23" s="18"/>
    </row>
    <row r="24" spans="1:27" ht="24" customHeight="1" x14ac:dyDescent="0.3">
      <c r="A24" s="233"/>
      <c r="B24" s="24" t="s">
        <v>128</v>
      </c>
      <c r="C24" s="32"/>
      <c r="D24" s="32"/>
      <c r="E24" s="54"/>
      <c r="F24" s="22"/>
      <c r="G24" s="25"/>
      <c r="H24" s="43"/>
      <c r="I24" s="50"/>
      <c r="J24" s="10"/>
      <c r="K24" s="50"/>
      <c r="L24" s="7"/>
      <c r="M24" s="50"/>
      <c r="N24" s="7"/>
      <c r="O24" s="50"/>
      <c r="P24" s="7"/>
      <c r="Q24" s="50"/>
      <c r="R24" s="7"/>
      <c r="S24" s="50"/>
      <c r="T24" s="7"/>
      <c r="U24" s="50"/>
      <c r="W24" s="18"/>
      <c r="X24" s="18"/>
      <c r="Y24" s="18"/>
      <c r="Z24" s="18"/>
      <c r="AA24" s="18"/>
    </row>
    <row r="25" spans="1:27" ht="24" customHeight="1" x14ac:dyDescent="0.3">
      <c r="A25" s="233"/>
      <c r="B25" s="24" t="s">
        <v>140</v>
      </c>
      <c r="C25" s="32"/>
      <c r="D25" s="32"/>
      <c r="E25" s="54"/>
      <c r="F25" s="22"/>
      <c r="G25" s="25"/>
      <c r="H25" s="10"/>
      <c r="I25" s="50"/>
      <c r="J25" s="10"/>
      <c r="K25" s="50"/>
      <c r="L25" s="7"/>
      <c r="M25" s="50"/>
      <c r="N25" s="7"/>
      <c r="O25" s="50"/>
      <c r="P25" s="7"/>
      <c r="Q25" s="76"/>
      <c r="R25" s="7"/>
      <c r="S25" s="50"/>
      <c r="T25" s="7"/>
      <c r="U25" s="50"/>
      <c r="W25" s="18"/>
      <c r="X25" s="18"/>
      <c r="Y25" s="18"/>
      <c r="Z25" s="18"/>
      <c r="AA25" s="18"/>
    </row>
    <row r="26" spans="1:27" ht="24" customHeight="1" x14ac:dyDescent="0.3">
      <c r="A26" s="233"/>
      <c r="B26" s="24" t="s">
        <v>129</v>
      </c>
      <c r="C26" s="32"/>
      <c r="D26" s="32"/>
      <c r="E26" s="54"/>
      <c r="F26" s="22"/>
      <c r="G26" s="25"/>
      <c r="H26" s="43"/>
      <c r="I26" s="50"/>
      <c r="J26" s="10"/>
      <c r="K26" s="50"/>
      <c r="L26" s="7"/>
      <c r="M26" s="50"/>
      <c r="N26" s="7"/>
      <c r="O26" s="50"/>
      <c r="P26" s="7"/>
      <c r="Q26" s="50"/>
      <c r="R26" s="7"/>
      <c r="S26" s="50"/>
      <c r="T26" s="7"/>
      <c r="U26" s="50"/>
      <c r="W26" s="18"/>
      <c r="X26" s="18"/>
      <c r="Y26" s="18"/>
      <c r="Z26" s="18"/>
      <c r="AA26" s="18"/>
    </row>
    <row r="27" spans="1:27" ht="24" customHeight="1" x14ac:dyDescent="0.3">
      <c r="A27" s="233"/>
      <c r="B27" s="24" t="s">
        <v>145</v>
      </c>
      <c r="C27" s="32"/>
      <c r="D27" s="32"/>
      <c r="E27" s="54"/>
      <c r="F27" s="22"/>
      <c r="G27" s="25"/>
      <c r="H27" s="43"/>
      <c r="I27" s="50"/>
      <c r="J27" s="10"/>
      <c r="K27" s="50"/>
      <c r="L27" s="7"/>
      <c r="M27" s="50"/>
      <c r="N27" s="7">
        <v>1</v>
      </c>
      <c r="O27" s="50"/>
      <c r="P27" s="7"/>
      <c r="Q27" s="50"/>
      <c r="R27" s="7"/>
      <c r="S27" s="50"/>
      <c r="T27" s="7"/>
      <c r="U27" s="50"/>
      <c r="W27" s="18"/>
      <c r="X27" s="18"/>
      <c r="Y27" s="18"/>
      <c r="Z27" s="18"/>
      <c r="AA27" s="18"/>
    </row>
    <row r="28" spans="1:27" ht="24" customHeight="1" x14ac:dyDescent="0.3">
      <c r="A28" s="233"/>
      <c r="B28" s="24" t="s">
        <v>130</v>
      </c>
      <c r="C28" s="32"/>
      <c r="D28" s="32"/>
      <c r="E28" s="54"/>
      <c r="F28" s="22"/>
      <c r="G28" s="25"/>
      <c r="H28" s="43"/>
      <c r="I28" s="50"/>
      <c r="J28" s="10"/>
      <c r="K28" s="50"/>
      <c r="L28" s="7"/>
      <c r="M28" s="50"/>
      <c r="N28" s="7"/>
      <c r="O28" s="50"/>
      <c r="P28" s="7"/>
      <c r="Q28" s="50"/>
      <c r="R28" s="7"/>
      <c r="S28" s="50"/>
      <c r="T28" s="7"/>
      <c r="U28" s="50"/>
      <c r="W28" s="18"/>
      <c r="X28" s="18"/>
      <c r="Y28" s="18"/>
      <c r="Z28" s="18"/>
      <c r="AA28" s="18"/>
    </row>
    <row r="29" spans="1:27" ht="24" customHeight="1" x14ac:dyDescent="0.3">
      <c r="A29" s="233"/>
      <c r="B29" s="24" t="s">
        <v>131</v>
      </c>
      <c r="C29" s="32"/>
      <c r="D29" s="32"/>
      <c r="E29" s="54"/>
      <c r="F29" s="22"/>
      <c r="G29" s="25"/>
      <c r="H29" s="43"/>
      <c r="I29" s="50"/>
      <c r="J29" s="10"/>
      <c r="K29" s="50"/>
      <c r="L29" s="7"/>
      <c r="M29" s="50"/>
      <c r="N29" s="7"/>
      <c r="O29" s="50"/>
      <c r="P29" s="7"/>
      <c r="Q29" s="50"/>
      <c r="R29" s="7"/>
      <c r="S29" s="50"/>
      <c r="T29" s="7"/>
      <c r="U29" s="50"/>
      <c r="W29" s="18"/>
      <c r="X29" s="18"/>
      <c r="Y29" s="18"/>
      <c r="Z29" s="18"/>
      <c r="AA29" s="18"/>
    </row>
    <row r="30" spans="1:27" ht="24" customHeight="1" x14ac:dyDescent="0.3">
      <c r="A30" s="233"/>
      <c r="B30" s="24" t="s">
        <v>132</v>
      </c>
      <c r="C30" s="32"/>
      <c r="D30" s="32"/>
      <c r="E30" s="54"/>
      <c r="F30" s="22"/>
      <c r="G30" s="25"/>
      <c r="H30" s="43"/>
      <c r="I30" s="50"/>
      <c r="J30" s="10"/>
      <c r="K30" s="50"/>
      <c r="L30" s="7"/>
      <c r="M30" s="50"/>
      <c r="N30" s="7"/>
      <c r="O30" s="50"/>
      <c r="P30" s="7"/>
      <c r="Q30" s="50"/>
      <c r="R30" s="7"/>
      <c r="S30" s="50"/>
      <c r="T30" s="7"/>
      <c r="U30" s="50"/>
      <c r="W30" s="18"/>
      <c r="X30" s="18"/>
      <c r="Y30" s="18"/>
      <c r="Z30" s="18"/>
      <c r="AA30" s="18"/>
    </row>
    <row r="31" spans="1:27" ht="24" customHeight="1" x14ac:dyDescent="0.3">
      <c r="A31" s="233"/>
      <c r="B31" s="24" t="s">
        <v>133</v>
      </c>
      <c r="C31" s="32"/>
      <c r="D31" s="32"/>
      <c r="E31" s="54"/>
      <c r="F31" s="22"/>
      <c r="G31" s="25"/>
      <c r="H31" s="7"/>
      <c r="I31" s="50"/>
      <c r="J31" s="10"/>
      <c r="K31" s="50"/>
      <c r="L31" s="7"/>
      <c r="M31" s="50"/>
      <c r="N31" s="7"/>
      <c r="O31" s="50"/>
      <c r="P31" s="7"/>
      <c r="Q31" s="50"/>
      <c r="R31" s="7"/>
      <c r="S31" s="50"/>
      <c r="T31" s="7"/>
      <c r="U31" s="50"/>
      <c r="W31" s="18"/>
      <c r="X31" s="18"/>
      <c r="Y31" s="18"/>
      <c r="Z31" s="18"/>
      <c r="AA31" s="18"/>
    </row>
    <row r="32" spans="1:27" ht="24" customHeight="1" x14ac:dyDescent="0.3">
      <c r="A32" s="233"/>
      <c r="B32" s="24" t="s">
        <v>134</v>
      </c>
      <c r="C32" s="32"/>
      <c r="D32" s="32"/>
      <c r="E32" s="54"/>
      <c r="F32" s="22"/>
      <c r="G32" s="25"/>
      <c r="H32" s="43"/>
      <c r="I32" s="50"/>
      <c r="J32" s="10"/>
      <c r="K32" s="50"/>
      <c r="L32" s="7"/>
      <c r="M32" s="50"/>
      <c r="N32" s="7"/>
      <c r="O32" s="50"/>
      <c r="P32" s="7"/>
      <c r="Q32" s="50"/>
      <c r="R32" s="7"/>
      <c r="S32" s="50"/>
      <c r="T32" s="7"/>
      <c r="U32" s="50"/>
      <c r="W32" s="18"/>
      <c r="X32" s="18"/>
      <c r="Y32" s="18"/>
      <c r="Z32" s="18"/>
      <c r="AA32" s="18"/>
    </row>
    <row r="33" spans="1:27" ht="24" customHeight="1" x14ac:dyDescent="0.3">
      <c r="A33" s="233"/>
      <c r="B33" s="24" t="s">
        <v>135</v>
      </c>
      <c r="C33" s="32"/>
      <c r="D33" s="32"/>
      <c r="E33" s="54"/>
      <c r="F33" s="22"/>
      <c r="G33" s="25"/>
      <c r="H33" s="7"/>
      <c r="I33" s="50"/>
      <c r="J33" s="10"/>
      <c r="K33" s="50"/>
      <c r="L33" s="7"/>
      <c r="M33" s="50"/>
      <c r="N33" s="7"/>
      <c r="O33" s="50"/>
      <c r="P33" s="7"/>
      <c r="Q33" s="50"/>
      <c r="R33" s="7"/>
      <c r="S33" s="50"/>
      <c r="T33" s="7"/>
      <c r="U33" s="50"/>
      <c r="W33" s="18"/>
      <c r="X33" s="18"/>
      <c r="Y33" s="18"/>
      <c r="Z33" s="18"/>
      <c r="AA33" s="18"/>
    </row>
    <row r="34" spans="1:27" ht="24" customHeight="1" x14ac:dyDescent="0.3">
      <c r="A34" s="233"/>
      <c r="B34" s="24" t="s">
        <v>141</v>
      </c>
      <c r="C34" s="32"/>
      <c r="D34" s="56"/>
      <c r="E34" s="54"/>
      <c r="F34" s="22"/>
      <c r="G34" s="25"/>
      <c r="H34" s="43"/>
      <c r="I34" s="50"/>
      <c r="J34" s="10"/>
      <c r="K34" s="50"/>
      <c r="L34" s="7"/>
      <c r="M34" s="50"/>
      <c r="N34" s="7"/>
      <c r="O34" s="50"/>
      <c r="P34" s="7"/>
      <c r="Q34" s="76"/>
      <c r="R34" s="7"/>
      <c r="S34" s="50"/>
      <c r="T34" s="7"/>
      <c r="U34" s="50"/>
      <c r="W34" s="18"/>
      <c r="X34" s="18"/>
      <c r="Y34" s="18"/>
      <c r="Z34" s="18"/>
      <c r="AA34" s="18"/>
    </row>
    <row r="35" spans="1:27" ht="24" customHeight="1" x14ac:dyDescent="0.3">
      <c r="A35" s="233"/>
      <c r="B35" s="24" t="s">
        <v>142</v>
      </c>
      <c r="C35" s="32"/>
      <c r="D35" s="32"/>
      <c r="E35" s="54"/>
      <c r="F35" s="22"/>
      <c r="G35" s="25"/>
      <c r="H35" s="43"/>
      <c r="I35" s="50"/>
      <c r="J35" s="10"/>
      <c r="K35" s="50"/>
      <c r="L35" s="7"/>
      <c r="M35" s="50"/>
      <c r="N35" s="7"/>
      <c r="O35" s="50"/>
      <c r="P35" s="7"/>
      <c r="Q35" s="50"/>
      <c r="R35" s="7"/>
      <c r="S35" s="50"/>
      <c r="T35" s="7"/>
      <c r="U35" s="50"/>
      <c r="W35" s="18"/>
      <c r="X35" s="18"/>
      <c r="Y35" s="18"/>
      <c r="Z35" s="18"/>
      <c r="AA35" s="18"/>
    </row>
    <row r="36" spans="1:27" ht="24" customHeight="1" x14ac:dyDescent="0.3">
      <c r="A36" s="233"/>
      <c r="B36" s="24" t="s">
        <v>144</v>
      </c>
      <c r="C36" s="32"/>
      <c r="D36" s="32"/>
      <c r="E36" s="101"/>
      <c r="F36" s="22"/>
      <c r="G36" s="25"/>
      <c r="H36" s="43"/>
      <c r="I36" s="50"/>
      <c r="J36" s="10"/>
      <c r="K36" s="50"/>
      <c r="L36" s="7"/>
      <c r="M36" s="50"/>
      <c r="N36" s="7"/>
      <c r="O36" s="50"/>
      <c r="P36" s="7"/>
      <c r="Q36" s="50"/>
      <c r="R36" s="7"/>
      <c r="S36" s="50"/>
      <c r="T36" s="7"/>
      <c r="U36" s="50"/>
      <c r="W36" s="18"/>
      <c r="X36" s="18"/>
      <c r="Y36" s="18"/>
      <c r="Z36" s="18"/>
      <c r="AA36" s="18"/>
    </row>
    <row r="37" spans="1:27" ht="24" customHeight="1" x14ac:dyDescent="0.3">
      <c r="A37" s="233"/>
      <c r="B37" s="24" t="s">
        <v>146</v>
      </c>
      <c r="C37" s="32"/>
      <c r="D37" s="32"/>
      <c r="E37" s="54"/>
      <c r="F37" s="22"/>
      <c r="G37" s="25"/>
      <c r="H37" s="43"/>
      <c r="I37" s="50"/>
      <c r="J37" s="10"/>
      <c r="K37" s="50"/>
      <c r="L37" s="7"/>
      <c r="M37" s="50"/>
      <c r="N37" s="7"/>
      <c r="O37" s="50"/>
      <c r="P37" s="7"/>
      <c r="Q37" s="50"/>
      <c r="R37" s="7"/>
      <c r="S37" s="50"/>
      <c r="T37" s="7"/>
      <c r="U37" s="50"/>
      <c r="W37" s="18"/>
      <c r="X37" s="18"/>
      <c r="Y37" s="18"/>
      <c r="Z37" s="18"/>
      <c r="AA37" s="18"/>
    </row>
    <row r="38" spans="1:27" ht="24" customHeight="1" x14ac:dyDescent="0.3">
      <c r="A38" s="233"/>
      <c r="B38" s="24" t="s">
        <v>136</v>
      </c>
      <c r="C38" s="32"/>
      <c r="D38" s="32"/>
      <c r="E38" s="54"/>
      <c r="F38" s="22"/>
      <c r="G38" s="25"/>
      <c r="H38" s="43"/>
      <c r="I38" s="50"/>
      <c r="J38" s="10"/>
      <c r="K38" s="50"/>
      <c r="L38" s="7"/>
      <c r="M38" s="50"/>
      <c r="N38" s="7"/>
      <c r="O38" s="50"/>
      <c r="P38" s="7"/>
      <c r="Q38" s="50"/>
      <c r="R38" s="7"/>
      <c r="S38" s="50"/>
      <c r="T38" s="7"/>
      <c r="U38" s="50"/>
      <c r="W38" s="18"/>
      <c r="X38" s="18"/>
      <c r="Y38" s="18"/>
      <c r="Z38" s="18"/>
      <c r="AA38" s="18"/>
    </row>
    <row r="39" spans="1:27" ht="24" customHeight="1" x14ac:dyDescent="0.3">
      <c r="A39" s="233"/>
      <c r="B39" s="24" t="s">
        <v>138</v>
      </c>
      <c r="C39" s="32"/>
      <c r="D39" s="32"/>
      <c r="E39" s="54"/>
      <c r="F39" s="22"/>
      <c r="G39" s="25"/>
      <c r="H39" s="7"/>
      <c r="I39" s="50"/>
      <c r="J39" s="10"/>
      <c r="K39" s="50"/>
      <c r="L39" s="7"/>
      <c r="M39" s="50"/>
      <c r="N39" s="7"/>
      <c r="O39" s="50"/>
      <c r="P39" s="7"/>
      <c r="Q39" s="50"/>
      <c r="R39" s="7"/>
      <c r="S39" s="50"/>
      <c r="T39" s="7"/>
      <c r="U39" s="50"/>
      <c r="W39" s="18"/>
      <c r="X39" s="18"/>
      <c r="Y39" s="18"/>
      <c r="Z39" s="18"/>
      <c r="AA39" s="18"/>
    </row>
    <row r="40" spans="1:27" ht="24" customHeight="1" x14ac:dyDescent="0.3">
      <c r="A40" s="233"/>
      <c r="B40" s="24" t="s">
        <v>139</v>
      </c>
      <c r="C40" s="32"/>
      <c r="D40" s="32"/>
      <c r="E40" s="54"/>
      <c r="F40" s="22"/>
      <c r="G40" s="25"/>
      <c r="H40" s="10"/>
      <c r="I40" s="50"/>
      <c r="J40" s="10"/>
      <c r="K40" s="50"/>
      <c r="L40" s="7"/>
      <c r="M40" s="50"/>
      <c r="N40" s="7"/>
      <c r="O40" s="50"/>
      <c r="P40" s="7"/>
      <c r="Q40" s="50"/>
      <c r="R40" s="7"/>
      <c r="S40" s="50"/>
      <c r="T40" s="7"/>
      <c r="U40" s="50"/>
      <c r="W40" s="18"/>
      <c r="X40" s="18"/>
      <c r="Y40" s="18"/>
      <c r="Z40" s="18"/>
      <c r="AA40" s="18"/>
    </row>
    <row r="41" spans="1:27" ht="24" customHeight="1" x14ac:dyDescent="0.3">
      <c r="A41" s="233"/>
      <c r="B41" s="24" t="s">
        <v>143</v>
      </c>
      <c r="C41" s="32"/>
      <c r="D41" s="32"/>
      <c r="E41" s="54"/>
      <c r="F41" s="22"/>
      <c r="G41" s="25"/>
      <c r="H41" s="10"/>
      <c r="I41" s="50"/>
      <c r="J41" s="10"/>
      <c r="K41" s="50"/>
      <c r="L41" s="7"/>
      <c r="M41" s="50"/>
      <c r="N41" s="7"/>
      <c r="O41" s="50"/>
      <c r="P41" s="7"/>
      <c r="Q41" s="50"/>
      <c r="R41" s="7"/>
      <c r="S41" s="50"/>
      <c r="T41" s="7"/>
      <c r="U41" s="50"/>
      <c r="W41" s="18"/>
      <c r="X41" s="18"/>
      <c r="Y41" s="18"/>
      <c r="Z41" s="18"/>
      <c r="AA41" s="18"/>
    </row>
    <row r="42" spans="1:27" ht="24" customHeight="1" x14ac:dyDescent="0.3">
      <c r="A42" s="233"/>
      <c r="B42" s="24" t="s">
        <v>137</v>
      </c>
      <c r="C42" s="32"/>
      <c r="D42" s="32"/>
      <c r="E42" s="54"/>
      <c r="F42" s="22"/>
      <c r="G42" s="25"/>
      <c r="H42" s="7"/>
      <c r="I42" s="50"/>
      <c r="J42" s="10"/>
      <c r="K42" s="50"/>
      <c r="L42" s="7"/>
      <c r="M42" s="50"/>
      <c r="N42" s="7"/>
      <c r="O42" s="50"/>
      <c r="P42" s="7"/>
      <c r="Q42" s="50"/>
      <c r="R42" s="7"/>
      <c r="S42" s="50"/>
      <c r="T42" s="7"/>
      <c r="U42" s="50"/>
      <c r="W42" s="18"/>
      <c r="X42" s="18"/>
      <c r="Y42" s="18"/>
      <c r="Z42" s="18"/>
      <c r="AA42" s="18"/>
    </row>
    <row r="43" spans="1:27" ht="27" thickBot="1" x14ac:dyDescent="0.35">
      <c r="A43" s="233"/>
      <c r="B43" s="26"/>
      <c r="C43" s="27">
        <f>SUM(C23:C42)</f>
        <v>0</v>
      </c>
      <c r="D43" s="27">
        <f>SUM(D23:D42)</f>
        <v>0</v>
      </c>
      <c r="E43" s="27">
        <f>SUM(E23:E42)</f>
        <v>0</v>
      </c>
      <c r="F43" s="125">
        <f>SUM(F23:F42)</f>
        <v>0</v>
      </c>
      <c r="G43" s="140"/>
      <c r="H43" s="2">
        <f t="shared" ref="H43:U43" si="2">SUM(H23:H42)</f>
        <v>0</v>
      </c>
      <c r="I43" s="2">
        <f t="shared" si="2"/>
        <v>0</v>
      </c>
      <c r="J43" s="2">
        <f t="shared" si="2"/>
        <v>1</v>
      </c>
      <c r="K43" s="2">
        <f t="shared" si="2"/>
        <v>0</v>
      </c>
      <c r="L43" s="2">
        <f t="shared" si="2"/>
        <v>0</v>
      </c>
      <c r="M43" s="2">
        <f t="shared" si="2"/>
        <v>0</v>
      </c>
      <c r="N43" s="2">
        <f t="shared" si="2"/>
        <v>1</v>
      </c>
      <c r="O43" s="2">
        <f t="shared" si="2"/>
        <v>0</v>
      </c>
      <c r="P43" s="2">
        <f t="shared" si="2"/>
        <v>0</v>
      </c>
      <c r="Q43" s="2">
        <f t="shared" si="2"/>
        <v>0</v>
      </c>
      <c r="R43" s="2">
        <f t="shared" si="2"/>
        <v>0</v>
      </c>
      <c r="S43" s="2">
        <f t="shared" si="2"/>
        <v>0</v>
      </c>
      <c r="T43" s="2">
        <f t="shared" si="2"/>
        <v>0</v>
      </c>
      <c r="U43" s="2">
        <f t="shared" si="2"/>
        <v>0</v>
      </c>
    </row>
    <row r="44" spans="1:27" ht="24" customHeight="1" thickTop="1" x14ac:dyDescent="0.3">
      <c r="A44" s="252" t="s">
        <v>13</v>
      </c>
      <c r="B44" s="3" t="s">
        <v>28</v>
      </c>
      <c r="C44" s="7"/>
      <c r="D44" s="7"/>
      <c r="E44" s="50"/>
      <c r="F44" s="50">
        <v>4</v>
      </c>
      <c r="G44" s="140"/>
      <c r="H44" s="7"/>
      <c r="I44" s="50"/>
      <c r="J44" s="10"/>
      <c r="K44" s="50"/>
      <c r="L44" s="7"/>
      <c r="M44" s="50"/>
      <c r="N44" s="7"/>
      <c r="O44" s="50"/>
      <c r="P44" s="7"/>
      <c r="Q44" s="50"/>
      <c r="R44" s="7"/>
      <c r="S44" s="50"/>
      <c r="T44" s="7"/>
      <c r="U44" s="50"/>
    </row>
    <row r="45" spans="1:27" ht="24" customHeight="1" x14ac:dyDescent="0.3">
      <c r="A45" s="252"/>
      <c r="B45" s="3" t="s">
        <v>29</v>
      </c>
      <c r="C45" s="77">
        <v>10</v>
      </c>
      <c r="D45" s="7"/>
      <c r="E45" s="50"/>
      <c r="F45" s="50"/>
      <c r="G45" s="140"/>
      <c r="H45" s="7"/>
      <c r="I45" s="50"/>
      <c r="J45" s="10"/>
      <c r="K45" s="50"/>
      <c r="L45" s="7"/>
      <c r="M45" s="50"/>
      <c r="N45" s="7"/>
      <c r="O45" s="50"/>
      <c r="P45" s="7"/>
      <c r="Q45" s="50"/>
      <c r="R45" s="7"/>
      <c r="S45" s="50"/>
      <c r="T45" s="7"/>
      <c r="U45" s="50"/>
    </row>
    <row r="46" spans="1:27" ht="24" customHeight="1" x14ac:dyDescent="0.3">
      <c r="A46" s="252"/>
      <c r="B46" s="3" t="s">
        <v>125</v>
      </c>
      <c r="C46" s="7"/>
      <c r="D46" s="7"/>
      <c r="E46" s="50">
        <v>3</v>
      </c>
      <c r="F46" s="50"/>
      <c r="G46" s="140"/>
      <c r="H46" s="7"/>
      <c r="I46" s="50"/>
      <c r="J46" s="10"/>
      <c r="K46" s="50"/>
      <c r="L46" s="7"/>
      <c r="M46" s="50"/>
      <c r="N46" s="7"/>
      <c r="O46" s="50"/>
      <c r="P46" s="7"/>
      <c r="Q46" s="50"/>
      <c r="R46" s="7"/>
      <c r="S46" s="50"/>
      <c r="T46" s="7"/>
      <c r="U46" s="50"/>
    </row>
    <row r="47" spans="1:27" ht="24" customHeight="1" x14ac:dyDescent="0.3">
      <c r="A47" s="252"/>
      <c r="B47" s="3" t="s">
        <v>121</v>
      </c>
      <c r="C47" s="7"/>
      <c r="D47" s="7"/>
      <c r="E47" s="50"/>
      <c r="F47" s="50"/>
      <c r="G47" s="140"/>
      <c r="H47" s="7"/>
      <c r="I47" s="50"/>
      <c r="J47" s="10"/>
      <c r="K47" s="50"/>
      <c r="L47" s="7"/>
      <c r="M47" s="50"/>
      <c r="N47" s="7"/>
      <c r="O47" s="50"/>
      <c r="P47" s="7"/>
      <c r="Q47" s="50"/>
      <c r="R47" s="7"/>
      <c r="S47" s="50"/>
      <c r="T47" s="7"/>
      <c r="U47" s="50"/>
    </row>
    <row r="48" spans="1:27" ht="24" customHeight="1" x14ac:dyDescent="0.3">
      <c r="A48" s="252"/>
      <c r="B48" s="3" t="s">
        <v>122</v>
      </c>
      <c r="C48" s="7"/>
      <c r="D48" s="7"/>
      <c r="E48" s="50"/>
      <c r="F48" s="50"/>
      <c r="G48" s="140"/>
      <c r="H48" s="7"/>
      <c r="I48" s="50"/>
      <c r="J48" s="10"/>
      <c r="K48" s="50"/>
      <c r="L48" s="7"/>
      <c r="M48" s="50"/>
      <c r="N48" s="7"/>
      <c r="O48" s="50"/>
      <c r="P48" s="7"/>
      <c r="Q48" s="50"/>
      <c r="R48" s="7"/>
      <c r="S48" s="50"/>
      <c r="T48" s="7"/>
      <c r="U48" s="50"/>
    </row>
    <row r="49" spans="1:39" ht="24" customHeight="1" x14ac:dyDescent="0.3">
      <c r="A49" s="252"/>
      <c r="B49" s="3" t="s">
        <v>123</v>
      </c>
      <c r="C49" s="7"/>
      <c r="D49" s="7"/>
      <c r="E49" s="50"/>
      <c r="F49" s="50"/>
      <c r="G49" s="140"/>
      <c r="H49" s="7"/>
      <c r="I49" s="50"/>
      <c r="J49" s="10"/>
      <c r="K49" s="50"/>
      <c r="L49" s="7"/>
      <c r="M49" s="50"/>
      <c r="N49" s="7"/>
      <c r="O49" s="50"/>
      <c r="P49" s="7"/>
      <c r="Q49" s="50"/>
      <c r="R49" s="7"/>
      <c r="S49" s="50"/>
      <c r="T49" s="7"/>
      <c r="U49" s="50"/>
    </row>
    <row r="50" spans="1:39" ht="24" customHeight="1" x14ac:dyDescent="0.3">
      <c r="A50" s="252"/>
      <c r="B50" s="100" t="s">
        <v>126</v>
      </c>
      <c r="C50" s="7"/>
      <c r="D50" s="7"/>
      <c r="E50" s="50"/>
      <c r="F50" s="50"/>
      <c r="G50" s="140"/>
      <c r="H50" s="7">
        <v>3</v>
      </c>
      <c r="I50" s="50"/>
      <c r="J50" s="10"/>
      <c r="K50" s="50"/>
      <c r="L50" s="7"/>
      <c r="M50" s="50"/>
      <c r="N50" s="7"/>
      <c r="O50" s="50"/>
      <c r="P50" s="7"/>
      <c r="Q50" s="50"/>
      <c r="R50" s="7"/>
      <c r="S50" s="50"/>
      <c r="T50" s="7"/>
      <c r="U50" s="50"/>
    </row>
    <row r="51" spans="1:39" ht="24" customHeight="1" x14ac:dyDescent="0.3">
      <c r="A51" s="252"/>
      <c r="B51" s="100" t="s">
        <v>124</v>
      </c>
      <c r="C51" s="7"/>
      <c r="D51" s="7"/>
      <c r="E51" s="50"/>
      <c r="F51" s="50"/>
      <c r="G51" s="140"/>
      <c r="H51" s="7">
        <v>2</v>
      </c>
      <c r="I51" s="50"/>
      <c r="J51" s="10"/>
      <c r="K51" s="50"/>
      <c r="L51" s="7">
        <v>2</v>
      </c>
      <c r="M51" s="50"/>
      <c r="N51" s="7"/>
      <c r="O51" s="50"/>
      <c r="P51" s="7">
        <v>2</v>
      </c>
      <c r="Q51" s="50"/>
      <c r="R51" s="7"/>
      <c r="S51" s="50"/>
      <c r="T51" s="7"/>
      <c r="U51" s="50"/>
    </row>
    <row r="52" spans="1:39" ht="26.25" x14ac:dyDescent="0.3">
      <c r="A52" s="279"/>
      <c r="B52" s="122"/>
      <c r="C52" s="123">
        <f>SUM(C44:C51)</f>
        <v>10</v>
      </c>
      <c r="D52" s="123">
        <f>SUM(D44:D51)</f>
        <v>0</v>
      </c>
      <c r="E52" s="123">
        <f>SUM(E44:E51)</f>
        <v>3</v>
      </c>
      <c r="F52" s="123">
        <f>SUM(F44:F51)</f>
        <v>4</v>
      </c>
      <c r="G52" s="140"/>
      <c r="H52" s="2">
        <f t="shared" ref="H52:S52" si="3">SUM(H44:H51)</f>
        <v>5</v>
      </c>
      <c r="I52" s="123">
        <f t="shared" si="3"/>
        <v>0</v>
      </c>
      <c r="J52" s="123">
        <f t="shared" si="3"/>
        <v>0</v>
      </c>
      <c r="K52" s="123">
        <f t="shared" si="3"/>
        <v>0</v>
      </c>
      <c r="L52" s="123">
        <f t="shared" si="3"/>
        <v>2</v>
      </c>
      <c r="M52" s="123">
        <f t="shared" si="3"/>
        <v>0</v>
      </c>
      <c r="N52" s="123">
        <f t="shared" si="3"/>
        <v>0</v>
      </c>
      <c r="O52" s="123">
        <f t="shared" si="3"/>
        <v>0</v>
      </c>
      <c r="P52" s="123">
        <f t="shared" si="3"/>
        <v>2</v>
      </c>
      <c r="Q52" s="123">
        <f t="shared" si="3"/>
        <v>0</v>
      </c>
      <c r="R52" s="123">
        <f t="shared" si="3"/>
        <v>0</v>
      </c>
      <c r="S52" s="123">
        <f t="shared" si="3"/>
        <v>0</v>
      </c>
      <c r="T52" s="123">
        <f>SUM(T44:T51)</f>
        <v>0</v>
      </c>
      <c r="U52" s="123">
        <f>SUM(U44:U51)</f>
        <v>0</v>
      </c>
      <c r="AA52" s="254"/>
      <c r="AB52" s="254"/>
      <c r="AC52" s="254"/>
      <c r="AD52" s="254"/>
      <c r="AF52" s="234"/>
      <c r="AG52" s="234"/>
      <c r="AH52" s="234"/>
      <c r="AI52" s="234"/>
      <c r="AJ52" s="234"/>
      <c r="AL52" s="234"/>
      <c r="AM52" s="234"/>
    </row>
    <row r="53" spans="1:39" ht="24" customHeight="1" x14ac:dyDescent="0.3">
      <c r="A53" s="253" t="s">
        <v>118</v>
      </c>
      <c r="B53" s="3" t="s">
        <v>171</v>
      </c>
      <c r="C53" s="7"/>
      <c r="D53" s="7"/>
      <c r="E53" s="50"/>
      <c r="F53" s="50">
        <v>3</v>
      </c>
      <c r="G53" s="140"/>
      <c r="H53" s="7"/>
      <c r="I53" s="50"/>
      <c r="J53" s="10"/>
      <c r="K53" s="50">
        <v>1</v>
      </c>
      <c r="L53" s="7">
        <v>1</v>
      </c>
      <c r="M53" s="50"/>
      <c r="N53" s="7"/>
      <c r="O53" s="50"/>
      <c r="P53" s="7"/>
      <c r="Q53" s="50"/>
      <c r="R53" s="7">
        <v>1</v>
      </c>
      <c r="S53" s="50"/>
      <c r="T53" s="7"/>
      <c r="U53" s="50"/>
    </row>
    <row r="54" spans="1:39" ht="24" customHeight="1" x14ac:dyDescent="0.3">
      <c r="A54" s="253"/>
      <c r="B54" s="3" t="s">
        <v>168</v>
      </c>
      <c r="C54" s="7">
        <v>2</v>
      </c>
      <c r="D54" s="7"/>
      <c r="E54" s="50"/>
      <c r="F54" s="50">
        <v>5</v>
      </c>
      <c r="G54" s="140"/>
      <c r="H54" s="7"/>
      <c r="I54" s="50"/>
      <c r="J54" s="10"/>
      <c r="K54" s="50"/>
      <c r="L54" s="7"/>
      <c r="M54" s="50"/>
      <c r="N54" s="7"/>
      <c r="O54" s="50"/>
      <c r="P54" s="7"/>
      <c r="Q54" s="50"/>
      <c r="R54" s="7"/>
      <c r="S54" s="50"/>
      <c r="T54" s="7"/>
      <c r="U54" s="50"/>
    </row>
    <row r="55" spans="1:39" ht="24" customHeight="1" x14ac:dyDescent="0.3">
      <c r="A55" s="253"/>
      <c r="B55" s="3" t="s">
        <v>170</v>
      </c>
      <c r="C55" s="7"/>
      <c r="D55" s="7"/>
      <c r="E55" s="50"/>
      <c r="F55" s="50">
        <v>9</v>
      </c>
      <c r="G55" s="140"/>
      <c r="H55" s="7"/>
      <c r="I55" s="50"/>
      <c r="J55" s="10"/>
      <c r="L55" s="7"/>
      <c r="M55" s="50"/>
      <c r="N55" s="7"/>
      <c r="O55" s="50"/>
      <c r="P55" s="7"/>
      <c r="Q55" s="50"/>
      <c r="R55" s="7"/>
      <c r="S55" s="50"/>
      <c r="T55" s="7"/>
      <c r="U55" s="50"/>
    </row>
    <row r="56" spans="1:39" ht="24" customHeight="1" x14ac:dyDescent="0.3">
      <c r="A56" s="253"/>
      <c r="B56" s="100" t="s">
        <v>166</v>
      </c>
      <c r="C56" s="7">
        <v>20</v>
      </c>
      <c r="D56" s="7"/>
      <c r="E56" s="50">
        <v>10</v>
      </c>
      <c r="F56" s="50"/>
      <c r="G56" s="140"/>
      <c r="H56" s="7"/>
      <c r="I56" s="50"/>
      <c r="J56" s="10"/>
      <c r="K56" s="50"/>
      <c r="L56" s="7">
        <v>2</v>
      </c>
      <c r="M56" s="50"/>
      <c r="N56" s="7"/>
      <c r="O56" s="50"/>
      <c r="P56" s="7"/>
      <c r="Q56" s="50"/>
      <c r="R56" s="7">
        <v>2</v>
      </c>
      <c r="S56" s="50"/>
      <c r="T56" s="7"/>
      <c r="U56" s="50"/>
    </row>
    <row r="57" spans="1:39" ht="24" customHeight="1" x14ac:dyDescent="0.3">
      <c r="A57" s="253"/>
      <c r="B57" s="100" t="s">
        <v>167</v>
      </c>
      <c r="C57" s="7">
        <v>8</v>
      </c>
      <c r="D57" s="7"/>
      <c r="E57" s="50">
        <v>3</v>
      </c>
      <c r="F57" s="50"/>
      <c r="G57" s="140"/>
      <c r="H57" s="7"/>
      <c r="I57" s="50"/>
      <c r="J57" s="10"/>
      <c r="K57" s="50">
        <v>1</v>
      </c>
      <c r="L57" s="7"/>
      <c r="M57" s="50"/>
      <c r="N57" s="7"/>
      <c r="O57" s="50"/>
      <c r="P57" s="7"/>
      <c r="Q57" s="50"/>
      <c r="R57" s="7">
        <v>1</v>
      </c>
      <c r="S57" s="50">
        <v>1</v>
      </c>
      <c r="T57" s="7"/>
      <c r="U57" s="50"/>
    </row>
    <row r="58" spans="1:39" ht="24" customHeight="1" x14ac:dyDescent="0.3">
      <c r="A58" s="253"/>
      <c r="B58" s="100" t="s">
        <v>172</v>
      </c>
      <c r="C58" s="7"/>
      <c r="D58" s="7"/>
      <c r="E58" s="50"/>
      <c r="F58" s="50"/>
      <c r="G58" s="140"/>
      <c r="H58" s="7"/>
      <c r="I58" s="50"/>
      <c r="J58" s="10">
        <v>2</v>
      </c>
      <c r="K58" s="50"/>
      <c r="L58" s="7">
        <v>2</v>
      </c>
      <c r="M58" s="50"/>
      <c r="N58" s="7">
        <v>2</v>
      </c>
      <c r="O58" s="50"/>
      <c r="P58" s="7"/>
      <c r="Q58" s="50"/>
      <c r="R58" s="7"/>
      <c r="S58" s="50"/>
      <c r="T58" s="7"/>
      <c r="U58" s="50"/>
    </row>
    <row r="59" spans="1:39" ht="24" customHeight="1" x14ac:dyDescent="0.3">
      <c r="A59" s="253"/>
      <c r="B59" s="100" t="s">
        <v>165</v>
      </c>
      <c r="C59" s="7"/>
      <c r="D59" s="7"/>
      <c r="E59" s="50"/>
      <c r="F59" s="50"/>
      <c r="G59" s="140"/>
      <c r="H59" s="7"/>
      <c r="I59" s="50"/>
      <c r="J59" s="10"/>
      <c r="K59" s="50"/>
      <c r="L59" s="7"/>
      <c r="M59" s="50"/>
      <c r="N59" s="7"/>
      <c r="O59" s="50"/>
      <c r="P59" s="7"/>
      <c r="Q59" s="50"/>
      <c r="R59" s="7"/>
      <c r="S59" s="50"/>
      <c r="T59" s="7"/>
      <c r="U59" s="50"/>
    </row>
    <row r="60" spans="1:39" ht="24" customHeight="1" x14ac:dyDescent="0.3">
      <c r="A60" s="253"/>
      <c r="B60" s="3" t="s">
        <v>173</v>
      </c>
      <c r="C60" s="7"/>
      <c r="D60" s="7"/>
      <c r="E60" s="50"/>
      <c r="F60" s="50"/>
      <c r="G60" s="140"/>
      <c r="H60" s="7">
        <v>1</v>
      </c>
      <c r="I60" s="50"/>
      <c r="J60" s="10"/>
      <c r="K60" s="50"/>
      <c r="L60" s="7"/>
      <c r="M60" s="50"/>
      <c r="N60" s="7"/>
      <c r="O60" s="50"/>
      <c r="P60" s="7"/>
      <c r="Q60" s="50"/>
      <c r="R60" s="7"/>
      <c r="S60" s="50"/>
      <c r="T60" s="7"/>
      <c r="U60" s="50"/>
    </row>
    <row r="61" spans="1:39" ht="24" customHeight="1" x14ac:dyDescent="0.3">
      <c r="A61" s="253"/>
      <c r="B61" s="3" t="s">
        <v>169</v>
      </c>
      <c r="C61" s="7"/>
      <c r="D61" s="7"/>
      <c r="E61" s="50"/>
      <c r="F61" s="50"/>
      <c r="G61" s="140"/>
      <c r="H61" s="7"/>
      <c r="I61" s="50"/>
      <c r="J61" s="10"/>
      <c r="K61" s="50"/>
      <c r="L61" s="7"/>
      <c r="M61" s="50"/>
      <c r="N61" s="7"/>
      <c r="O61" s="50"/>
      <c r="P61" s="7"/>
      <c r="Q61" s="50"/>
      <c r="R61" s="7">
        <v>1</v>
      </c>
      <c r="S61" s="50"/>
      <c r="T61" s="7"/>
      <c r="U61" s="50"/>
    </row>
    <row r="62" spans="1:39" ht="26.25" x14ac:dyDescent="0.3">
      <c r="A62" s="253"/>
      <c r="B62" s="2"/>
      <c r="C62" s="2">
        <f>SUM(C53:C61)</f>
        <v>30</v>
      </c>
      <c r="D62" s="2">
        <f>SUM(D53:D61)</f>
        <v>0</v>
      </c>
      <c r="E62" s="2">
        <f>SUM(E53:E61)</f>
        <v>13</v>
      </c>
      <c r="F62" s="2">
        <f>SUM(F53:F61)</f>
        <v>17</v>
      </c>
      <c r="G62" s="140"/>
      <c r="H62" s="2">
        <f t="shared" ref="H62:U62" si="4">SUM(H53:H61)</f>
        <v>1</v>
      </c>
      <c r="I62" s="2">
        <f t="shared" si="4"/>
        <v>0</v>
      </c>
      <c r="J62" s="2">
        <f t="shared" si="4"/>
        <v>2</v>
      </c>
      <c r="K62" s="2">
        <f t="shared" si="4"/>
        <v>2</v>
      </c>
      <c r="L62" s="2">
        <f t="shared" si="4"/>
        <v>5</v>
      </c>
      <c r="M62" s="2">
        <f t="shared" si="4"/>
        <v>0</v>
      </c>
      <c r="N62" s="2">
        <f t="shared" si="4"/>
        <v>2</v>
      </c>
      <c r="O62" s="2">
        <f t="shared" si="4"/>
        <v>0</v>
      </c>
      <c r="P62" s="2">
        <f t="shared" si="4"/>
        <v>0</v>
      </c>
      <c r="Q62" s="2">
        <f t="shared" si="4"/>
        <v>0</v>
      </c>
      <c r="R62" s="2">
        <f t="shared" si="4"/>
        <v>5</v>
      </c>
      <c r="S62" s="2">
        <f t="shared" si="4"/>
        <v>1</v>
      </c>
      <c r="T62" s="2">
        <f t="shared" si="4"/>
        <v>0</v>
      </c>
      <c r="U62" s="2">
        <f t="shared" si="4"/>
        <v>0</v>
      </c>
      <c r="AA62" s="254"/>
      <c r="AB62" s="254"/>
      <c r="AC62" s="254"/>
      <c r="AD62" s="254"/>
      <c r="AF62" s="234"/>
      <c r="AG62" s="234"/>
      <c r="AH62" s="234"/>
      <c r="AI62" s="234"/>
      <c r="AJ62" s="234"/>
      <c r="AL62" s="234"/>
      <c r="AM62" s="234"/>
    </row>
    <row r="64" spans="1:39" ht="19.5" customHeight="1" x14ac:dyDescent="0.35">
      <c r="A64" s="235" t="s">
        <v>23</v>
      </c>
      <c r="B64" s="235"/>
      <c r="C64" s="126">
        <v>47000</v>
      </c>
      <c r="D64" s="126">
        <v>4700</v>
      </c>
      <c r="E64" s="126">
        <v>58000</v>
      </c>
      <c r="F64" s="126">
        <v>5800</v>
      </c>
      <c r="H64" s="126">
        <v>5800</v>
      </c>
      <c r="I64" s="126">
        <v>4700</v>
      </c>
      <c r="J64" s="20">
        <v>6800</v>
      </c>
      <c r="K64" s="20">
        <v>5200</v>
      </c>
      <c r="L64" s="20">
        <v>20700</v>
      </c>
      <c r="M64" s="20">
        <v>6400</v>
      </c>
      <c r="N64" s="20">
        <v>18700</v>
      </c>
      <c r="O64" s="126">
        <v>25700</v>
      </c>
      <c r="P64" s="126">
        <v>8800</v>
      </c>
      <c r="Q64" s="20">
        <v>21700</v>
      </c>
      <c r="R64" s="20">
        <v>15000</v>
      </c>
      <c r="S64" s="20">
        <v>18000</v>
      </c>
      <c r="T64" s="20"/>
      <c r="U64" s="20"/>
      <c r="W64" s="236">
        <f>P67*0.85</f>
        <v>2940405</v>
      </c>
      <c r="X64" s="237"/>
      <c r="Y64" s="238"/>
      <c r="AA64" s="242">
        <f>P69-P67</f>
        <v>0</v>
      </c>
      <c r="AB64" s="243"/>
      <c r="AC64" s="243"/>
      <c r="AD64" s="243"/>
      <c r="AF64" s="234"/>
      <c r="AG64" s="234"/>
      <c r="AH64" s="234"/>
      <c r="AI64" s="234"/>
      <c r="AJ64" s="234"/>
      <c r="AL64" s="234"/>
      <c r="AM64" s="234"/>
    </row>
    <row r="65" spans="1:39" ht="19.5" customHeight="1" x14ac:dyDescent="0.35">
      <c r="A65" s="235" t="s">
        <v>24</v>
      </c>
      <c r="B65" s="235"/>
      <c r="C65" s="20">
        <f>C64*C3</f>
        <v>1880000</v>
      </c>
      <c r="D65" s="20">
        <f>D64*D3</f>
        <v>0</v>
      </c>
      <c r="E65" s="20">
        <f>E64*E3</f>
        <v>928000</v>
      </c>
      <c r="F65" s="20">
        <f>F64*F3</f>
        <v>121800</v>
      </c>
      <c r="H65" s="20">
        <f t="shared" ref="H65:U65" si="5">H64*H3</f>
        <v>34800</v>
      </c>
      <c r="I65" s="20">
        <f t="shared" si="5"/>
        <v>0</v>
      </c>
      <c r="J65" s="20">
        <f t="shared" si="5"/>
        <v>34000</v>
      </c>
      <c r="K65" s="20">
        <f t="shared" si="5"/>
        <v>26000</v>
      </c>
      <c r="L65" s="20">
        <f t="shared" si="5"/>
        <v>186300</v>
      </c>
      <c r="M65" s="20">
        <f t="shared" si="5"/>
        <v>0</v>
      </c>
      <c r="N65" s="20">
        <f t="shared" si="5"/>
        <v>74800</v>
      </c>
      <c r="O65" s="20">
        <f t="shared" si="5"/>
        <v>0</v>
      </c>
      <c r="P65" s="20">
        <f t="shared" si="5"/>
        <v>17600</v>
      </c>
      <c r="Q65" s="20">
        <f t="shared" si="5"/>
        <v>0</v>
      </c>
      <c r="R65" s="20">
        <f t="shared" si="5"/>
        <v>120000</v>
      </c>
      <c r="S65" s="20">
        <f t="shared" si="5"/>
        <v>36000</v>
      </c>
      <c r="T65" s="20">
        <f t="shared" si="5"/>
        <v>0</v>
      </c>
      <c r="U65" s="20">
        <f t="shared" si="5"/>
        <v>0</v>
      </c>
      <c r="W65" s="239"/>
      <c r="X65" s="240"/>
      <c r="Y65" s="241"/>
      <c r="AA65" s="243"/>
      <c r="AB65" s="243"/>
      <c r="AC65" s="243"/>
      <c r="AD65" s="243"/>
      <c r="AF65" s="234"/>
      <c r="AG65" s="234"/>
      <c r="AH65" s="234"/>
      <c r="AI65" s="234"/>
      <c r="AJ65" s="234"/>
      <c r="AL65" s="234"/>
      <c r="AM65" s="234"/>
    </row>
    <row r="67" spans="1:39" ht="26.25" x14ac:dyDescent="0.3">
      <c r="P67" s="259">
        <f>SUM(C65:U65)</f>
        <v>3459300</v>
      </c>
      <c r="Q67" s="260"/>
      <c r="W67" s="247"/>
      <c r="X67" s="248"/>
      <c r="Y67" s="248"/>
      <c r="AA67" s="249"/>
      <c r="AB67" s="250"/>
      <c r="AC67" s="250"/>
      <c r="AD67" s="251"/>
    </row>
    <row r="69" spans="1:39" ht="26.25" x14ac:dyDescent="0.3">
      <c r="C69" s="244"/>
      <c r="D69" s="245"/>
      <c r="P69" s="246">
        <v>3459300</v>
      </c>
      <c r="Q69" s="246"/>
      <c r="W69" s="247">
        <f>P69*0.85</f>
        <v>2940405</v>
      </c>
      <c r="X69" s="248"/>
      <c r="Y69" s="248"/>
      <c r="AA69" s="249"/>
      <c r="AB69" s="250"/>
      <c r="AC69" s="250"/>
      <c r="AD69" s="251"/>
    </row>
    <row r="70" spans="1:39" x14ac:dyDescent="0.3">
      <c r="Q70" s="18"/>
      <c r="S70" s="18"/>
      <c r="U70" s="18"/>
      <c r="W70" s="245"/>
      <c r="X70" s="245"/>
      <c r="Y70" s="245"/>
      <c r="AA70" s="255"/>
      <c r="AB70" s="256"/>
      <c r="AC70" s="256"/>
      <c r="AD70" s="256"/>
    </row>
    <row r="71" spans="1:39" x14ac:dyDescent="0.3">
      <c r="P71" s="244"/>
      <c r="Q71" s="245"/>
      <c r="W71" s="245"/>
      <c r="X71" s="245"/>
      <c r="Y71" s="245"/>
      <c r="AA71" s="245"/>
      <c r="AB71" s="245"/>
      <c r="AC71" s="245"/>
      <c r="AD71" s="245"/>
    </row>
    <row r="72" spans="1:39" x14ac:dyDescent="0.3">
      <c r="P72" s="245"/>
      <c r="Q72" s="245"/>
      <c r="W72" s="245"/>
      <c r="X72" s="245"/>
      <c r="Y72" s="245"/>
      <c r="AA72" s="245"/>
      <c r="AB72" s="245"/>
      <c r="AC72" s="245"/>
      <c r="AD72" s="245"/>
    </row>
    <row r="73" spans="1:39" x14ac:dyDescent="0.3">
      <c r="P73" s="18"/>
      <c r="Q73" s="18"/>
      <c r="S73" s="18"/>
      <c r="U73" s="18"/>
      <c r="AA73" s="245"/>
      <c r="AB73" s="245"/>
      <c r="AC73" s="245"/>
      <c r="AD73" s="245"/>
    </row>
    <row r="74" spans="1:39" x14ac:dyDescent="0.3">
      <c r="C74">
        <f>C64*0.85</f>
        <v>39950</v>
      </c>
      <c r="D74">
        <f t="shared" ref="D74:R74" si="6">D64*0.85</f>
        <v>3995</v>
      </c>
      <c r="E74">
        <f t="shared" si="6"/>
        <v>49300</v>
      </c>
      <c r="F74">
        <f t="shared" si="6"/>
        <v>4930</v>
      </c>
      <c r="H74">
        <f t="shared" si="6"/>
        <v>4930</v>
      </c>
      <c r="I74">
        <f t="shared" si="6"/>
        <v>3995</v>
      </c>
      <c r="J74">
        <f t="shared" si="6"/>
        <v>5780</v>
      </c>
      <c r="K74">
        <f t="shared" si="6"/>
        <v>4420</v>
      </c>
      <c r="L74">
        <f t="shared" si="6"/>
        <v>17595</v>
      </c>
      <c r="M74">
        <f t="shared" si="6"/>
        <v>5440</v>
      </c>
      <c r="N74">
        <f t="shared" si="6"/>
        <v>15895</v>
      </c>
      <c r="O74">
        <f t="shared" si="6"/>
        <v>21845</v>
      </c>
      <c r="P74">
        <f t="shared" si="6"/>
        <v>7480</v>
      </c>
      <c r="Q74">
        <f t="shared" si="6"/>
        <v>18445</v>
      </c>
      <c r="R74">
        <f t="shared" si="6"/>
        <v>12750</v>
      </c>
      <c r="S74">
        <f>S64*0.85</f>
        <v>15300</v>
      </c>
      <c r="T74">
        <f>T64*0.85</f>
        <v>0</v>
      </c>
      <c r="U74">
        <f>U64*0.85</f>
        <v>0</v>
      </c>
    </row>
    <row r="75" spans="1:39" x14ac:dyDescent="0.3">
      <c r="C75">
        <v>29500</v>
      </c>
      <c r="D75">
        <v>2950</v>
      </c>
      <c r="E75">
        <v>51000</v>
      </c>
      <c r="F75">
        <v>5100</v>
      </c>
      <c r="H75">
        <v>3600</v>
      </c>
      <c r="I75">
        <v>2950</v>
      </c>
      <c r="J75">
        <v>4000</v>
      </c>
      <c r="K75">
        <v>4200</v>
      </c>
      <c r="L75">
        <v>15000</v>
      </c>
      <c r="M75">
        <v>4500</v>
      </c>
      <c r="N75">
        <v>9500</v>
      </c>
      <c r="O75">
        <v>12000</v>
      </c>
      <c r="P75">
        <v>8000</v>
      </c>
      <c r="Q75">
        <v>12000</v>
      </c>
      <c r="R75">
        <v>8500</v>
      </c>
    </row>
    <row r="76" spans="1:39" x14ac:dyDescent="0.3">
      <c r="C76">
        <f>C74-C75</f>
        <v>10450</v>
      </c>
      <c r="D76">
        <f t="shared" ref="D76:R76" si="7">D74-D75</f>
        <v>1045</v>
      </c>
      <c r="E76">
        <f t="shared" si="7"/>
        <v>-1700</v>
      </c>
      <c r="F76">
        <f t="shared" si="7"/>
        <v>-170</v>
      </c>
      <c r="H76">
        <f t="shared" si="7"/>
        <v>1330</v>
      </c>
      <c r="I76">
        <f t="shared" si="7"/>
        <v>1045</v>
      </c>
      <c r="J76">
        <f t="shared" si="7"/>
        <v>1780</v>
      </c>
      <c r="K76">
        <f t="shared" si="7"/>
        <v>220</v>
      </c>
      <c r="L76">
        <f t="shared" si="7"/>
        <v>2595</v>
      </c>
      <c r="M76">
        <f t="shared" si="7"/>
        <v>940</v>
      </c>
      <c r="N76">
        <f t="shared" si="7"/>
        <v>6395</v>
      </c>
      <c r="O76">
        <f t="shared" si="7"/>
        <v>9845</v>
      </c>
      <c r="P76">
        <f t="shared" si="7"/>
        <v>-520</v>
      </c>
      <c r="Q76">
        <f t="shared" si="7"/>
        <v>6445</v>
      </c>
      <c r="R76">
        <f t="shared" si="7"/>
        <v>4250</v>
      </c>
    </row>
    <row r="77" spans="1:39" x14ac:dyDescent="0.3">
      <c r="C77">
        <f t="shared" ref="C77:R77" si="8">C76*C3</f>
        <v>418000</v>
      </c>
      <c r="D77">
        <f t="shared" si="8"/>
        <v>0</v>
      </c>
      <c r="E77">
        <f t="shared" si="8"/>
        <v>-27200</v>
      </c>
      <c r="F77">
        <f t="shared" si="8"/>
        <v>-3570</v>
      </c>
      <c r="G77">
        <f t="shared" si="8"/>
        <v>0</v>
      </c>
      <c r="H77">
        <f t="shared" si="8"/>
        <v>7980</v>
      </c>
      <c r="I77">
        <f t="shared" si="8"/>
        <v>0</v>
      </c>
      <c r="J77">
        <f t="shared" si="8"/>
        <v>8900</v>
      </c>
      <c r="K77">
        <f t="shared" si="8"/>
        <v>1100</v>
      </c>
      <c r="L77">
        <f t="shared" si="8"/>
        <v>23355</v>
      </c>
      <c r="M77">
        <f t="shared" si="8"/>
        <v>0</v>
      </c>
      <c r="N77">
        <f t="shared" si="8"/>
        <v>25580</v>
      </c>
      <c r="O77">
        <f t="shared" si="8"/>
        <v>0</v>
      </c>
      <c r="P77">
        <f t="shared" si="8"/>
        <v>-1040</v>
      </c>
      <c r="Q77">
        <f t="shared" si="8"/>
        <v>0</v>
      </c>
      <c r="R77">
        <f t="shared" si="8"/>
        <v>34000</v>
      </c>
      <c r="Z77" s="245"/>
      <c r="AA77" s="245"/>
      <c r="AB77" s="245"/>
      <c r="AC77" s="245"/>
      <c r="AD77" s="245"/>
    </row>
    <row r="78" spans="1:39" x14ac:dyDescent="0.3">
      <c r="Z78" s="245"/>
      <c r="AA78" s="245"/>
      <c r="AB78" s="245"/>
      <c r="AC78" s="245"/>
      <c r="AD78" s="245"/>
    </row>
    <row r="79" spans="1:39" ht="26.25" x14ac:dyDescent="0.3">
      <c r="P79" s="257">
        <f>SUM(C77:R77)</f>
        <v>487105</v>
      </c>
      <c r="Q79" s="258"/>
    </row>
  </sheetData>
  <mergeCells count="31">
    <mergeCell ref="W70:Y72"/>
    <mergeCell ref="AA70:AD73"/>
    <mergeCell ref="P71:Q72"/>
    <mergeCell ref="Z77:AD78"/>
    <mergeCell ref="P79:Q79"/>
    <mergeCell ref="P67:Q67"/>
    <mergeCell ref="W67:Y67"/>
    <mergeCell ref="AA67:AD67"/>
    <mergeCell ref="C69:D69"/>
    <mergeCell ref="P69:Q69"/>
    <mergeCell ref="W69:Y69"/>
    <mergeCell ref="AA69:AD69"/>
    <mergeCell ref="A64:B64"/>
    <mergeCell ref="W64:Y65"/>
    <mergeCell ref="AA64:AD65"/>
    <mergeCell ref="AF64:AJ65"/>
    <mergeCell ref="AL64:AM65"/>
    <mergeCell ref="A65:B65"/>
    <mergeCell ref="AA52:AD52"/>
    <mergeCell ref="AF52:AJ52"/>
    <mergeCell ref="AL52:AM52"/>
    <mergeCell ref="A53:A62"/>
    <mergeCell ref="AA62:AD62"/>
    <mergeCell ref="AF62:AJ62"/>
    <mergeCell ref="AL62:AM62"/>
    <mergeCell ref="A1:B2"/>
    <mergeCell ref="C1:D1"/>
    <mergeCell ref="E1:F1"/>
    <mergeCell ref="A4:A22"/>
    <mergeCell ref="A23:A43"/>
    <mergeCell ref="A44:A52"/>
  </mergeCells>
  <phoneticPr fontId="39" type="noConversion"/>
  <conditionalFormatting sqref="B7:B11">
    <cfRule type="duplicateValues" dxfId="155" priority="2"/>
  </conditionalFormatting>
  <conditionalFormatting sqref="B44:B51">
    <cfRule type="duplicateValues" dxfId="154" priority="3"/>
  </conditionalFormatting>
  <conditionalFormatting sqref="B12">
    <cfRule type="duplicateValues" dxfId="153" priority="1"/>
  </conditionalFormatting>
  <conditionalFormatting sqref="B23:B42">
    <cfRule type="duplicateValues" dxfId="152" priority="4"/>
  </conditionalFormatting>
  <conditionalFormatting sqref="B4:B6 B13:B21">
    <cfRule type="expression" dxfId="151" priority="5" stopIfTrue="1">
      <formula>AND(COUNTIF($B$4:$B$6, B4)+COUNTIF($B$13:$B$21, B4)&gt;1,NOT(ISBLANK(B4)))</formula>
    </cfRule>
  </conditionalFormatting>
  <conditionalFormatting sqref="B53:B61">
    <cfRule type="duplicateValues" dxfId="150" priority="6"/>
  </conditionalFormatting>
  <printOptions horizontalCentered="1" verticalCentered="1"/>
  <pageMargins left="0" right="0" top="7.874015748031496E-2" bottom="7.874015748031496E-2" header="0" footer="0"/>
  <pageSetup paperSize="9" scale="23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V17"/>
  <sheetViews>
    <sheetView zoomScale="70" zoomScaleNormal="70" workbookViewId="0">
      <pane ySplit="3" topLeftCell="A4" activePane="bottomLeft" state="frozen"/>
      <selection activeCell="Y2" sqref="Y2"/>
      <selection pane="bottomLeft" activeCell="Y2" sqref="Y2"/>
    </sheetView>
  </sheetViews>
  <sheetFormatPr defaultRowHeight="16.5" x14ac:dyDescent="0.3"/>
  <cols>
    <col min="1" max="1" width="32.875" customWidth="1"/>
    <col min="2" max="6" width="10" customWidth="1"/>
    <col min="7" max="7" width="5.75" customWidth="1"/>
    <col min="8" max="8" width="18.5" customWidth="1"/>
    <col min="9" max="22" width="10.875" customWidth="1"/>
  </cols>
  <sheetData>
    <row r="1" spans="1:22" ht="113.25" customHeight="1" x14ac:dyDescent="0.3">
      <c r="A1" s="222" t="s">
        <v>176</v>
      </c>
      <c r="B1" s="223"/>
      <c r="C1" s="267" t="s">
        <v>97</v>
      </c>
      <c r="D1" s="268"/>
      <c r="E1" s="228" t="s">
        <v>98</v>
      </c>
      <c r="F1" s="228"/>
      <c r="G1" s="8"/>
      <c r="H1" s="269" t="s">
        <v>18</v>
      </c>
      <c r="I1" s="72" t="s">
        <v>20</v>
      </c>
      <c r="J1" s="139" t="s">
        <v>21</v>
      </c>
      <c r="K1" s="5" t="s">
        <v>101</v>
      </c>
      <c r="L1" s="139" t="s">
        <v>100</v>
      </c>
      <c r="M1" s="5" t="s">
        <v>96</v>
      </c>
      <c r="N1" s="139" t="s">
        <v>99</v>
      </c>
      <c r="O1" s="5" t="s">
        <v>114</v>
      </c>
      <c r="P1" s="139" t="s">
        <v>115</v>
      </c>
      <c r="Q1" s="5" t="s">
        <v>104</v>
      </c>
      <c r="R1" s="139" t="s">
        <v>105</v>
      </c>
      <c r="S1" s="5" t="s">
        <v>106</v>
      </c>
      <c r="T1" s="139" t="s">
        <v>11</v>
      </c>
      <c r="U1" s="5" t="s">
        <v>86</v>
      </c>
      <c r="V1" s="139" t="s">
        <v>88</v>
      </c>
    </row>
    <row r="2" spans="1:22" ht="43.5" customHeight="1" x14ac:dyDescent="0.3">
      <c r="A2" s="224"/>
      <c r="B2" s="225"/>
      <c r="C2" s="73" t="s">
        <v>2</v>
      </c>
      <c r="D2" s="73" t="s">
        <v>22</v>
      </c>
      <c r="E2" s="1" t="s">
        <v>2</v>
      </c>
      <c r="F2" s="1" t="s">
        <v>1</v>
      </c>
      <c r="G2" s="9"/>
      <c r="H2" s="270"/>
      <c r="I2" s="6" t="s">
        <v>3</v>
      </c>
      <c r="J2" s="1" t="s">
        <v>1</v>
      </c>
      <c r="K2" s="6" t="s">
        <v>3</v>
      </c>
      <c r="L2" s="1" t="s">
        <v>1</v>
      </c>
      <c r="M2" s="6" t="s">
        <v>3</v>
      </c>
      <c r="N2" s="1" t="s">
        <v>1</v>
      </c>
      <c r="O2" s="6" t="s">
        <v>3</v>
      </c>
      <c r="P2" s="1" t="s">
        <v>1</v>
      </c>
      <c r="Q2" s="6" t="s">
        <v>3</v>
      </c>
      <c r="R2" s="1" t="s">
        <v>1</v>
      </c>
      <c r="S2" s="6" t="s">
        <v>3</v>
      </c>
      <c r="T2" s="1" t="s">
        <v>1</v>
      </c>
      <c r="U2" s="6" t="s">
        <v>3</v>
      </c>
      <c r="V2" s="1" t="s">
        <v>3</v>
      </c>
    </row>
    <row r="3" spans="1:22" ht="39" customHeight="1" thickBot="1" x14ac:dyDescent="0.35">
      <c r="A3" s="271" t="s">
        <v>10</v>
      </c>
      <c r="B3" s="272"/>
      <c r="C3" s="44">
        <f>SUM(C4:C19)</f>
        <v>40</v>
      </c>
      <c r="D3" s="44">
        <f>SUM(D4:D19)</f>
        <v>0</v>
      </c>
      <c r="E3" s="44">
        <f>SUM(E4:E19)</f>
        <v>16</v>
      </c>
      <c r="F3" s="44">
        <f>SUM(F4:F19)</f>
        <v>21</v>
      </c>
      <c r="G3" s="140"/>
      <c r="H3" s="13" t="s">
        <v>10</v>
      </c>
      <c r="I3" s="44">
        <f>SUM(I4:I14)</f>
        <v>6</v>
      </c>
      <c r="J3" s="44">
        <f t="shared" ref="J3:U3" si="0">SUM(J4:J14)</f>
        <v>0</v>
      </c>
      <c r="K3" s="44">
        <f t="shared" si="0"/>
        <v>5</v>
      </c>
      <c r="L3" s="44">
        <f t="shared" si="0"/>
        <v>5</v>
      </c>
      <c r="M3" s="44">
        <f t="shared" si="0"/>
        <v>9</v>
      </c>
      <c r="N3" s="44">
        <f t="shared" si="0"/>
        <v>0</v>
      </c>
      <c r="O3" s="44">
        <f t="shared" si="0"/>
        <v>4</v>
      </c>
      <c r="P3" s="44">
        <f t="shared" si="0"/>
        <v>0</v>
      </c>
      <c r="Q3" s="44">
        <f t="shared" si="0"/>
        <v>2</v>
      </c>
      <c r="R3" s="44">
        <f t="shared" si="0"/>
        <v>0</v>
      </c>
      <c r="S3" s="44">
        <f t="shared" si="0"/>
        <v>8</v>
      </c>
      <c r="T3" s="44">
        <f t="shared" si="0"/>
        <v>2</v>
      </c>
      <c r="U3" s="44">
        <f t="shared" si="0"/>
        <v>0</v>
      </c>
      <c r="V3" s="93">
        <f>SUM(V4:V11)</f>
        <v>0</v>
      </c>
    </row>
    <row r="4" spans="1:22" ht="82.7" customHeight="1" thickTop="1" x14ac:dyDescent="0.3">
      <c r="A4" s="273" t="s">
        <v>15</v>
      </c>
      <c r="B4" s="274"/>
      <c r="C4" s="57">
        <f>'학교별03.06'!C22</f>
        <v>0</v>
      </c>
      <c r="D4" s="57">
        <f>'학교별03.06'!D22</f>
        <v>0</v>
      </c>
      <c r="E4" s="58">
        <f>'학교별03.06'!E22</f>
        <v>0</v>
      </c>
      <c r="F4" s="59">
        <f>'학교별03.06'!F22</f>
        <v>0</v>
      </c>
      <c r="G4" s="140"/>
      <c r="H4" s="49" t="s">
        <v>15</v>
      </c>
      <c r="I4" s="47">
        <f>'학교별03.06'!H22</f>
        <v>0</v>
      </c>
      <c r="J4" s="45">
        <f>'학교별03.06'!I22</f>
        <v>0</v>
      </c>
      <c r="K4" s="47">
        <f>'학교별03.06'!J22</f>
        <v>2</v>
      </c>
      <c r="L4" s="45">
        <f>'학교별03.06'!K22</f>
        <v>3</v>
      </c>
      <c r="M4" s="47">
        <f>'학교별03.06'!L22</f>
        <v>2</v>
      </c>
      <c r="N4" s="45">
        <f>'학교별03.06'!M22</f>
        <v>0</v>
      </c>
      <c r="O4" s="47">
        <f>'학교별03.06'!N22</f>
        <v>1</v>
      </c>
      <c r="P4" s="45">
        <f>'학교별03.06'!O22</f>
        <v>0</v>
      </c>
      <c r="Q4" s="47">
        <f>'학교별03.06'!P22</f>
        <v>0</v>
      </c>
      <c r="R4" s="45">
        <f>'학교별03.06'!Q22</f>
        <v>0</v>
      </c>
      <c r="S4" s="47">
        <f>'학교별03.06'!R22</f>
        <v>3</v>
      </c>
      <c r="T4" s="45">
        <f>'학교별03.06'!S22</f>
        <v>1</v>
      </c>
      <c r="U4" s="47">
        <f>'학교별03.06'!T22</f>
        <v>0</v>
      </c>
      <c r="V4" s="87">
        <f>'학교별03.06'!U22</f>
        <v>0</v>
      </c>
    </row>
    <row r="5" spans="1:22" ht="82.7" customHeight="1" thickBot="1" x14ac:dyDescent="0.35">
      <c r="A5" s="275"/>
      <c r="B5" s="276"/>
      <c r="C5" s="79"/>
      <c r="D5" s="60"/>
      <c r="E5" s="62"/>
      <c r="F5" s="61"/>
      <c r="G5" s="140"/>
      <c r="H5" s="40"/>
      <c r="I5" s="83"/>
      <c r="J5" s="81"/>
      <c r="K5" s="95"/>
      <c r="L5" s="81"/>
      <c r="M5" s="84"/>
      <c r="N5" s="81"/>
      <c r="O5" s="83"/>
      <c r="P5" s="42"/>
      <c r="Q5" s="41"/>
      <c r="R5" s="42"/>
      <c r="S5" s="83"/>
      <c r="T5" s="42"/>
      <c r="U5" s="41"/>
      <c r="V5" s="94"/>
    </row>
    <row r="6" spans="1:22" ht="18" thickTop="1" thickBot="1" x14ac:dyDescent="0.35">
      <c r="H6" s="33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89"/>
    </row>
    <row r="7" spans="1:22" ht="82.7" customHeight="1" thickTop="1" x14ac:dyDescent="0.3">
      <c r="A7" s="277" t="s">
        <v>26</v>
      </c>
      <c r="B7" s="278"/>
      <c r="C7" s="47">
        <f>'학교별03.06'!C43</f>
        <v>0</v>
      </c>
      <c r="D7" s="47">
        <f>'학교별03.06'!D43</f>
        <v>0</v>
      </c>
      <c r="E7" s="45">
        <f>'학교별03.06'!E43</f>
        <v>0</v>
      </c>
      <c r="F7" s="45">
        <f>'학교별03.06'!F43</f>
        <v>0</v>
      </c>
      <c r="G7" s="37"/>
      <c r="H7" s="55" t="s">
        <v>17</v>
      </c>
      <c r="I7" s="48">
        <f>'학교별03.06'!H43</f>
        <v>0</v>
      </c>
      <c r="J7" s="46">
        <f>'학교별03.06'!I43</f>
        <v>0</v>
      </c>
      <c r="K7" s="48">
        <f>'학교별03.06'!J43</f>
        <v>1</v>
      </c>
      <c r="L7" s="46">
        <f>'학교별03.06'!K43</f>
        <v>0</v>
      </c>
      <c r="M7" s="48">
        <f>'학교별03.06'!L43</f>
        <v>0</v>
      </c>
      <c r="N7" s="46">
        <f>'학교별03.06'!M43</f>
        <v>0</v>
      </c>
      <c r="O7" s="48">
        <f>'학교별03.06'!N43</f>
        <v>1</v>
      </c>
      <c r="P7" s="46">
        <f>'학교별03.06'!O43</f>
        <v>0</v>
      </c>
      <c r="Q7" s="48">
        <f>'학교별03.06'!P43</f>
        <v>0</v>
      </c>
      <c r="R7" s="46">
        <f>'학교별03.06'!Q43</f>
        <v>0</v>
      </c>
      <c r="S7" s="48">
        <f>'학교별03.06'!R43</f>
        <v>0</v>
      </c>
      <c r="T7" s="46">
        <f>'학교별03.06'!S43</f>
        <v>0</v>
      </c>
      <c r="U7" s="48">
        <f>'학교별03.06'!T43</f>
        <v>0</v>
      </c>
      <c r="V7" s="90">
        <f>'학교별03.06'!U43</f>
        <v>0</v>
      </c>
    </row>
    <row r="8" spans="1:22" ht="82.7" customHeight="1" thickBot="1" x14ac:dyDescent="0.35">
      <c r="A8" s="261"/>
      <c r="B8" s="262"/>
      <c r="C8" s="75"/>
      <c r="D8" s="96"/>
      <c r="E8" s="78"/>
      <c r="F8" s="38"/>
      <c r="G8" s="39"/>
      <c r="H8" s="140"/>
      <c r="I8" s="41"/>
      <c r="J8" s="42"/>
      <c r="K8" s="41"/>
      <c r="L8" s="42"/>
      <c r="M8" s="41"/>
      <c r="N8" s="42"/>
      <c r="O8" s="41"/>
      <c r="P8" s="42"/>
      <c r="Q8" s="41"/>
      <c r="R8" s="98"/>
      <c r="S8" s="41"/>
      <c r="T8" s="42"/>
      <c r="U8" s="41"/>
      <c r="V8" s="88"/>
    </row>
    <row r="9" spans="1:22" ht="18" thickTop="1" thickBot="1" x14ac:dyDescent="0.35">
      <c r="H9" s="33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89"/>
    </row>
    <row r="10" spans="1:22" ht="82.7" customHeight="1" thickTop="1" x14ac:dyDescent="0.3">
      <c r="A10" s="263" t="s">
        <v>16</v>
      </c>
      <c r="B10" s="264"/>
      <c r="C10" s="65">
        <f>'학교별03.06'!C52</f>
        <v>10</v>
      </c>
      <c r="D10" s="65">
        <f>'학교별03.06'!D52</f>
        <v>0</v>
      </c>
      <c r="E10" s="66">
        <f>'학교별03.06'!E52</f>
        <v>3</v>
      </c>
      <c r="F10" s="67">
        <f>'학교별03.06'!F52</f>
        <v>4</v>
      </c>
      <c r="G10" s="140"/>
      <c r="H10" s="136" t="s">
        <v>25</v>
      </c>
      <c r="I10" s="127">
        <f>'학교별03.06'!H52</f>
        <v>5</v>
      </c>
      <c r="J10" s="128">
        <f>'학교별03.06'!I52</f>
        <v>0</v>
      </c>
      <c r="K10" s="127">
        <f>'학교별03.06'!J52</f>
        <v>0</v>
      </c>
      <c r="L10" s="128">
        <f>'학교별03.06'!K52</f>
        <v>0</v>
      </c>
      <c r="M10" s="127">
        <f>'학교별03.06'!L52</f>
        <v>2</v>
      </c>
      <c r="N10" s="128">
        <f>'학교별03.06'!M52</f>
        <v>0</v>
      </c>
      <c r="O10" s="127">
        <f>'학교별03.06'!N52</f>
        <v>0</v>
      </c>
      <c r="P10" s="128">
        <f>'학교별03.06'!O52</f>
        <v>0</v>
      </c>
      <c r="Q10" s="127">
        <f>'학교별03.06'!P52</f>
        <v>2</v>
      </c>
      <c r="R10" s="128">
        <f>'학교별03.06'!Q52</f>
        <v>0</v>
      </c>
      <c r="S10" s="127">
        <f>'학교별03.06'!R52</f>
        <v>0</v>
      </c>
      <c r="T10" s="128">
        <f>'학교별03.06'!S52</f>
        <v>0</v>
      </c>
      <c r="U10" s="127">
        <f>'학교별03.06'!T52</f>
        <v>0</v>
      </c>
      <c r="V10" s="137">
        <f>'학교별03.06'!U52</f>
        <v>0</v>
      </c>
    </row>
    <row r="11" spans="1:22" ht="82.7" customHeight="1" thickBot="1" x14ac:dyDescent="0.35">
      <c r="A11" s="265"/>
      <c r="B11" s="266"/>
      <c r="C11" s="68"/>
      <c r="D11" s="69"/>
      <c r="E11" s="70"/>
      <c r="F11" s="71"/>
      <c r="H11" s="33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89"/>
    </row>
    <row r="12" spans="1:22" ht="18" thickTop="1" thickBot="1" x14ac:dyDescent="0.35">
      <c r="H12" s="33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138"/>
    </row>
    <row r="13" spans="1:22" ht="82.7" customHeight="1" thickTop="1" x14ac:dyDescent="0.3">
      <c r="A13" s="282" t="s">
        <v>175</v>
      </c>
      <c r="B13" s="283"/>
      <c r="C13" s="129">
        <f>'학교별03.06'!C62</f>
        <v>30</v>
      </c>
      <c r="D13" s="129">
        <f>'학교별03.06'!D62</f>
        <v>0</v>
      </c>
      <c r="E13" s="130">
        <f>'학교별03.06'!E62</f>
        <v>13</v>
      </c>
      <c r="F13" s="131">
        <f>'학교별03.06'!F62</f>
        <v>17</v>
      </c>
      <c r="G13" s="140"/>
      <c r="H13" s="136" t="s">
        <v>174</v>
      </c>
      <c r="I13" s="127">
        <f>'학교별03.06'!H62</f>
        <v>1</v>
      </c>
      <c r="J13" s="128">
        <f>'학교별03.06'!I62</f>
        <v>0</v>
      </c>
      <c r="K13" s="127">
        <f>'학교별03.06'!J62</f>
        <v>2</v>
      </c>
      <c r="L13" s="128">
        <f>'학교별03.06'!K62</f>
        <v>2</v>
      </c>
      <c r="M13" s="127">
        <f>'학교별03.06'!L62</f>
        <v>5</v>
      </c>
      <c r="N13" s="128">
        <f>'학교별03.06'!M62</f>
        <v>0</v>
      </c>
      <c r="O13" s="127">
        <f>'학교별03.06'!N62</f>
        <v>2</v>
      </c>
      <c r="P13" s="128">
        <f>'학교별03.06'!O62</f>
        <v>0</v>
      </c>
      <c r="Q13" s="127">
        <f>'학교별03.06'!P62</f>
        <v>0</v>
      </c>
      <c r="R13" s="128">
        <f>'학교별03.06'!Q62</f>
        <v>0</v>
      </c>
      <c r="S13" s="127">
        <f>'학교별03.06'!R62</f>
        <v>5</v>
      </c>
      <c r="T13" s="128">
        <f>'학교별03.06'!S62</f>
        <v>1</v>
      </c>
      <c r="U13" s="127">
        <f>'학교별03.06'!T62</f>
        <v>0</v>
      </c>
      <c r="V13" s="137">
        <f>'학교별03.06'!U62</f>
        <v>0</v>
      </c>
    </row>
    <row r="14" spans="1:22" ht="82.7" customHeight="1" thickBot="1" x14ac:dyDescent="0.35">
      <c r="A14" s="280"/>
      <c r="B14" s="281"/>
      <c r="C14" s="132"/>
      <c r="D14" s="133"/>
      <c r="E14" s="134"/>
      <c r="F14" s="135"/>
      <c r="H14" s="64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92"/>
    </row>
    <row r="15" spans="1:22" ht="17.25" thickTop="1" x14ac:dyDescent="0.3"/>
    <row r="17" spans="8:8" x14ac:dyDescent="0.3">
      <c r="H17" t="s">
        <v>83</v>
      </c>
    </row>
  </sheetData>
  <mergeCells count="13">
    <mergeCell ref="A14:B14"/>
    <mergeCell ref="A5:B5"/>
    <mergeCell ref="A7:B7"/>
    <mergeCell ref="A8:B8"/>
    <mergeCell ref="A10:B10"/>
    <mergeCell ref="A11:B11"/>
    <mergeCell ref="A13:B13"/>
    <mergeCell ref="A1:B2"/>
    <mergeCell ref="C1:D1"/>
    <mergeCell ref="E1:F1"/>
    <mergeCell ref="H1:H2"/>
    <mergeCell ref="A3:B3"/>
    <mergeCell ref="A4:B4"/>
  </mergeCells>
  <phoneticPr fontId="39" type="noConversion"/>
  <conditionalFormatting sqref="A10">
    <cfRule type="duplicateValues" dxfId="149" priority="2"/>
  </conditionalFormatting>
  <conditionalFormatting sqref="A4:A5">
    <cfRule type="duplicateValues" dxfId="148" priority="3"/>
  </conditionalFormatting>
  <conditionalFormatting sqref="A7:A8">
    <cfRule type="duplicateValues" dxfId="147" priority="4"/>
  </conditionalFormatting>
  <conditionalFormatting sqref="A13">
    <cfRule type="duplicateValues" dxfId="146" priority="1"/>
  </conditionalFormatting>
  <printOptions horizontalCentered="1" verticalCentered="1"/>
  <pageMargins left="0" right="0" top="7.874015748031496E-2" bottom="7.874015748031496E-2" header="0" footer="0"/>
  <pageSetup paperSize="9" scale="52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79"/>
  <sheetViews>
    <sheetView zoomScale="70" zoomScaleNormal="70" workbookViewId="0">
      <pane ySplit="3" topLeftCell="A45" activePane="bottomLeft" state="frozen"/>
      <selection activeCell="Q64" sqref="Q64"/>
      <selection pane="bottomLeft" activeCell="Q64" sqref="Q64"/>
    </sheetView>
  </sheetViews>
  <sheetFormatPr defaultRowHeight="16.5" x14ac:dyDescent="0.3"/>
  <cols>
    <col min="1" max="1" width="9" customWidth="1"/>
    <col min="2" max="2" width="33.75" customWidth="1"/>
    <col min="3" max="3" width="10.75" customWidth="1"/>
    <col min="4" max="4" width="10" customWidth="1"/>
    <col min="5" max="5" width="10.5" customWidth="1"/>
    <col min="6" max="6" width="10" customWidth="1"/>
    <col min="7" max="7" width="4.125" customWidth="1"/>
    <col min="8" max="21" width="10.875" customWidth="1"/>
    <col min="22" max="22" width="5.5" customWidth="1"/>
    <col min="23" max="23" width="10.875" bestFit="1" customWidth="1"/>
  </cols>
  <sheetData>
    <row r="1" spans="1:25" ht="113.25" customHeight="1" x14ac:dyDescent="0.3">
      <c r="A1" s="222" t="s">
        <v>177</v>
      </c>
      <c r="B1" s="223"/>
      <c r="C1" s="226" t="s">
        <v>0</v>
      </c>
      <c r="D1" s="227"/>
      <c r="E1" s="228" t="s">
        <v>19</v>
      </c>
      <c r="F1" s="228"/>
      <c r="G1" s="8"/>
      <c r="H1" s="72" t="s">
        <v>20</v>
      </c>
      <c r="I1" s="141" t="s">
        <v>21</v>
      </c>
      <c r="J1" s="5" t="s">
        <v>7</v>
      </c>
      <c r="K1" s="141" t="s">
        <v>4</v>
      </c>
      <c r="L1" s="5" t="s">
        <v>6</v>
      </c>
      <c r="M1" s="141" t="s">
        <v>5</v>
      </c>
      <c r="N1" s="5" t="s">
        <v>9</v>
      </c>
      <c r="O1" s="141" t="s">
        <v>119</v>
      </c>
      <c r="P1" s="5" t="s">
        <v>8</v>
      </c>
      <c r="Q1" s="141" t="s">
        <v>12</v>
      </c>
      <c r="R1" s="5" t="s">
        <v>95</v>
      </c>
      <c r="S1" s="141" t="s">
        <v>11</v>
      </c>
      <c r="T1" s="5" t="s">
        <v>120</v>
      </c>
      <c r="U1" s="141" t="s">
        <v>120</v>
      </c>
    </row>
    <row r="2" spans="1:25" ht="43.5" customHeight="1" x14ac:dyDescent="0.3">
      <c r="A2" s="224"/>
      <c r="B2" s="225"/>
      <c r="C2" s="73" t="s">
        <v>2</v>
      </c>
      <c r="D2" s="21" t="s">
        <v>1</v>
      </c>
      <c r="E2" s="1" t="s">
        <v>2</v>
      </c>
      <c r="F2" s="1" t="s">
        <v>1</v>
      </c>
      <c r="G2" s="9"/>
      <c r="H2" s="6" t="s">
        <v>3</v>
      </c>
      <c r="I2" s="1" t="s">
        <v>1</v>
      </c>
      <c r="J2" s="6" t="s">
        <v>3</v>
      </c>
      <c r="K2" s="1" t="s">
        <v>1</v>
      </c>
      <c r="L2" s="6" t="s">
        <v>3</v>
      </c>
      <c r="M2" s="1" t="s">
        <v>1</v>
      </c>
      <c r="N2" s="6" t="s">
        <v>3</v>
      </c>
      <c r="O2" s="1" t="s">
        <v>1</v>
      </c>
      <c r="P2" s="6" t="s">
        <v>3</v>
      </c>
      <c r="Q2" s="1" t="s">
        <v>1</v>
      </c>
      <c r="R2" s="6" t="s">
        <v>3</v>
      </c>
      <c r="S2" s="1" t="s">
        <v>1</v>
      </c>
      <c r="T2" s="6" t="s">
        <v>3</v>
      </c>
      <c r="U2" s="1" t="s">
        <v>1</v>
      </c>
    </row>
    <row r="3" spans="1:25" ht="26.25" x14ac:dyDescent="0.3">
      <c r="A3" s="97" t="s">
        <v>14</v>
      </c>
      <c r="B3" s="12" t="s">
        <v>10</v>
      </c>
      <c r="C3" s="29">
        <f>C22+C43+C52+C62</f>
        <v>145</v>
      </c>
      <c r="D3" s="29">
        <f>D22+D43+D52+D62</f>
        <v>0</v>
      </c>
      <c r="E3" s="29">
        <f>E22+E43+E52+E62</f>
        <v>34</v>
      </c>
      <c r="F3" s="29">
        <f>F22+F43+F52+F62</f>
        <v>58</v>
      </c>
      <c r="G3" s="142"/>
      <c r="H3" s="2">
        <f t="shared" ref="H3:U3" si="0">H22+H43+H52+H62</f>
        <v>5</v>
      </c>
      <c r="I3" s="2">
        <f t="shared" si="0"/>
        <v>0</v>
      </c>
      <c r="J3" s="2">
        <f t="shared" si="0"/>
        <v>2</v>
      </c>
      <c r="K3" s="2">
        <f t="shared" si="0"/>
        <v>6</v>
      </c>
      <c r="L3" s="2">
        <f t="shared" si="0"/>
        <v>12</v>
      </c>
      <c r="M3" s="2">
        <f t="shared" si="0"/>
        <v>2</v>
      </c>
      <c r="N3" s="2">
        <f t="shared" si="0"/>
        <v>3</v>
      </c>
      <c r="O3" s="2">
        <f t="shared" si="0"/>
        <v>0</v>
      </c>
      <c r="P3" s="2">
        <f t="shared" si="0"/>
        <v>0</v>
      </c>
      <c r="Q3" s="2">
        <f t="shared" si="0"/>
        <v>0</v>
      </c>
      <c r="R3" s="2">
        <f t="shared" si="0"/>
        <v>4</v>
      </c>
      <c r="S3" s="2">
        <f t="shared" si="0"/>
        <v>0</v>
      </c>
      <c r="T3" s="2">
        <f t="shared" si="0"/>
        <v>0</v>
      </c>
      <c r="U3" s="2">
        <f t="shared" si="0"/>
        <v>0</v>
      </c>
      <c r="V3" s="4">
        <f>D3*10</f>
        <v>0</v>
      </c>
      <c r="W3">
        <f>F3*10+E3</f>
        <v>614</v>
      </c>
      <c r="X3" s="4">
        <f>SUM(H3:Q3)</f>
        <v>30</v>
      </c>
      <c r="Y3" s="11">
        <f>SUM(V3:X3)</f>
        <v>644</v>
      </c>
    </row>
    <row r="4" spans="1:25" ht="24" customHeight="1" x14ac:dyDescent="0.3">
      <c r="A4" s="229" t="s">
        <v>34</v>
      </c>
      <c r="B4" s="3" t="s">
        <v>160</v>
      </c>
      <c r="C4" s="7"/>
      <c r="D4" s="7"/>
      <c r="E4" s="50"/>
      <c r="F4" s="50"/>
      <c r="G4" s="142"/>
      <c r="H4" s="7"/>
      <c r="I4" s="50"/>
      <c r="J4" s="10"/>
      <c r="K4" s="50"/>
      <c r="L4" s="7"/>
      <c r="M4" s="50"/>
      <c r="N4" s="10"/>
      <c r="O4" s="50"/>
      <c r="P4" s="7"/>
      <c r="Q4" s="50"/>
      <c r="R4" s="7"/>
      <c r="S4" s="50"/>
      <c r="T4" s="7"/>
      <c r="U4" s="50"/>
    </row>
    <row r="5" spans="1:25" ht="24" customHeight="1" x14ac:dyDescent="0.3">
      <c r="A5" s="230"/>
      <c r="B5" s="3" t="s">
        <v>150</v>
      </c>
      <c r="C5" s="7"/>
      <c r="D5" s="7"/>
      <c r="E5" s="50"/>
      <c r="F5" s="50"/>
      <c r="G5" s="142"/>
      <c r="H5" s="7"/>
      <c r="I5" s="50"/>
      <c r="J5" s="10"/>
      <c r="K5" s="50"/>
      <c r="L5" s="7">
        <v>1</v>
      </c>
      <c r="M5" s="50">
        <v>1</v>
      </c>
      <c r="N5" s="10"/>
      <c r="O5" s="50"/>
      <c r="P5" s="7"/>
      <c r="Q5" s="50"/>
      <c r="R5" s="7"/>
      <c r="S5" s="50"/>
      <c r="T5" s="7"/>
      <c r="U5" s="50"/>
    </row>
    <row r="6" spans="1:25" ht="24" customHeight="1" x14ac:dyDescent="0.3">
      <c r="A6" s="230"/>
      <c r="B6" s="3" t="s">
        <v>149</v>
      </c>
      <c r="C6" s="7"/>
      <c r="D6" s="7"/>
      <c r="E6" s="50"/>
      <c r="F6" s="50"/>
      <c r="G6" s="142"/>
      <c r="H6" s="7"/>
      <c r="I6" s="50"/>
      <c r="J6" s="10"/>
      <c r="K6" s="50"/>
      <c r="L6" s="7"/>
      <c r="M6" s="50"/>
      <c r="N6" s="10"/>
      <c r="O6" s="50"/>
      <c r="P6" s="7"/>
      <c r="Q6" s="50"/>
      <c r="R6" s="7"/>
      <c r="S6" s="50"/>
      <c r="T6" s="7"/>
      <c r="U6" s="50"/>
    </row>
    <row r="7" spans="1:25" ht="24" customHeight="1" x14ac:dyDescent="0.3">
      <c r="A7" s="230"/>
      <c r="B7" s="3" t="s">
        <v>156</v>
      </c>
      <c r="C7" s="7"/>
      <c r="D7" s="7"/>
      <c r="E7" s="50"/>
      <c r="F7" s="50"/>
      <c r="G7" s="142"/>
      <c r="H7" s="7"/>
      <c r="I7" s="50"/>
      <c r="J7" s="10"/>
      <c r="K7" s="50"/>
      <c r="L7" s="7"/>
      <c r="M7" s="50"/>
      <c r="N7" s="10"/>
      <c r="O7" s="50"/>
      <c r="P7" s="7"/>
      <c r="Q7" s="50"/>
      <c r="R7" s="7"/>
      <c r="S7" s="50"/>
      <c r="T7" s="7"/>
      <c r="U7" s="50"/>
    </row>
    <row r="8" spans="1:25" ht="24" customHeight="1" x14ac:dyDescent="0.3">
      <c r="A8" s="230"/>
      <c r="B8" s="3" t="s">
        <v>148</v>
      </c>
      <c r="C8" s="77"/>
      <c r="D8" s="7"/>
      <c r="E8" s="50"/>
      <c r="F8" s="50"/>
      <c r="G8" s="63"/>
      <c r="H8" s="7"/>
      <c r="I8" s="50"/>
      <c r="J8" s="10"/>
      <c r="K8" s="50"/>
      <c r="L8" s="7">
        <v>1</v>
      </c>
      <c r="M8" s="50"/>
      <c r="N8" s="10"/>
      <c r="O8" s="50"/>
      <c r="P8" s="7"/>
      <c r="Q8" s="50"/>
      <c r="R8" s="7">
        <v>1</v>
      </c>
      <c r="S8" s="50"/>
      <c r="T8" s="7"/>
      <c r="U8" s="50"/>
    </row>
    <row r="9" spans="1:25" ht="24" customHeight="1" x14ac:dyDescent="0.3">
      <c r="A9" s="230"/>
      <c r="B9" s="3" t="s">
        <v>153</v>
      </c>
      <c r="C9" s="7"/>
      <c r="D9" s="7"/>
      <c r="E9" s="50"/>
      <c r="F9" s="50"/>
      <c r="G9" s="142"/>
      <c r="H9" s="7"/>
      <c r="I9" s="50"/>
      <c r="J9" s="10"/>
      <c r="K9" s="50"/>
      <c r="L9" s="7"/>
      <c r="M9" s="50"/>
      <c r="N9" s="10"/>
      <c r="O9" s="50"/>
      <c r="P9" s="7"/>
      <c r="Q9" s="50"/>
      <c r="R9" s="7"/>
      <c r="S9" s="50"/>
      <c r="T9" s="7"/>
      <c r="U9" s="50"/>
    </row>
    <row r="10" spans="1:25" ht="24" customHeight="1" x14ac:dyDescent="0.3">
      <c r="A10" s="230"/>
      <c r="B10" s="3" t="s">
        <v>158</v>
      </c>
      <c r="C10" s="7"/>
      <c r="D10" s="7"/>
      <c r="E10" s="50"/>
      <c r="F10" s="50"/>
      <c r="G10" s="142"/>
      <c r="H10" s="7"/>
      <c r="I10" s="50"/>
      <c r="J10" s="10"/>
      <c r="K10" s="50"/>
      <c r="L10" s="7">
        <v>1</v>
      </c>
      <c r="M10" s="50"/>
      <c r="N10" s="10">
        <v>1</v>
      </c>
      <c r="O10" s="50"/>
      <c r="P10" s="7"/>
      <c r="Q10" s="50"/>
      <c r="R10" s="7"/>
      <c r="S10" s="50"/>
      <c r="T10" s="7"/>
      <c r="U10" s="50"/>
    </row>
    <row r="11" spans="1:25" ht="24" customHeight="1" x14ac:dyDescent="0.3">
      <c r="A11" s="230"/>
      <c r="B11" s="3" t="s">
        <v>152</v>
      </c>
      <c r="C11" s="7"/>
      <c r="D11" s="7"/>
      <c r="E11" s="50"/>
      <c r="F11" s="50"/>
      <c r="G11" s="142"/>
      <c r="H11" s="7"/>
      <c r="I11" s="50"/>
      <c r="J11" s="10"/>
      <c r="K11" s="50"/>
      <c r="L11" s="7"/>
      <c r="M11" s="50"/>
      <c r="N11" s="10"/>
      <c r="O11" s="50"/>
      <c r="P11" s="7"/>
      <c r="Q11" s="50"/>
      <c r="R11" s="7"/>
      <c r="S11" s="50"/>
      <c r="T11" s="7"/>
      <c r="U11" s="50"/>
    </row>
    <row r="12" spans="1:25" ht="24" customHeight="1" x14ac:dyDescent="0.3">
      <c r="A12" s="230"/>
      <c r="B12" s="3" t="s">
        <v>161</v>
      </c>
      <c r="C12" s="7"/>
      <c r="D12" s="77"/>
      <c r="E12" s="76"/>
      <c r="F12" s="50"/>
      <c r="G12" s="80"/>
      <c r="H12" s="7"/>
      <c r="I12" s="76"/>
      <c r="J12" s="7"/>
      <c r="K12" s="50"/>
      <c r="L12" s="7"/>
      <c r="M12" s="50"/>
      <c r="N12" s="10">
        <v>1</v>
      </c>
      <c r="O12" s="50"/>
      <c r="P12" s="7"/>
      <c r="Q12" s="76"/>
      <c r="R12" s="10">
        <v>1</v>
      </c>
      <c r="S12" s="76"/>
      <c r="T12" s="77"/>
      <c r="U12" s="76"/>
    </row>
    <row r="13" spans="1:25" ht="24" customHeight="1" x14ac:dyDescent="0.3">
      <c r="A13" s="230"/>
      <c r="B13" s="3" t="s">
        <v>154</v>
      </c>
      <c r="C13" s="7"/>
      <c r="D13" s="7"/>
      <c r="E13" s="50"/>
      <c r="F13" s="50"/>
      <c r="G13" s="142"/>
      <c r="H13" s="7"/>
      <c r="I13" s="50"/>
      <c r="J13" s="10"/>
      <c r="K13" s="50"/>
      <c r="L13" s="7"/>
      <c r="M13" s="50"/>
      <c r="N13" s="10"/>
      <c r="O13" s="50"/>
      <c r="P13" s="7"/>
      <c r="Q13" s="50"/>
      <c r="R13" s="7"/>
      <c r="S13" s="50"/>
      <c r="T13" s="7"/>
      <c r="U13" s="50"/>
    </row>
    <row r="14" spans="1:25" ht="24" customHeight="1" x14ac:dyDescent="0.3">
      <c r="A14" s="230"/>
      <c r="B14" s="100" t="s">
        <v>164</v>
      </c>
      <c r="C14" s="7"/>
      <c r="D14" s="7"/>
      <c r="E14" s="50"/>
      <c r="F14" s="50"/>
      <c r="G14" s="142"/>
      <c r="H14" s="7"/>
      <c r="I14" s="50"/>
      <c r="J14" s="10"/>
      <c r="K14" s="50"/>
      <c r="L14" s="7"/>
      <c r="M14" s="50"/>
      <c r="N14" s="10"/>
      <c r="O14" s="50"/>
      <c r="P14" s="7"/>
      <c r="Q14" s="50"/>
      <c r="R14" s="7"/>
      <c r="S14" s="50"/>
      <c r="T14" s="7"/>
      <c r="U14" s="50"/>
    </row>
    <row r="15" spans="1:25" ht="24" customHeight="1" x14ac:dyDescent="0.3">
      <c r="A15" s="230"/>
      <c r="B15" s="3" t="s">
        <v>159</v>
      </c>
      <c r="C15" s="7"/>
      <c r="D15" s="7"/>
      <c r="E15" s="50"/>
      <c r="F15" s="50"/>
      <c r="G15" s="142"/>
      <c r="H15" s="7"/>
      <c r="I15" s="50"/>
      <c r="J15" s="10"/>
      <c r="K15" s="50"/>
      <c r="L15" s="7"/>
      <c r="M15" s="50"/>
      <c r="N15" s="10"/>
      <c r="O15" s="50"/>
      <c r="P15" s="7"/>
      <c r="Q15" s="50"/>
      <c r="R15" s="7"/>
      <c r="S15" s="50"/>
      <c r="T15" s="7"/>
      <c r="U15" s="50"/>
    </row>
    <row r="16" spans="1:25" ht="24" customHeight="1" x14ac:dyDescent="0.3">
      <c r="A16" s="230"/>
      <c r="B16" s="3" t="s">
        <v>147</v>
      </c>
      <c r="C16" s="7"/>
      <c r="D16" s="7"/>
      <c r="E16" s="50"/>
      <c r="F16" s="50"/>
      <c r="G16" s="142"/>
      <c r="H16" s="7"/>
      <c r="I16" s="50"/>
      <c r="J16" s="10"/>
      <c r="K16" s="50"/>
      <c r="L16" s="7"/>
      <c r="M16" s="50"/>
      <c r="N16" s="10"/>
      <c r="O16" s="50"/>
      <c r="P16" s="7"/>
      <c r="Q16" s="50"/>
      <c r="R16" s="7"/>
      <c r="S16" s="50"/>
      <c r="T16" s="7"/>
      <c r="U16" s="50"/>
    </row>
    <row r="17" spans="1:27" ht="24" customHeight="1" x14ac:dyDescent="0.3">
      <c r="A17" s="230"/>
      <c r="B17" s="3" t="s">
        <v>163</v>
      </c>
      <c r="C17" s="7"/>
      <c r="D17" s="7"/>
      <c r="E17" s="50"/>
      <c r="F17" s="50"/>
      <c r="G17" s="142"/>
      <c r="H17" s="7"/>
      <c r="I17" s="50"/>
      <c r="J17" s="10"/>
      <c r="K17" s="50"/>
      <c r="L17" s="7"/>
      <c r="M17" s="50"/>
      <c r="N17" s="10"/>
      <c r="O17" s="50"/>
      <c r="P17" s="7"/>
      <c r="Q17" s="50"/>
      <c r="R17" s="7"/>
      <c r="S17" s="50"/>
      <c r="T17" s="7"/>
      <c r="U17" s="50"/>
    </row>
    <row r="18" spans="1:27" ht="24" customHeight="1" x14ac:dyDescent="0.3">
      <c r="A18" s="230"/>
      <c r="B18" s="3" t="s">
        <v>162</v>
      </c>
      <c r="C18" s="7"/>
      <c r="D18" s="7"/>
      <c r="E18" s="50"/>
      <c r="F18" s="50"/>
      <c r="G18" s="142"/>
      <c r="H18" s="7"/>
      <c r="I18" s="50"/>
      <c r="J18" s="10"/>
      <c r="K18" s="50"/>
      <c r="L18" s="7"/>
      <c r="M18" s="50"/>
      <c r="N18" s="10"/>
      <c r="O18" s="50"/>
      <c r="P18" s="7"/>
      <c r="Q18" s="50"/>
      <c r="R18" s="7"/>
      <c r="S18" s="50"/>
      <c r="T18" s="7"/>
      <c r="U18" s="50"/>
    </row>
    <row r="19" spans="1:27" ht="24" customHeight="1" x14ac:dyDescent="0.3">
      <c r="A19" s="230"/>
      <c r="B19" s="3" t="s">
        <v>155</v>
      </c>
      <c r="C19" s="7"/>
      <c r="D19" s="7"/>
      <c r="E19" s="50"/>
      <c r="F19" s="50"/>
      <c r="G19" s="142"/>
      <c r="H19" s="7"/>
      <c r="I19" s="50"/>
      <c r="J19" s="10">
        <v>1</v>
      </c>
      <c r="K19" s="50"/>
      <c r="L19" s="7"/>
      <c r="M19" s="50">
        <v>1</v>
      </c>
      <c r="N19" s="10"/>
      <c r="O19" s="50"/>
      <c r="P19" s="7"/>
      <c r="Q19" s="50"/>
      <c r="R19" s="7"/>
      <c r="S19" s="50"/>
      <c r="T19" s="7"/>
      <c r="U19" s="76"/>
    </row>
    <row r="20" spans="1:27" ht="24" customHeight="1" x14ac:dyDescent="0.3">
      <c r="A20" s="230"/>
      <c r="B20" s="3" t="s">
        <v>157</v>
      </c>
      <c r="C20" s="7"/>
      <c r="D20" s="7"/>
      <c r="E20" s="50"/>
      <c r="F20" s="50"/>
      <c r="G20" s="142"/>
      <c r="H20" s="7"/>
      <c r="I20" s="50"/>
      <c r="J20" s="10">
        <v>1</v>
      </c>
      <c r="K20" s="50"/>
      <c r="L20" s="7"/>
      <c r="M20" s="50"/>
      <c r="N20" s="10">
        <v>1</v>
      </c>
      <c r="O20" s="50"/>
      <c r="P20" s="7"/>
      <c r="Q20" s="50"/>
      <c r="R20" s="7">
        <v>1</v>
      </c>
      <c r="S20" s="50"/>
      <c r="T20" s="7"/>
      <c r="U20" s="50"/>
    </row>
    <row r="21" spans="1:27" ht="24" customHeight="1" x14ac:dyDescent="0.3">
      <c r="A21" s="230"/>
      <c r="B21" s="3" t="s">
        <v>151</v>
      </c>
      <c r="C21" s="7"/>
      <c r="D21" s="7"/>
      <c r="E21" s="50"/>
      <c r="F21" s="50"/>
      <c r="G21" s="142"/>
      <c r="H21" s="7"/>
      <c r="I21" s="50"/>
      <c r="J21" s="10"/>
      <c r="K21" s="50">
        <v>1</v>
      </c>
      <c r="L21" s="7"/>
      <c r="M21" s="50"/>
      <c r="N21" s="10"/>
      <c r="O21" s="50"/>
      <c r="P21" s="7"/>
      <c r="Q21" s="50"/>
      <c r="R21" s="7">
        <v>1</v>
      </c>
      <c r="S21" s="50"/>
      <c r="T21" s="7"/>
      <c r="U21" s="50"/>
    </row>
    <row r="22" spans="1:27" ht="27" thickBot="1" x14ac:dyDescent="0.35">
      <c r="A22" s="231"/>
      <c r="B22" s="31"/>
      <c r="C22" s="31">
        <f>SUM(C4:C21)</f>
        <v>0</v>
      </c>
      <c r="D22" s="31">
        <f>SUM(D4:D21)</f>
        <v>0</v>
      </c>
      <c r="E22" s="31">
        <f>SUM(E4:E21)</f>
        <v>0</v>
      </c>
      <c r="F22" s="31">
        <f>SUM(F4:F21)</f>
        <v>0</v>
      </c>
      <c r="G22" s="142"/>
      <c r="H22" s="2">
        <f t="shared" ref="H22:U22" si="1">SUM(H4:H21)</f>
        <v>0</v>
      </c>
      <c r="I22" s="2">
        <f t="shared" si="1"/>
        <v>0</v>
      </c>
      <c r="J22" s="2">
        <f t="shared" si="1"/>
        <v>2</v>
      </c>
      <c r="K22" s="2">
        <f t="shared" si="1"/>
        <v>1</v>
      </c>
      <c r="L22" s="2">
        <f t="shared" si="1"/>
        <v>3</v>
      </c>
      <c r="M22" s="2">
        <f t="shared" si="1"/>
        <v>2</v>
      </c>
      <c r="N22" s="2">
        <f t="shared" si="1"/>
        <v>3</v>
      </c>
      <c r="O22" s="2">
        <f t="shared" si="1"/>
        <v>0</v>
      </c>
      <c r="P22" s="2">
        <f t="shared" si="1"/>
        <v>0</v>
      </c>
      <c r="Q22" s="2">
        <f t="shared" si="1"/>
        <v>0</v>
      </c>
      <c r="R22" s="2">
        <f t="shared" si="1"/>
        <v>4</v>
      </c>
      <c r="S22" s="2">
        <f t="shared" si="1"/>
        <v>0</v>
      </c>
      <c r="T22" s="2">
        <f t="shared" si="1"/>
        <v>0</v>
      </c>
      <c r="U22" s="2">
        <f t="shared" si="1"/>
        <v>0</v>
      </c>
      <c r="W22" s="35"/>
      <c r="X22" s="18"/>
      <c r="Y22" s="18"/>
    </row>
    <row r="23" spans="1:27" ht="24" customHeight="1" thickTop="1" x14ac:dyDescent="0.3">
      <c r="A23" s="233" t="s">
        <v>27</v>
      </c>
      <c r="B23" s="23" t="s">
        <v>127</v>
      </c>
      <c r="C23" s="28"/>
      <c r="D23" s="28"/>
      <c r="E23" s="15"/>
      <c r="F23" s="16"/>
      <c r="G23" s="25"/>
      <c r="H23" s="43"/>
      <c r="I23" s="50"/>
      <c r="J23" s="10"/>
      <c r="K23" s="50"/>
      <c r="L23" s="7"/>
      <c r="M23" s="50"/>
      <c r="N23" s="7"/>
      <c r="O23" s="50"/>
      <c r="P23" s="7"/>
      <c r="Q23" s="50"/>
      <c r="R23" s="7"/>
      <c r="S23" s="50"/>
      <c r="T23" s="7"/>
      <c r="U23" s="50"/>
      <c r="W23" s="18"/>
      <c r="X23" s="18"/>
      <c r="Y23" s="18"/>
      <c r="Z23" s="18"/>
      <c r="AA23" s="18"/>
    </row>
    <row r="24" spans="1:27" ht="24" customHeight="1" x14ac:dyDescent="0.3">
      <c r="A24" s="233"/>
      <c r="B24" s="24" t="s">
        <v>128</v>
      </c>
      <c r="C24" s="32"/>
      <c r="D24" s="32"/>
      <c r="E24" s="54"/>
      <c r="F24" s="22"/>
      <c r="G24" s="25"/>
      <c r="H24" s="43"/>
      <c r="I24" s="50"/>
      <c r="J24" s="10"/>
      <c r="K24" s="50"/>
      <c r="L24" s="7"/>
      <c r="M24" s="50"/>
      <c r="N24" s="7"/>
      <c r="O24" s="50"/>
      <c r="P24" s="7"/>
      <c r="Q24" s="50"/>
      <c r="R24" s="7"/>
      <c r="S24" s="50"/>
      <c r="T24" s="7"/>
      <c r="U24" s="50"/>
      <c r="W24" s="18"/>
      <c r="X24" s="18"/>
      <c r="Y24" s="18"/>
      <c r="Z24" s="18"/>
      <c r="AA24" s="18"/>
    </row>
    <row r="25" spans="1:27" ht="24" customHeight="1" x14ac:dyDescent="0.3">
      <c r="A25" s="233"/>
      <c r="B25" s="24" t="s">
        <v>140</v>
      </c>
      <c r="C25" s="32"/>
      <c r="D25" s="32"/>
      <c r="E25" s="54"/>
      <c r="F25" s="22"/>
      <c r="G25" s="25"/>
      <c r="H25" s="10"/>
      <c r="I25" s="50"/>
      <c r="J25" s="10"/>
      <c r="K25" s="50"/>
      <c r="L25" s="7"/>
      <c r="M25" s="50"/>
      <c r="N25" s="7"/>
      <c r="O25" s="50"/>
      <c r="P25" s="7"/>
      <c r="Q25" s="76"/>
      <c r="R25" s="7"/>
      <c r="S25" s="50"/>
      <c r="T25" s="7"/>
      <c r="U25" s="50"/>
      <c r="W25" s="18"/>
      <c r="X25" s="18"/>
      <c r="Y25" s="18"/>
      <c r="Z25" s="18"/>
      <c r="AA25" s="18"/>
    </row>
    <row r="26" spans="1:27" ht="24" customHeight="1" x14ac:dyDescent="0.3">
      <c r="A26" s="233"/>
      <c r="B26" s="24" t="s">
        <v>129</v>
      </c>
      <c r="C26" s="32"/>
      <c r="D26" s="32"/>
      <c r="E26" s="54"/>
      <c r="F26" s="22"/>
      <c r="G26" s="25"/>
      <c r="H26" s="43"/>
      <c r="I26" s="50"/>
      <c r="J26" s="10"/>
      <c r="K26" s="50"/>
      <c r="L26" s="7"/>
      <c r="M26" s="50"/>
      <c r="N26" s="7"/>
      <c r="O26" s="50"/>
      <c r="P26" s="7"/>
      <c r="Q26" s="50"/>
      <c r="R26" s="7"/>
      <c r="S26" s="50"/>
      <c r="T26" s="7"/>
      <c r="U26" s="50"/>
      <c r="W26" s="18"/>
      <c r="X26" s="18"/>
      <c r="Y26" s="18"/>
      <c r="Z26" s="18"/>
      <c r="AA26" s="18"/>
    </row>
    <row r="27" spans="1:27" ht="24" customHeight="1" x14ac:dyDescent="0.3">
      <c r="A27" s="233"/>
      <c r="B27" s="24" t="s">
        <v>145</v>
      </c>
      <c r="C27" s="32"/>
      <c r="D27" s="32"/>
      <c r="E27" s="54"/>
      <c r="F27" s="22"/>
      <c r="G27" s="25"/>
      <c r="H27" s="43"/>
      <c r="I27" s="50"/>
      <c r="J27" s="10"/>
      <c r="K27" s="50"/>
      <c r="L27" s="7"/>
      <c r="M27" s="50"/>
      <c r="N27" s="7"/>
      <c r="O27" s="50"/>
      <c r="P27" s="7"/>
      <c r="Q27" s="50"/>
      <c r="R27" s="7"/>
      <c r="S27" s="50"/>
      <c r="T27" s="7"/>
      <c r="U27" s="50"/>
      <c r="W27" s="18"/>
      <c r="X27" s="18"/>
      <c r="Y27" s="18"/>
      <c r="Z27" s="18"/>
      <c r="AA27" s="18"/>
    </row>
    <row r="28" spans="1:27" ht="24" customHeight="1" x14ac:dyDescent="0.3">
      <c r="A28" s="233"/>
      <c r="B28" s="24" t="s">
        <v>130</v>
      </c>
      <c r="C28" s="32"/>
      <c r="D28" s="32"/>
      <c r="E28" s="54"/>
      <c r="F28" s="22"/>
      <c r="G28" s="25"/>
      <c r="H28" s="43"/>
      <c r="I28" s="50"/>
      <c r="J28" s="10"/>
      <c r="K28" s="50"/>
      <c r="L28" s="7"/>
      <c r="M28" s="50"/>
      <c r="N28" s="7"/>
      <c r="O28" s="50"/>
      <c r="P28" s="7"/>
      <c r="Q28" s="50"/>
      <c r="R28" s="7"/>
      <c r="S28" s="50"/>
      <c r="T28" s="7"/>
      <c r="U28" s="50"/>
      <c r="W28" s="18"/>
      <c r="X28" s="18"/>
      <c r="Y28" s="18"/>
      <c r="Z28" s="18"/>
      <c r="AA28" s="18"/>
    </row>
    <row r="29" spans="1:27" ht="24" customHeight="1" x14ac:dyDescent="0.3">
      <c r="A29" s="233"/>
      <c r="B29" s="24" t="s">
        <v>131</v>
      </c>
      <c r="C29" s="32"/>
      <c r="D29" s="32"/>
      <c r="E29" s="54"/>
      <c r="F29" s="22"/>
      <c r="G29" s="25"/>
      <c r="H29" s="43"/>
      <c r="I29" s="50"/>
      <c r="J29" s="10"/>
      <c r="K29" s="50"/>
      <c r="L29" s="7"/>
      <c r="M29" s="50"/>
      <c r="N29" s="7"/>
      <c r="O29" s="50"/>
      <c r="P29" s="7"/>
      <c r="Q29" s="50"/>
      <c r="R29" s="7"/>
      <c r="S29" s="50"/>
      <c r="T29" s="7"/>
      <c r="U29" s="50"/>
      <c r="W29" s="18"/>
      <c r="X29" s="18"/>
      <c r="Y29" s="18"/>
      <c r="Z29" s="18"/>
      <c r="AA29" s="18"/>
    </row>
    <row r="30" spans="1:27" ht="24" customHeight="1" x14ac:dyDescent="0.3">
      <c r="A30" s="233"/>
      <c r="B30" s="24" t="s">
        <v>132</v>
      </c>
      <c r="C30" s="32"/>
      <c r="D30" s="32"/>
      <c r="E30" s="54"/>
      <c r="F30" s="22"/>
      <c r="G30" s="25"/>
      <c r="H30" s="43"/>
      <c r="I30" s="50"/>
      <c r="J30" s="10"/>
      <c r="K30" s="50"/>
      <c r="L30" s="7"/>
      <c r="M30" s="50"/>
      <c r="N30" s="7"/>
      <c r="O30" s="50"/>
      <c r="P30" s="7"/>
      <c r="Q30" s="50"/>
      <c r="R30" s="7"/>
      <c r="S30" s="50"/>
      <c r="T30" s="7"/>
      <c r="U30" s="50"/>
      <c r="W30" s="18"/>
      <c r="X30" s="18"/>
      <c r="Y30" s="18"/>
      <c r="Z30" s="18"/>
      <c r="AA30" s="18"/>
    </row>
    <row r="31" spans="1:27" ht="24" customHeight="1" x14ac:dyDescent="0.3">
      <c r="A31" s="233"/>
      <c r="B31" s="24" t="s">
        <v>133</v>
      </c>
      <c r="C31" s="32"/>
      <c r="D31" s="32"/>
      <c r="E31" s="54"/>
      <c r="F31" s="22"/>
      <c r="G31" s="25"/>
      <c r="H31" s="7"/>
      <c r="I31" s="50"/>
      <c r="J31" s="10"/>
      <c r="K31" s="50"/>
      <c r="L31" s="7"/>
      <c r="M31" s="50"/>
      <c r="N31" s="7"/>
      <c r="O31" s="50"/>
      <c r="P31" s="7"/>
      <c r="Q31" s="50"/>
      <c r="R31" s="7"/>
      <c r="S31" s="50"/>
      <c r="T31" s="7"/>
      <c r="U31" s="50"/>
      <c r="W31" s="18"/>
      <c r="X31" s="18"/>
      <c r="Y31" s="18"/>
      <c r="Z31" s="18"/>
      <c r="AA31" s="18"/>
    </row>
    <row r="32" spans="1:27" ht="24" customHeight="1" x14ac:dyDescent="0.3">
      <c r="A32" s="233"/>
      <c r="B32" s="24" t="s">
        <v>134</v>
      </c>
      <c r="C32" s="32"/>
      <c r="D32" s="32"/>
      <c r="E32" s="54"/>
      <c r="F32" s="22"/>
      <c r="G32" s="25"/>
      <c r="H32" s="43"/>
      <c r="I32" s="50"/>
      <c r="J32" s="10"/>
      <c r="K32" s="50"/>
      <c r="L32" s="7"/>
      <c r="M32" s="50"/>
      <c r="N32" s="7"/>
      <c r="O32" s="50"/>
      <c r="P32" s="7"/>
      <c r="Q32" s="50"/>
      <c r="R32" s="7"/>
      <c r="S32" s="50"/>
      <c r="T32" s="7"/>
      <c r="U32" s="50"/>
      <c r="W32" s="18"/>
      <c r="X32" s="18"/>
      <c r="Y32" s="18"/>
      <c r="Z32" s="18"/>
      <c r="AA32" s="18"/>
    </row>
    <row r="33" spans="1:27" ht="24" customHeight="1" x14ac:dyDescent="0.3">
      <c r="A33" s="233"/>
      <c r="B33" s="24" t="s">
        <v>135</v>
      </c>
      <c r="C33" s="32"/>
      <c r="D33" s="32"/>
      <c r="E33" s="54"/>
      <c r="F33" s="22"/>
      <c r="G33" s="25"/>
      <c r="H33" s="7"/>
      <c r="I33" s="50"/>
      <c r="J33" s="10"/>
      <c r="K33" s="50"/>
      <c r="L33" s="7"/>
      <c r="M33" s="50"/>
      <c r="N33" s="7"/>
      <c r="O33" s="50"/>
      <c r="P33" s="7"/>
      <c r="Q33" s="50"/>
      <c r="R33" s="7"/>
      <c r="S33" s="50"/>
      <c r="T33" s="7"/>
      <c r="U33" s="50"/>
      <c r="W33" s="18"/>
      <c r="X33" s="18"/>
      <c r="Y33" s="18"/>
      <c r="Z33" s="18"/>
      <c r="AA33" s="18"/>
    </row>
    <row r="34" spans="1:27" ht="24" customHeight="1" x14ac:dyDescent="0.3">
      <c r="A34" s="233"/>
      <c r="B34" s="24" t="s">
        <v>141</v>
      </c>
      <c r="C34" s="32"/>
      <c r="D34" s="56"/>
      <c r="E34" s="54"/>
      <c r="F34" s="22"/>
      <c r="G34" s="25"/>
      <c r="H34" s="43"/>
      <c r="I34" s="50"/>
      <c r="J34" s="10"/>
      <c r="K34" s="50"/>
      <c r="L34" s="7"/>
      <c r="M34" s="50"/>
      <c r="N34" s="7"/>
      <c r="O34" s="50"/>
      <c r="P34" s="7"/>
      <c r="Q34" s="76"/>
      <c r="R34" s="7"/>
      <c r="S34" s="50"/>
      <c r="T34" s="7"/>
      <c r="U34" s="50"/>
      <c r="W34" s="18"/>
      <c r="X34" s="18"/>
      <c r="Y34" s="18"/>
      <c r="Z34" s="18"/>
      <c r="AA34" s="18"/>
    </row>
    <row r="35" spans="1:27" ht="24" customHeight="1" x14ac:dyDescent="0.3">
      <c r="A35" s="233"/>
      <c r="B35" s="24" t="s">
        <v>142</v>
      </c>
      <c r="C35" s="32"/>
      <c r="D35" s="32"/>
      <c r="E35" s="54"/>
      <c r="F35" s="22"/>
      <c r="G35" s="25"/>
      <c r="H35" s="43"/>
      <c r="I35" s="50"/>
      <c r="J35" s="10"/>
      <c r="K35" s="50"/>
      <c r="L35" s="7"/>
      <c r="M35" s="50"/>
      <c r="N35" s="7"/>
      <c r="O35" s="50"/>
      <c r="P35" s="7"/>
      <c r="Q35" s="50"/>
      <c r="R35" s="7"/>
      <c r="S35" s="50"/>
      <c r="T35" s="7"/>
      <c r="U35" s="50"/>
      <c r="W35" s="18"/>
      <c r="X35" s="18"/>
      <c r="Y35" s="18"/>
      <c r="Z35" s="18"/>
      <c r="AA35" s="18"/>
    </row>
    <row r="36" spans="1:27" ht="24" customHeight="1" x14ac:dyDescent="0.3">
      <c r="A36" s="233"/>
      <c r="B36" s="24" t="s">
        <v>144</v>
      </c>
      <c r="C36" s="32"/>
      <c r="D36" s="32"/>
      <c r="E36" s="101"/>
      <c r="F36" s="22"/>
      <c r="G36" s="25"/>
      <c r="H36" s="43"/>
      <c r="I36" s="50"/>
      <c r="J36" s="10"/>
      <c r="K36" s="50"/>
      <c r="L36" s="7"/>
      <c r="M36" s="50"/>
      <c r="N36" s="7"/>
      <c r="O36" s="50"/>
      <c r="P36" s="7"/>
      <c r="Q36" s="50"/>
      <c r="R36" s="7"/>
      <c r="S36" s="50"/>
      <c r="T36" s="7"/>
      <c r="U36" s="50"/>
      <c r="W36" s="18"/>
      <c r="X36" s="18"/>
      <c r="Y36" s="18"/>
      <c r="Z36" s="18"/>
      <c r="AA36" s="18"/>
    </row>
    <row r="37" spans="1:27" ht="24" customHeight="1" x14ac:dyDescent="0.3">
      <c r="A37" s="233"/>
      <c r="B37" s="24" t="s">
        <v>146</v>
      </c>
      <c r="C37" s="32"/>
      <c r="D37" s="32"/>
      <c r="E37" s="54"/>
      <c r="F37" s="22"/>
      <c r="G37" s="25"/>
      <c r="H37" s="43"/>
      <c r="I37" s="50"/>
      <c r="J37" s="10"/>
      <c r="K37" s="50"/>
      <c r="L37" s="7"/>
      <c r="M37" s="50"/>
      <c r="N37" s="7"/>
      <c r="O37" s="50"/>
      <c r="P37" s="7"/>
      <c r="Q37" s="50"/>
      <c r="R37" s="7"/>
      <c r="S37" s="50"/>
      <c r="T37" s="7"/>
      <c r="U37" s="50"/>
      <c r="W37" s="18"/>
      <c r="X37" s="18"/>
      <c r="Y37" s="18"/>
      <c r="Z37" s="18"/>
      <c r="AA37" s="18"/>
    </row>
    <row r="38" spans="1:27" ht="24" customHeight="1" x14ac:dyDescent="0.3">
      <c r="A38" s="233"/>
      <c r="B38" s="24" t="s">
        <v>136</v>
      </c>
      <c r="C38" s="32"/>
      <c r="D38" s="32"/>
      <c r="E38" s="54"/>
      <c r="F38" s="22"/>
      <c r="G38" s="25"/>
      <c r="H38" s="43"/>
      <c r="I38" s="50"/>
      <c r="J38" s="10"/>
      <c r="K38" s="50"/>
      <c r="L38" s="7"/>
      <c r="M38" s="50"/>
      <c r="N38" s="7"/>
      <c r="O38" s="50"/>
      <c r="P38" s="7"/>
      <c r="Q38" s="50"/>
      <c r="R38" s="7"/>
      <c r="S38" s="50"/>
      <c r="T38" s="7"/>
      <c r="U38" s="50"/>
      <c r="W38" s="18"/>
      <c r="X38" s="18"/>
      <c r="Y38" s="18"/>
      <c r="Z38" s="18"/>
      <c r="AA38" s="18"/>
    </row>
    <row r="39" spans="1:27" ht="24" customHeight="1" x14ac:dyDescent="0.3">
      <c r="A39" s="233"/>
      <c r="B39" s="24" t="s">
        <v>138</v>
      </c>
      <c r="C39" s="32"/>
      <c r="D39" s="32"/>
      <c r="E39" s="54"/>
      <c r="F39" s="22"/>
      <c r="G39" s="25"/>
      <c r="H39" s="7"/>
      <c r="I39" s="50"/>
      <c r="J39" s="10"/>
      <c r="K39" s="50"/>
      <c r="L39" s="7"/>
      <c r="M39" s="50"/>
      <c r="N39" s="7"/>
      <c r="O39" s="50"/>
      <c r="P39" s="7"/>
      <c r="Q39" s="50"/>
      <c r="R39" s="7"/>
      <c r="S39" s="50"/>
      <c r="T39" s="7"/>
      <c r="U39" s="50"/>
      <c r="W39" s="18"/>
      <c r="X39" s="18"/>
      <c r="Y39" s="18"/>
      <c r="Z39" s="18"/>
      <c r="AA39" s="18"/>
    </row>
    <row r="40" spans="1:27" ht="24" customHeight="1" x14ac:dyDescent="0.3">
      <c r="A40" s="233"/>
      <c r="B40" s="24" t="s">
        <v>139</v>
      </c>
      <c r="C40" s="32"/>
      <c r="D40" s="32"/>
      <c r="E40" s="54"/>
      <c r="F40" s="22"/>
      <c r="G40" s="25"/>
      <c r="H40" s="10"/>
      <c r="I40" s="50"/>
      <c r="J40" s="10"/>
      <c r="K40" s="50"/>
      <c r="L40" s="7"/>
      <c r="M40" s="50"/>
      <c r="N40" s="7"/>
      <c r="O40" s="50"/>
      <c r="P40" s="7"/>
      <c r="Q40" s="50"/>
      <c r="R40" s="7"/>
      <c r="S40" s="50"/>
      <c r="T40" s="7"/>
      <c r="U40" s="50"/>
      <c r="W40" s="18"/>
      <c r="X40" s="18"/>
      <c r="Y40" s="18"/>
      <c r="Z40" s="18"/>
      <c r="AA40" s="18"/>
    </row>
    <row r="41" spans="1:27" ht="24" customHeight="1" x14ac:dyDescent="0.3">
      <c r="A41" s="233"/>
      <c r="B41" s="24" t="s">
        <v>143</v>
      </c>
      <c r="C41" s="32"/>
      <c r="D41" s="32"/>
      <c r="E41" s="54"/>
      <c r="F41" s="22"/>
      <c r="G41" s="25"/>
      <c r="H41" s="10"/>
      <c r="I41" s="50"/>
      <c r="J41" s="10"/>
      <c r="K41" s="50"/>
      <c r="L41" s="7"/>
      <c r="M41" s="50"/>
      <c r="N41" s="7"/>
      <c r="O41" s="50"/>
      <c r="P41" s="7"/>
      <c r="Q41" s="50"/>
      <c r="R41" s="7"/>
      <c r="S41" s="50"/>
      <c r="T41" s="7"/>
      <c r="U41" s="50"/>
      <c r="W41" s="18"/>
      <c r="X41" s="18"/>
      <c r="Y41" s="18"/>
      <c r="Z41" s="18"/>
      <c r="AA41" s="18"/>
    </row>
    <row r="42" spans="1:27" ht="24" customHeight="1" x14ac:dyDescent="0.3">
      <c r="A42" s="233"/>
      <c r="B42" s="24" t="s">
        <v>137</v>
      </c>
      <c r="C42" s="32"/>
      <c r="D42" s="32"/>
      <c r="E42" s="54"/>
      <c r="F42" s="22"/>
      <c r="G42" s="25"/>
      <c r="H42" s="7"/>
      <c r="I42" s="50"/>
      <c r="J42" s="10"/>
      <c r="K42" s="50"/>
      <c r="L42" s="7"/>
      <c r="M42" s="50"/>
      <c r="N42" s="7"/>
      <c r="O42" s="50"/>
      <c r="P42" s="7"/>
      <c r="Q42" s="50"/>
      <c r="R42" s="7"/>
      <c r="S42" s="50"/>
      <c r="T42" s="7"/>
      <c r="U42" s="50"/>
      <c r="W42" s="18"/>
      <c r="X42" s="18"/>
      <c r="Y42" s="18"/>
      <c r="Z42" s="18"/>
      <c r="AA42" s="18"/>
    </row>
    <row r="43" spans="1:27" ht="27" thickBot="1" x14ac:dyDescent="0.35">
      <c r="A43" s="233"/>
      <c r="B43" s="26"/>
      <c r="C43" s="27">
        <f>SUM(C23:C42)</f>
        <v>0</v>
      </c>
      <c r="D43" s="27">
        <f>SUM(D23:D42)</f>
        <v>0</v>
      </c>
      <c r="E43" s="27">
        <f>SUM(E23:E42)</f>
        <v>0</v>
      </c>
      <c r="F43" s="125">
        <f>SUM(F23:F42)</f>
        <v>0</v>
      </c>
      <c r="G43" s="142"/>
      <c r="H43" s="2">
        <f t="shared" ref="H43:U43" si="2">SUM(H23:H42)</f>
        <v>0</v>
      </c>
      <c r="I43" s="2">
        <f t="shared" si="2"/>
        <v>0</v>
      </c>
      <c r="J43" s="2">
        <f t="shared" si="2"/>
        <v>0</v>
      </c>
      <c r="K43" s="2">
        <f t="shared" si="2"/>
        <v>0</v>
      </c>
      <c r="L43" s="2">
        <f t="shared" si="2"/>
        <v>0</v>
      </c>
      <c r="M43" s="2">
        <f t="shared" si="2"/>
        <v>0</v>
      </c>
      <c r="N43" s="2">
        <f t="shared" si="2"/>
        <v>0</v>
      </c>
      <c r="O43" s="2">
        <f t="shared" si="2"/>
        <v>0</v>
      </c>
      <c r="P43" s="2">
        <f t="shared" si="2"/>
        <v>0</v>
      </c>
      <c r="Q43" s="2">
        <f t="shared" si="2"/>
        <v>0</v>
      </c>
      <c r="R43" s="2">
        <f t="shared" si="2"/>
        <v>0</v>
      </c>
      <c r="S43" s="2">
        <f t="shared" si="2"/>
        <v>0</v>
      </c>
      <c r="T43" s="2">
        <f t="shared" si="2"/>
        <v>0</v>
      </c>
      <c r="U43" s="2">
        <f t="shared" si="2"/>
        <v>0</v>
      </c>
    </row>
    <row r="44" spans="1:27" ht="24" customHeight="1" thickTop="1" x14ac:dyDescent="0.3">
      <c r="A44" s="252" t="s">
        <v>13</v>
      </c>
      <c r="B44" s="3" t="s">
        <v>28</v>
      </c>
      <c r="C44" s="7"/>
      <c r="D44" s="7"/>
      <c r="E44" s="50"/>
      <c r="F44" s="50">
        <v>4</v>
      </c>
      <c r="G44" s="142"/>
      <c r="H44" s="7"/>
      <c r="I44" s="50"/>
      <c r="J44" s="10"/>
      <c r="K44" s="50"/>
      <c r="L44" s="7"/>
      <c r="M44" s="50"/>
      <c r="N44" s="7"/>
      <c r="O44" s="50"/>
      <c r="P44" s="7"/>
      <c r="Q44" s="50"/>
      <c r="R44" s="7"/>
      <c r="S44" s="50"/>
      <c r="T44" s="7"/>
      <c r="U44" s="50"/>
    </row>
    <row r="45" spans="1:27" ht="24" customHeight="1" x14ac:dyDescent="0.3">
      <c r="A45" s="252"/>
      <c r="B45" s="3" t="s">
        <v>29</v>
      </c>
      <c r="C45" s="77">
        <v>10</v>
      </c>
      <c r="D45" s="7"/>
      <c r="E45" s="50"/>
      <c r="F45" s="50"/>
      <c r="G45" s="142"/>
      <c r="H45" s="7"/>
      <c r="I45" s="50"/>
      <c r="J45" s="10"/>
      <c r="K45" s="50"/>
      <c r="L45" s="7">
        <v>1</v>
      </c>
      <c r="M45" s="50"/>
      <c r="N45" s="7"/>
      <c r="O45" s="50"/>
      <c r="P45" s="7"/>
      <c r="Q45" s="50"/>
      <c r="R45" s="7"/>
      <c r="S45" s="50"/>
      <c r="T45" s="7"/>
      <c r="U45" s="50"/>
    </row>
    <row r="46" spans="1:27" ht="24" customHeight="1" x14ac:dyDescent="0.3">
      <c r="A46" s="252"/>
      <c r="B46" s="3" t="s">
        <v>125</v>
      </c>
      <c r="C46" s="7"/>
      <c r="D46" s="7"/>
      <c r="E46" s="50">
        <v>3</v>
      </c>
      <c r="F46" s="50"/>
      <c r="G46" s="142"/>
      <c r="H46" s="7"/>
      <c r="I46" s="50"/>
      <c r="J46" s="10"/>
      <c r="K46" s="50"/>
      <c r="L46" s="7"/>
      <c r="M46" s="50"/>
      <c r="N46" s="7"/>
      <c r="O46" s="50"/>
      <c r="P46" s="7"/>
      <c r="Q46" s="50"/>
      <c r="R46" s="7"/>
      <c r="S46" s="50"/>
      <c r="T46" s="7"/>
      <c r="U46" s="50"/>
    </row>
    <row r="47" spans="1:27" ht="24" customHeight="1" x14ac:dyDescent="0.3">
      <c r="A47" s="252"/>
      <c r="B47" s="3" t="s">
        <v>121</v>
      </c>
      <c r="C47" s="7"/>
      <c r="D47" s="7"/>
      <c r="E47" s="50"/>
      <c r="F47" s="50"/>
      <c r="G47" s="142"/>
      <c r="H47" s="7"/>
      <c r="I47" s="50"/>
      <c r="J47" s="10"/>
      <c r="K47" s="50"/>
      <c r="L47" s="7"/>
      <c r="M47" s="50"/>
      <c r="N47" s="7"/>
      <c r="O47" s="50"/>
      <c r="P47" s="7"/>
      <c r="Q47" s="50"/>
      <c r="R47" s="7"/>
      <c r="S47" s="50"/>
      <c r="T47" s="7"/>
      <c r="U47" s="50"/>
    </row>
    <row r="48" spans="1:27" ht="24" customHeight="1" x14ac:dyDescent="0.3">
      <c r="A48" s="252"/>
      <c r="B48" s="3" t="s">
        <v>122</v>
      </c>
      <c r="C48" s="7"/>
      <c r="D48" s="7"/>
      <c r="E48" s="50"/>
      <c r="F48" s="50"/>
      <c r="G48" s="142"/>
      <c r="H48" s="7"/>
      <c r="I48" s="50"/>
      <c r="J48" s="10"/>
      <c r="K48" s="50"/>
      <c r="L48" s="7"/>
      <c r="M48" s="50"/>
      <c r="N48" s="7"/>
      <c r="O48" s="50"/>
      <c r="P48" s="7"/>
      <c r="Q48" s="50"/>
      <c r="R48" s="7"/>
      <c r="S48" s="50"/>
      <c r="T48" s="7"/>
      <c r="U48" s="50"/>
    </row>
    <row r="49" spans="1:39" ht="24" customHeight="1" x14ac:dyDescent="0.3">
      <c r="A49" s="252"/>
      <c r="B49" s="3" t="s">
        <v>123</v>
      </c>
      <c r="C49" s="7"/>
      <c r="D49" s="7"/>
      <c r="E49" s="50"/>
      <c r="F49" s="50">
        <v>5</v>
      </c>
      <c r="G49" s="142"/>
      <c r="H49" s="7"/>
      <c r="I49" s="50"/>
      <c r="J49" s="10"/>
      <c r="K49" s="50"/>
      <c r="L49" s="7"/>
      <c r="M49" s="50"/>
      <c r="N49" s="7"/>
      <c r="O49" s="50"/>
      <c r="P49" s="7"/>
      <c r="Q49" s="50"/>
      <c r="R49" s="7"/>
      <c r="S49" s="50"/>
      <c r="T49" s="7"/>
      <c r="U49" s="50"/>
    </row>
    <row r="50" spans="1:39" ht="24" customHeight="1" x14ac:dyDescent="0.3">
      <c r="A50" s="252"/>
      <c r="B50" s="100" t="s">
        <v>126</v>
      </c>
      <c r="C50" s="77">
        <v>58</v>
      </c>
      <c r="D50" s="7"/>
      <c r="E50" s="76">
        <v>16</v>
      </c>
      <c r="F50" s="50"/>
      <c r="G50" s="142"/>
      <c r="H50" s="7">
        <v>3</v>
      </c>
      <c r="I50" s="50"/>
      <c r="J50" s="10"/>
      <c r="K50" s="50"/>
      <c r="L50" s="7"/>
      <c r="M50" s="50"/>
      <c r="N50" s="7"/>
      <c r="O50" s="50"/>
      <c r="P50" s="7"/>
      <c r="Q50" s="50"/>
      <c r="R50" s="7"/>
      <c r="S50" s="50"/>
      <c r="T50" s="7"/>
      <c r="U50" s="50"/>
    </row>
    <row r="51" spans="1:39" ht="24" customHeight="1" x14ac:dyDescent="0.3">
      <c r="A51" s="252"/>
      <c r="B51" s="100" t="s">
        <v>124</v>
      </c>
      <c r="C51" s="7">
        <v>13</v>
      </c>
      <c r="D51" s="7"/>
      <c r="E51" s="50"/>
      <c r="F51" s="50"/>
      <c r="G51" s="142"/>
      <c r="H51" s="7">
        <v>2</v>
      </c>
      <c r="I51" s="50"/>
      <c r="J51" s="10"/>
      <c r="K51" s="50">
        <v>2</v>
      </c>
      <c r="L51" s="7">
        <v>2</v>
      </c>
      <c r="M51" s="50"/>
      <c r="N51" s="7"/>
      <c r="O51" s="50"/>
      <c r="P51" s="7"/>
      <c r="Q51" s="50"/>
      <c r="R51" s="7"/>
      <c r="S51" s="50"/>
      <c r="T51" s="7"/>
      <c r="U51" s="50"/>
    </row>
    <row r="52" spans="1:39" ht="26.25" x14ac:dyDescent="0.3">
      <c r="A52" s="279"/>
      <c r="B52" s="122"/>
      <c r="C52" s="123">
        <f>SUM(C44:C51)</f>
        <v>81</v>
      </c>
      <c r="D52" s="123">
        <f>SUM(D44:D51)</f>
        <v>0</v>
      </c>
      <c r="E52" s="123">
        <f>SUM(E44:E51)</f>
        <v>19</v>
      </c>
      <c r="F52" s="123">
        <f>SUM(F44:F51)</f>
        <v>9</v>
      </c>
      <c r="G52" s="142"/>
      <c r="H52" s="2">
        <f t="shared" ref="H52:S52" si="3">SUM(H44:H51)</f>
        <v>5</v>
      </c>
      <c r="I52" s="123">
        <f t="shared" si="3"/>
        <v>0</v>
      </c>
      <c r="J52" s="123">
        <f t="shared" si="3"/>
        <v>0</v>
      </c>
      <c r="K52" s="123">
        <f t="shared" si="3"/>
        <v>2</v>
      </c>
      <c r="L52" s="123">
        <f t="shared" si="3"/>
        <v>3</v>
      </c>
      <c r="M52" s="123">
        <f t="shared" si="3"/>
        <v>0</v>
      </c>
      <c r="N52" s="123">
        <f t="shared" si="3"/>
        <v>0</v>
      </c>
      <c r="O52" s="123">
        <f t="shared" si="3"/>
        <v>0</v>
      </c>
      <c r="P52" s="123">
        <f t="shared" si="3"/>
        <v>0</v>
      </c>
      <c r="Q52" s="123">
        <f t="shared" si="3"/>
        <v>0</v>
      </c>
      <c r="R52" s="123">
        <f t="shared" si="3"/>
        <v>0</v>
      </c>
      <c r="S52" s="123">
        <f t="shared" si="3"/>
        <v>0</v>
      </c>
      <c r="T52" s="123">
        <f>SUM(T44:T51)</f>
        <v>0</v>
      </c>
      <c r="U52" s="123">
        <f>SUM(U44:U51)</f>
        <v>0</v>
      </c>
      <c r="AA52" s="254"/>
      <c r="AB52" s="254"/>
      <c r="AC52" s="254"/>
      <c r="AD52" s="254"/>
      <c r="AF52" s="234"/>
      <c r="AG52" s="234"/>
      <c r="AH52" s="234"/>
      <c r="AI52" s="234"/>
      <c r="AJ52" s="234"/>
      <c r="AL52" s="234"/>
      <c r="AM52" s="234"/>
    </row>
    <row r="53" spans="1:39" ht="24" customHeight="1" x14ac:dyDescent="0.3">
      <c r="A53" s="253" t="s">
        <v>118</v>
      </c>
      <c r="B53" s="3" t="s">
        <v>171</v>
      </c>
      <c r="C53" s="7">
        <v>3</v>
      </c>
      <c r="D53" s="7"/>
      <c r="E53" s="50"/>
      <c r="F53" s="50">
        <v>2</v>
      </c>
      <c r="G53" s="142"/>
      <c r="H53" s="7"/>
      <c r="I53" s="50"/>
      <c r="J53" s="10"/>
      <c r="K53" s="50"/>
      <c r="L53" s="7"/>
      <c r="M53" s="50"/>
      <c r="N53" s="7"/>
      <c r="O53" s="50"/>
      <c r="P53" s="7"/>
      <c r="Q53" s="50"/>
      <c r="R53" s="7"/>
      <c r="S53" s="50"/>
      <c r="T53" s="7"/>
      <c r="U53" s="50"/>
    </row>
    <row r="54" spans="1:39" ht="24" customHeight="1" x14ac:dyDescent="0.3">
      <c r="A54" s="253"/>
      <c r="B54" s="3" t="s">
        <v>168</v>
      </c>
      <c r="C54" s="7">
        <v>2</v>
      </c>
      <c r="D54" s="7"/>
      <c r="E54" s="50"/>
      <c r="F54" s="50">
        <v>5</v>
      </c>
      <c r="G54" s="142"/>
      <c r="H54" s="7"/>
      <c r="I54" s="50"/>
      <c r="J54" s="10"/>
      <c r="K54" s="50"/>
      <c r="L54" s="7">
        <v>1</v>
      </c>
      <c r="M54" s="50"/>
      <c r="N54" s="7"/>
      <c r="O54" s="50"/>
      <c r="P54" s="7"/>
      <c r="Q54" s="50"/>
      <c r="R54" s="7"/>
      <c r="S54" s="50"/>
      <c r="T54" s="7"/>
      <c r="U54" s="50"/>
    </row>
    <row r="55" spans="1:39" ht="24" customHeight="1" x14ac:dyDescent="0.3">
      <c r="A55" s="253"/>
      <c r="B55" s="3" t="s">
        <v>170</v>
      </c>
      <c r="C55" s="7">
        <v>4</v>
      </c>
      <c r="D55" s="7"/>
      <c r="E55" s="50"/>
      <c r="F55" s="50">
        <v>7</v>
      </c>
      <c r="G55" s="142"/>
      <c r="H55" s="7"/>
      <c r="I55" s="50"/>
      <c r="J55" s="10"/>
      <c r="L55" s="7"/>
      <c r="M55" s="50"/>
      <c r="N55" s="7"/>
      <c r="O55" s="50"/>
      <c r="P55" s="7"/>
      <c r="Q55" s="50"/>
      <c r="R55" s="7"/>
      <c r="S55" s="50"/>
      <c r="T55" s="7"/>
      <c r="U55" s="50"/>
    </row>
    <row r="56" spans="1:39" ht="24" customHeight="1" x14ac:dyDescent="0.3">
      <c r="A56" s="253"/>
      <c r="B56" s="100" t="s">
        <v>166</v>
      </c>
      <c r="C56" s="7">
        <v>20</v>
      </c>
      <c r="D56" s="7"/>
      <c r="E56" s="50">
        <v>10</v>
      </c>
      <c r="F56" s="50"/>
      <c r="G56" s="142"/>
      <c r="H56" s="7"/>
      <c r="I56" s="50"/>
      <c r="J56" s="10"/>
      <c r="K56" s="50"/>
      <c r="L56" s="7">
        <v>2</v>
      </c>
      <c r="M56" s="50"/>
      <c r="N56" s="7"/>
      <c r="O56" s="50"/>
      <c r="P56" s="7"/>
      <c r="Q56" s="50"/>
      <c r="R56" s="7"/>
      <c r="S56" s="50"/>
      <c r="T56" s="7"/>
      <c r="U56" s="50"/>
    </row>
    <row r="57" spans="1:39" ht="24" customHeight="1" x14ac:dyDescent="0.3">
      <c r="A57" s="253"/>
      <c r="B57" s="100" t="s">
        <v>167</v>
      </c>
      <c r="C57" s="7">
        <v>8</v>
      </c>
      <c r="D57" s="7"/>
      <c r="E57" s="50">
        <v>5</v>
      </c>
      <c r="F57" s="50"/>
      <c r="G57" s="142"/>
      <c r="H57" s="7"/>
      <c r="I57" s="50"/>
      <c r="J57" s="10"/>
      <c r="K57" s="50"/>
      <c r="L57" s="7"/>
      <c r="M57" s="50"/>
      <c r="N57" s="7"/>
      <c r="O57" s="50"/>
      <c r="P57" s="7"/>
      <c r="Q57" s="50"/>
      <c r="R57" s="7"/>
      <c r="S57" s="50"/>
      <c r="T57" s="7"/>
      <c r="U57" s="50"/>
    </row>
    <row r="58" spans="1:39" ht="24" customHeight="1" x14ac:dyDescent="0.3">
      <c r="A58" s="253"/>
      <c r="B58" s="100" t="s">
        <v>172</v>
      </c>
      <c r="C58" s="7">
        <v>24</v>
      </c>
      <c r="D58" s="7"/>
      <c r="E58" s="50"/>
      <c r="F58" s="50">
        <v>35</v>
      </c>
      <c r="G58" s="142"/>
      <c r="H58" s="7"/>
      <c r="I58" s="50"/>
      <c r="J58" s="10"/>
      <c r="K58" s="50">
        <v>2</v>
      </c>
      <c r="L58" s="7">
        <v>2</v>
      </c>
      <c r="M58" s="50"/>
      <c r="N58" s="7"/>
      <c r="O58" s="50"/>
      <c r="P58" s="7"/>
      <c r="Q58" s="50"/>
      <c r="R58" s="7"/>
      <c r="S58" s="50"/>
      <c r="T58" s="7"/>
      <c r="U58" s="50"/>
    </row>
    <row r="59" spans="1:39" ht="24" customHeight="1" x14ac:dyDescent="0.3">
      <c r="A59" s="253"/>
      <c r="B59" s="100" t="s">
        <v>165</v>
      </c>
      <c r="C59" s="7"/>
      <c r="D59" s="7"/>
      <c r="E59" s="50"/>
      <c r="F59" s="50"/>
      <c r="G59" s="142"/>
      <c r="H59" s="7"/>
      <c r="I59" s="50"/>
      <c r="J59" s="10"/>
      <c r="K59" s="50"/>
      <c r="L59" s="7"/>
      <c r="M59" s="50"/>
      <c r="N59" s="7"/>
      <c r="O59" s="50"/>
      <c r="P59" s="7"/>
      <c r="Q59" s="50"/>
      <c r="R59" s="7"/>
      <c r="S59" s="50"/>
      <c r="T59" s="7"/>
      <c r="U59" s="50"/>
    </row>
    <row r="60" spans="1:39" ht="24" customHeight="1" x14ac:dyDescent="0.3">
      <c r="A60" s="253"/>
      <c r="B60" s="3" t="s">
        <v>173</v>
      </c>
      <c r="C60" s="7">
        <v>3</v>
      </c>
      <c r="D60" s="7"/>
      <c r="E60" s="50"/>
      <c r="F60" s="50"/>
      <c r="G60" s="142"/>
      <c r="H60" s="7"/>
      <c r="I60" s="50"/>
      <c r="J60" s="10"/>
      <c r="K60" s="50">
        <v>1</v>
      </c>
      <c r="L60" s="7"/>
      <c r="M60" s="50"/>
      <c r="N60" s="7"/>
      <c r="O60" s="50"/>
      <c r="P60" s="7"/>
      <c r="Q60" s="50"/>
      <c r="R60" s="7"/>
      <c r="S60" s="50"/>
      <c r="T60" s="7"/>
      <c r="U60" s="50"/>
    </row>
    <row r="61" spans="1:39" ht="24" customHeight="1" x14ac:dyDescent="0.3">
      <c r="A61" s="253"/>
      <c r="B61" s="3" t="s">
        <v>169</v>
      </c>
      <c r="C61" s="7"/>
      <c r="D61" s="7"/>
      <c r="E61" s="50"/>
      <c r="F61" s="50"/>
      <c r="G61" s="142"/>
      <c r="H61" s="7"/>
      <c r="I61" s="50"/>
      <c r="J61" s="10"/>
      <c r="K61" s="50"/>
      <c r="L61" s="7">
        <v>1</v>
      </c>
      <c r="M61" s="50"/>
      <c r="N61" s="7"/>
      <c r="O61" s="50"/>
      <c r="P61" s="7"/>
      <c r="Q61" s="50"/>
      <c r="R61" s="7"/>
      <c r="S61" s="50"/>
      <c r="T61" s="7"/>
      <c r="U61" s="50"/>
    </row>
    <row r="62" spans="1:39" ht="26.25" x14ac:dyDescent="0.3">
      <c r="A62" s="253"/>
      <c r="B62" s="2"/>
      <c r="C62" s="2">
        <f>SUM(C53:C61)</f>
        <v>64</v>
      </c>
      <c r="D62" s="2">
        <f>SUM(D53:D61)</f>
        <v>0</v>
      </c>
      <c r="E62" s="2">
        <f>SUM(E53:E61)</f>
        <v>15</v>
      </c>
      <c r="F62" s="2">
        <f>SUM(F53:F61)</f>
        <v>49</v>
      </c>
      <c r="G62" s="142"/>
      <c r="H62" s="2">
        <f t="shared" ref="H62:U62" si="4">SUM(H53:H61)</f>
        <v>0</v>
      </c>
      <c r="I62" s="2">
        <f t="shared" si="4"/>
        <v>0</v>
      </c>
      <c r="J62" s="2">
        <f t="shared" si="4"/>
        <v>0</v>
      </c>
      <c r="K62" s="2">
        <f t="shared" si="4"/>
        <v>3</v>
      </c>
      <c r="L62" s="2">
        <f t="shared" si="4"/>
        <v>6</v>
      </c>
      <c r="M62" s="2">
        <f t="shared" si="4"/>
        <v>0</v>
      </c>
      <c r="N62" s="2">
        <f t="shared" si="4"/>
        <v>0</v>
      </c>
      <c r="O62" s="2">
        <f t="shared" si="4"/>
        <v>0</v>
      </c>
      <c r="P62" s="2">
        <f t="shared" si="4"/>
        <v>0</v>
      </c>
      <c r="Q62" s="2">
        <f t="shared" si="4"/>
        <v>0</v>
      </c>
      <c r="R62" s="2">
        <f t="shared" si="4"/>
        <v>0</v>
      </c>
      <c r="S62" s="2">
        <f t="shared" si="4"/>
        <v>0</v>
      </c>
      <c r="T62" s="2">
        <f t="shared" si="4"/>
        <v>0</v>
      </c>
      <c r="U62" s="2">
        <f t="shared" si="4"/>
        <v>0</v>
      </c>
      <c r="AA62" s="254"/>
      <c r="AB62" s="254"/>
      <c r="AC62" s="254"/>
      <c r="AD62" s="254"/>
      <c r="AF62" s="234"/>
      <c r="AG62" s="234"/>
      <c r="AH62" s="234"/>
      <c r="AI62" s="234"/>
      <c r="AJ62" s="234"/>
      <c r="AL62" s="234"/>
      <c r="AM62" s="234"/>
    </row>
    <row r="64" spans="1:39" ht="19.5" customHeight="1" x14ac:dyDescent="0.35">
      <c r="A64" s="235" t="s">
        <v>23</v>
      </c>
      <c r="B64" s="235"/>
      <c r="C64" s="126">
        <v>47000</v>
      </c>
      <c r="D64" s="126">
        <v>4700</v>
      </c>
      <c r="E64" s="126">
        <v>58000</v>
      </c>
      <c r="F64" s="126">
        <v>5800</v>
      </c>
      <c r="H64" s="126">
        <v>5800</v>
      </c>
      <c r="I64" s="126">
        <v>4700</v>
      </c>
      <c r="J64" s="20">
        <v>6800</v>
      </c>
      <c r="K64" s="20">
        <v>5200</v>
      </c>
      <c r="L64" s="20">
        <v>20700</v>
      </c>
      <c r="M64" s="20">
        <v>6400</v>
      </c>
      <c r="N64" s="20">
        <v>18700</v>
      </c>
      <c r="O64" s="126">
        <v>25700</v>
      </c>
      <c r="P64" s="126">
        <v>8800</v>
      </c>
      <c r="Q64" s="20">
        <v>21700</v>
      </c>
      <c r="R64" s="20">
        <v>15000</v>
      </c>
      <c r="S64" s="20">
        <v>18000</v>
      </c>
      <c r="T64" s="20"/>
      <c r="U64" s="20"/>
      <c r="W64" s="236">
        <f>P67*0.85</f>
        <v>8138325</v>
      </c>
      <c r="X64" s="237"/>
      <c r="Y64" s="238"/>
      <c r="AA64" s="242">
        <f>P69-P67</f>
        <v>0</v>
      </c>
      <c r="AB64" s="243"/>
      <c r="AC64" s="243"/>
      <c r="AD64" s="243"/>
      <c r="AF64" s="234"/>
      <c r="AG64" s="234"/>
      <c r="AH64" s="234"/>
      <c r="AI64" s="234"/>
      <c r="AJ64" s="234"/>
      <c r="AL64" s="234"/>
      <c r="AM64" s="234"/>
    </row>
    <row r="65" spans="1:39" ht="19.5" customHeight="1" x14ac:dyDescent="0.35">
      <c r="A65" s="235" t="s">
        <v>24</v>
      </c>
      <c r="B65" s="235"/>
      <c r="C65" s="20">
        <f>C64*C3</f>
        <v>6815000</v>
      </c>
      <c r="D65" s="20">
        <f>D64*D3</f>
        <v>0</v>
      </c>
      <c r="E65" s="20">
        <f>E64*E3</f>
        <v>1972000</v>
      </c>
      <c r="F65" s="20">
        <f>F64*F3</f>
        <v>336400</v>
      </c>
      <c r="H65" s="20">
        <f t="shared" ref="H65:U65" si="5">H64*H3</f>
        <v>29000</v>
      </c>
      <c r="I65" s="20">
        <f t="shared" si="5"/>
        <v>0</v>
      </c>
      <c r="J65" s="20">
        <f t="shared" si="5"/>
        <v>13600</v>
      </c>
      <c r="K65" s="20">
        <f t="shared" si="5"/>
        <v>31200</v>
      </c>
      <c r="L65" s="20">
        <f t="shared" si="5"/>
        <v>248400</v>
      </c>
      <c r="M65" s="20">
        <f t="shared" si="5"/>
        <v>12800</v>
      </c>
      <c r="N65" s="20">
        <f t="shared" si="5"/>
        <v>56100</v>
      </c>
      <c r="O65" s="20">
        <f t="shared" si="5"/>
        <v>0</v>
      </c>
      <c r="P65" s="20">
        <f t="shared" si="5"/>
        <v>0</v>
      </c>
      <c r="Q65" s="20">
        <f t="shared" si="5"/>
        <v>0</v>
      </c>
      <c r="R65" s="20">
        <f t="shared" si="5"/>
        <v>60000</v>
      </c>
      <c r="S65" s="20">
        <f t="shared" si="5"/>
        <v>0</v>
      </c>
      <c r="T65" s="20">
        <f t="shared" si="5"/>
        <v>0</v>
      </c>
      <c r="U65" s="20">
        <f t="shared" si="5"/>
        <v>0</v>
      </c>
      <c r="W65" s="239"/>
      <c r="X65" s="240"/>
      <c r="Y65" s="241"/>
      <c r="AA65" s="243"/>
      <c r="AB65" s="243"/>
      <c r="AC65" s="243"/>
      <c r="AD65" s="243"/>
      <c r="AF65" s="234"/>
      <c r="AG65" s="234"/>
      <c r="AH65" s="234"/>
      <c r="AI65" s="234"/>
      <c r="AJ65" s="234"/>
      <c r="AL65" s="234"/>
      <c r="AM65" s="234"/>
    </row>
    <row r="67" spans="1:39" ht="26.25" x14ac:dyDescent="0.3">
      <c r="P67" s="259">
        <f>SUM(C65:U65)</f>
        <v>9574500</v>
      </c>
      <c r="Q67" s="260"/>
      <c r="W67" s="247"/>
      <c r="X67" s="248"/>
      <c r="Y67" s="248"/>
      <c r="AA67" s="249"/>
      <c r="AB67" s="250"/>
      <c r="AC67" s="250"/>
      <c r="AD67" s="251"/>
    </row>
    <row r="69" spans="1:39" ht="26.25" x14ac:dyDescent="0.3">
      <c r="C69" s="244"/>
      <c r="D69" s="245"/>
      <c r="P69" s="246">
        <v>9574500</v>
      </c>
      <c r="Q69" s="246"/>
      <c r="W69" s="247">
        <f>P69*0.85</f>
        <v>8138325</v>
      </c>
      <c r="X69" s="248"/>
      <c r="Y69" s="248"/>
      <c r="AA69" s="249"/>
      <c r="AB69" s="250"/>
      <c r="AC69" s="250"/>
      <c r="AD69" s="251"/>
    </row>
    <row r="70" spans="1:39" x14ac:dyDescent="0.3">
      <c r="Q70" s="18"/>
      <c r="S70" s="18"/>
      <c r="U70" s="18"/>
      <c r="W70" s="245"/>
      <c r="X70" s="245"/>
      <c r="Y70" s="245"/>
      <c r="AA70" s="255"/>
      <c r="AB70" s="256"/>
      <c r="AC70" s="256"/>
      <c r="AD70" s="256"/>
    </row>
    <row r="71" spans="1:39" x14ac:dyDescent="0.3">
      <c r="P71" s="244"/>
      <c r="Q71" s="245"/>
      <c r="W71" s="245"/>
      <c r="X71" s="245"/>
      <c r="Y71" s="245"/>
      <c r="AA71" s="245"/>
      <c r="AB71" s="245"/>
      <c r="AC71" s="245"/>
      <c r="AD71" s="245"/>
    </row>
    <row r="72" spans="1:39" x14ac:dyDescent="0.3">
      <c r="P72" s="245"/>
      <c r="Q72" s="245"/>
      <c r="W72" s="245"/>
      <c r="X72" s="245"/>
      <c r="Y72" s="245"/>
      <c r="AA72" s="245"/>
      <c r="AB72" s="245"/>
      <c r="AC72" s="245"/>
      <c r="AD72" s="245"/>
    </row>
    <row r="73" spans="1:39" x14ac:dyDescent="0.3">
      <c r="P73" s="18"/>
      <c r="Q73" s="18"/>
      <c r="S73" s="18"/>
      <c r="U73" s="18"/>
      <c r="AA73" s="245"/>
      <c r="AB73" s="245"/>
      <c r="AC73" s="245"/>
      <c r="AD73" s="245"/>
    </row>
    <row r="74" spans="1:39" x14ac:dyDescent="0.3">
      <c r="C74">
        <f>C64*0.85</f>
        <v>39950</v>
      </c>
      <c r="D74">
        <f t="shared" ref="D74:R74" si="6">D64*0.85</f>
        <v>3995</v>
      </c>
      <c r="E74">
        <f t="shared" si="6"/>
        <v>49300</v>
      </c>
      <c r="F74">
        <f t="shared" si="6"/>
        <v>4930</v>
      </c>
      <c r="H74">
        <f t="shared" si="6"/>
        <v>4930</v>
      </c>
      <c r="I74">
        <f t="shared" si="6"/>
        <v>3995</v>
      </c>
      <c r="J74">
        <f t="shared" si="6"/>
        <v>5780</v>
      </c>
      <c r="K74">
        <f t="shared" si="6"/>
        <v>4420</v>
      </c>
      <c r="L74">
        <f t="shared" si="6"/>
        <v>17595</v>
      </c>
      <c r="M74">
        <f t="shared" si="6"/>
        <v>5440</v>
      </c>
      <c r="N74">
        <f t="shared" si="6"/>
        <v>15895</v>
      </c>
      <c r="O74">
        <f t="shared" si="6"/>
        <v>21845</v>
      </c>
      <c r="P74">
        <f t="shared" si="6"/>
        <v>7480</v>
      </c>
      <c r="Q74">
        <f t="shared" si="6"/>
        <v>18445</v>
      </c>
      <c r="R74">
        <f t="shared" si="6"/>
        <v>12750</v>
      </c>
      <c r="S74">
        <f>S64*0.85</f>
        <v>15300</v>
      </c>
      <c r="T74">
        <f>T64*0.85</f>
        <v>0</v>
      </c>
      <c r="U74">
        <f>U64*0.85</f>
        <v>0</v>
      </c>
    </row>
    <row r="75" spans="1:39" x14ac:dyDescent="0.3">
      <c r="C75">
        <v>29500</v>
      </c>
      <c r="D75">
        <v>2950</v>
      </c>
      <c r="E75">
        <v>51000</v>
      </c>
      <c r="F75">
        <v>5100</v>
      </c>
      <c r="H75">
        <v>3600</v>
      </c>
      <c r="I75">
        <v>2950</v>
      </c>
      <c r="J75">
        <v>4000</v>
      </c>
      <c r="K75">
        <v>4200</v>
      </c>
      <c r="L75">
        <v>15000</v>
      </c>
      <c r="M75">
        <v>4500</v>
      </c>
      <c r="N75">
        <v>9500</v>
      </c>
      <c r="O75">
        <v>12000</v>
      </c>
      <c r="P75">
        <v>8000</v>
      </c>
      <c r="Q75">
        <v>12000</v>
      </c>
      <c r="R75">
        <v>8500</v>
      </c>
    </row>
    <row r="76" spans="1:39" x14ac:dyDescent="0.3">
      <c r="C76">
        <f>C74-C75</f>
        <v>10450</v>
      </c>
      <c r="D76">
        <f t="shared" ref="D76:R76" si="7">D74-D75</f>
        <v>1045</v>
      </c>
      <c r="E76">
        <f t="shared" si="7"/>
        <v>-1700</v>
      </c>
      <c r="F76">
        <f t="shared" si="7"/>
        <v>-170</v>
      </c>
      <c r="H76">
        <f t="shared" si="7"/>
        <v>1330</v>
      </c>
      <c r="I76">
        <f t="shared" si="7"/>
        <v>1045</v>
      </c>
      <c r="J76">
        <f t="shared" si="7"/>
        <v>1780</v>
      </c>
      <c r="K76">
        <f t="shared" si="7"/>
        <v>220</v>
      </c>
      <c r="L76">
        <f t="shared" si="7"/>
        <v>2595</v>
      </c>
      <c r="M76">
        <f t="shared" si="7"/>
        <v>940</v>
      </c>
      <c r="N76">
        <f t="shared" si="7"/>
        <v>6395</v>
      </c>
      <c r="O76">
        <f t="shared" si="7"/>
        <v>9845</v>
      </c>
      <c r="P76">
        <f t="shared" si="7"/>
        <v>-520</v>
      </c>
      <c r="Q76">
        <f t="shared" si="7"/>
        <v>6445</v>
      </c>
      <c r="R76">
        <f t="shared" si="7"/>
        <v>4250</v>
      </c>
    </row>
    <row r="77" spans="1:39" x14ac:dyDescent="0.3">
      <c r="C77">
        <f t="shared" ref="C77:R77" si="8">C76*C3</f>
        <v>1515250</v>
      </c>
      <c r="D77">
        <f t="shared" si="8"/>
        <v>0</v>
      </c>
      <c r="E77">
        <f t="shared" si="8"/>
        <v>-57800</v>
      </c>
      <c r="F77">
        <f t="shared" si="8"/>
        <v>-9860</v>
      </c>
      <c r="G77">
        <f t="shared" si="8"/>
        <v>0</v>
      </c>
      <c r="H77">
        <f t="shared" si="8"/>
        <v>6650</v>
      </c>
      <c r="I77">
        <f t="shared" si="8"/>
        <v>0</v>
      </c>
      <c r="J77">
        <f t="shared" si="8"/>
        <v>3560</v>
      </c>
      <c r="K77">
        <f t="shared" si="8"/>
        <v>1320</v>
      </c>
      <c r="L77">
        <f t="shared" si="8"/>
        <v>31140</v>
      </c>
      <c r="M77">
        <f t="shared" si="8"/>
        <v>1880</v>
      </c>
      <c r="N77">
        <f t="shared" si="8"/>
        <v>19185</v>
      </c>
      <c r="O77">
        <f t="shared" si="8"/>
        <v>0</v>
      </c>
      <c r="P77">
        <f t="shared" si="8"/>
        <v>0</v>
      </c>
      <c r="Q77">
        <f t="shared" si="8"/>
        <v>0</v>
      </c>
      <c r="R77">
        <f t="shared" si="8"/>
        <v>17000</v>
      </c>
      <c r="Z77" s="245"/>
      <c r="AA77" s="245"/>
      <c r="AB77" s="245"/>
      <c r="AC77" s="245"/>
      <c r="AD77" s="245"/>
    </row>
    <row r="78" spans="1:39" x14ac:dyDescent="0.3">
      <c r="Z78" s="245"/>
      <c r="AA78" s="245"/>
      <c r="AB78" s="245"/>
      <c r="AC78" s="245"/>
      <c r="AD78" s="245"/>
    </row>
    <row r="79" spans="1:39" ht="26.25" x14ac:dyDescent="0.3">
      <c r="P79" s="257">
        <f>SUM(C77:R77)</f>
        <v>1528325</v>
      </c>
      <c r="Q79" s="258"/>
    </row>
  </sheetData>
  <mergeCells count="31">
    <mergeCell ref="A1:B2"/>
    <mergeCell ref="C1:D1"/>
    <mergeCell ref="E1:F1"/>
    <mergeCell ref="A4:A22"/>
    <mergeCell ref="A23:A43"/>
    <mergeCell ref="A44:A52"/>
    <mergeCell ref="AF64:AJ65"/>
    <mergeCell ref="AL64:AM65"/>
    <mergeCell ref="A65:B65"/>
    <mergeCell ref="AA52:AD52"/>
    <mergeCell ref="AF52:AJ52"/>
    <mergeCell ref="AL52:AM52"/>
    <mergeCell ref="A53:A62"/>
    <mergeCell ref="AA62:AD62"/>
    <mergeCell ref="AF62:AJ62"/>
    <mergeCell ref="AL62:AM62"/>
    <mergeCell ref="C69:D69"/>
    <mergeCell ref="P69:Q69"/>
    <mergeCell ref="W69:Y69"/>
    <mergeCell ref="AA69:AD69"/>
    <mergeCell ref="A64:B64"/>
    <mergeCell ref="W64:Y65"/>
    <mergeCell ref="AA64:AD65"/>
    <mergeCell ref="W70:Y72"/>
    <mergeCell ref="AA70:AD73"/>
    <mergeCell ref="P71:Q72"/>
    <mergeCell ref="Z77:AD78"/>
    <mergeCell ref="P79:Q79"/>
    <mergeCell ref="P67:Q67"/>
    <mergeCell ref="W67:Y67"/>
    <mergeCell ref="AA67:AD67"/>
  </mergeCells>
  <phoneticPr fontId="40" type="noConversion"/>
  <conditionalFormatting sqref="B7:B11">
    <cfRule type="duplicateValues" dxfId="145" priority="2"/>
  </conditionalFormatting>
  <conditionalFormatting sqref="B44:B51">
    <cfRule type="duplicateValues" dxfId="144" priority="3"/>
  </conditionalFormatting>
  <conditionalFormatting sqref="B12">
    <cfRule type="duplicateValues" dxfId="143" priority="1"/>
  </conditionalFormatting>
  <conditionalFormatting sqref="B23:B42">
    <cfRule type="duplicateValues" dxfId="142" priority="4"/>
  </conditionalFormatting>
  <conditionalFormatting sqref="B4:B6 B13:B21">
    <cfRule type="expression" dxfId="141" priority="5" stopIfTrue="1">
      <formula>AND(COUNTIF($B$4:$B$6, B4)+COUNTIF($B$13:$B$21, B4)&gt;1,NOT(ISBLANK(B4)))</formula>
    </cfRule>
  </conditionalFormatting>
  <conditionalFormatting sqref="B53:B61">
    <cfRule type="duplicateValues" dxfId="140" priority="6"/>
  </conditionalFormatting>
  <printOptions horizontalCentered="1" verticalCentered="1"/>
  <pageMargins left="0" right="0" top="7.874015748031496E-2" bottom="7.874015748031496E-2" header="0" footer="0"/>
  <pageSetup paperSize="9" scale="23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V18"/>
  <sheetViews>
    <sheetView zoomScale="70" zoomScaleNormal="70" workbookViewId="0">
      <pane ySplit="3" topLeftCell="A8" activePane="bottomLeft" state="frozen"/>
      <selection activeCell="Q64" sqref="Q64"/>
      <selection pane="bottomLeft" activeCell="Q64" sqref="Q64"/>
    </sheetView>
  </sheetViews>
  <sheetFormatPr defaultRowHeight="16.5" x14ac:dyDescent="0.3"/>
  <cols>
    <col min="1" max="1" width="32.875" customWidth="1"/>
    <col min="2" max="6" width="10" customWidth="1"/>
    <col min="7" max="7" width="5.75" customWidth="1"/>
    <col min="8" max="8" width="18.5" customWidth="1"/>
    <col min="9" max="22" width="10.875" customWidth="1"/>
  </cols>
  <sheetData>
    <row r="1" spans="1:22" ht="113.25" customHeight="1" x14ac:dyDescent="0.3">
      <c r="A1" s="222" t="s">
        <v>177</v>
      </c>
      <c r="B1" s="223"/>
      <c r="C1" s="267" t="s">
        <v>97</v>
      </c>
      <c r="D1" s="268"/>
      <c r="E1" s="228" t="s">
        <v>98</v>
      </c>
      <c r="F1" s="228"/>
      <c r="G1" s="8"/>
      <c r="H1" s="269" t="s">
        <v>18</v>
      </c>
      <c r="I1" s="72" t="s">
        <v>20</v>
      </c>
      <c r="J1" s="141" t="s">
        <v>21</v>
      </c>
      <c r="K1" s="5" t="s">
        <v>101</v>
      </c>
      <c r="L1" s="141" t="s">
        <v>100</v>
      </c>
      <c r="M1" s="5" t="s">
        <v>96</v>
      </c>
      <c r="N1" s="141" t="s">
        <v>99</v>
      </c>
      <c r="O1" s="5" t="s">
        <v>114</v>
      </c>
      <c r="P1" s="141" t="s">
        <v>115</v>
      </c>
      <c r="Q1" s="5" t="s">
        <v>104</v>
      </c>
      <c r="R1" s="141" t="s">
        <v>105</v>
      </c>
      <c r="S1" s="5" t="s">
        <v>106</v>
      </c>
      <c r="T1" s="141" t="s">
        <v>11</v>
      </c>
      <c r="U1" s="5" t="s">
        <v>86</v>
      </c>
      <c r="V1" s="141" t="s">
        <v>88</v>
      </c>
    </row>
    <row r="2" spans="1:22" ht="43.5" customHeight="1" x14ac:dyDescent="0.3">
      <c r="A2" s="224"/>
      <c r="B2" s="225"/>
      <c r="C2" s="73" t="s">
        <v>2</v>
      </c>
      <c r="D2" s="73" t="s">
        <v>22</v>
      </c>
      <c r="E2" s="1" t="s">
        <v>2</v>
      </c>
      <c r="F2" s="1" t="s">
        <v>1</v>
      </c>
      <c r="G2" s="9"/>
      <c r="H2" s="270"/>
      <c r="I2" s="6" t="s">
        <v>3</v>
      </c>
      <c r="J2" s="1" t="s">
        <v>1</v>
      </c>
      <c r="K2" s="6" t="s">
        <v>3</v>
      </c>
      <c r="L2" s="1" t="s">
        <v>1</v>
      </c>
      <c r="M2" s="6" t="s">
        <v>3</v>
      </c>
      <c r="N2" s="1" t="s">
        <v>1</v>
      </c>
      <c r="O2" s="6" t="s">
        <v>3</v>
      </c>
      <c r="P2" s="1" t="s">
        <v>1</v>
      </c>
      <c r="Q2" s="6" t="s">
        <v>3</v>
      </c>
      <c r="R2" s="1" t="s">
        <v>1</v>
      </c>
      <c r="S2" s="6" t="s">
        <v>3</v>
      </c>
      <c r="T2" s="1" t="s">
        <v>1</v>
      </c>
      <c r="U2" s="6" t="s">
        <v>3</v>
      </c>
      <c r="V2" s="1" t="s">
        <v>3</v>
      </c>
    </row>
    <row r="3" spans="1:22" ht="39" customHeight="1" thickBot="1" x14ac:dyDescent="0.35">
      <c r="A3" s="271" t="s">
        <v>10</v>
      </c>
      <c r="B3" s="272"/>
      <c r="C3" s="44">
        <f>SUM(C4:C20)</f>
        <v>97</v>
      </c>
      <c r="D3" s="44">
        <f>SUM(D4:D20)</f>
        <v>0</v>
      </c>
      <c r="E3" s="44">
        <f>SUM(E4:E20)</f>
        <v>26</v>
      </c>
      <c r="F3" s="44">
        <f>SUM(F4:F20)</f>
        <v>58</v>
      </c>
      <c r="G3" s="142"/>
      <c r="H3" s="13" t="s">
        <v>10</v>
      </c>
      <c r="I3" s="44">
        <f>SUM(I4:I15)</f>
        <v>6</v>
      </c>
      <c r="J3" s="44">
        <f t="shared" ref="J3:U3" si="0">SUM(J4:J15)</f>
        <v>0</v>
      </c>
      <c r="K3" s="44">
        <f t="shared" si="0"/>
        <v>2</v>
      </c>
      <c r="L3" s="44">
        <f t="shared" si="0"/>
        <v>6</v>
      </c>
      <c r="M3" s="44">
        <f t="shared" si="0"/>
        <v>12</v>
      </c>
      <c r="N3" s="44">
        <f t="shared" si="0"/>
        <v>2</v>
      </c>
      <c r="O3" s="44">
        <f t="shared" si="0"/>
        <v>3</v>
      </c>
      <c r="P3" s="44">
        <f t="shared" si="0"/>
        <v>0</v>
      </c>
      <c r="Q3" s="44">
        <f t="shared" si="0"/>
        <v>0</v>
      </c>
      <c r="R3" s="44">
        <f t="shared" si="0"/>
        <v>0</v>
      </c>
      <c r="S3" s="44">
        <f t="shared" si="0"/>
        <v>4</v>
      </c>
      <c r="T3" s="44">
        <f t="shared" si="0"/>
        <v>0</v>
      </c>
      <c r="U3" s="44">
        <f t="shared" si="0"/>
        <v>0</v>
      </c>
      <c r="V3" s="93">
        <f>SUM(V4:V12)</f>
        <v>0</v>
      </c>
    </row>
    <row r="4" spans="1:22" ht="82.7" customHeight="1" thickTop="1" x14ac:dyDescent="0.3">
      <c r="A4" s="273" t="s">
        <v>15</v>
      </c>
      <c r="B4" s="274"/>
      <c r="C4" s="57">
        <f>'학교별03.13'!C22</f>
        <v>0</v>
      </c>
      <c r="D4" s="57">
        <f>'학교별03.13'!D22</f>
        <v>0</v>
      </c>
      <c r="E4" s="58">
        <f>'학교별03.13'!E22</f>
        <v>0</v>
      </c>
      <c r="F4" s="59">
        <f>'학교별03.13'!F22</f>
        <v>0</v>
      </c>
      <c r="G4" s="142"/>
      <c r="H4" s="49" t="s">
        <v>15</v>
      </c>
      <c r="I4" s="47">
        <f>'학교별03.13'!H22</f>
        <v>0</v>
      </c>
      <c r="J4" s="45">
        <f>'학교별03.13'!I22</f>
        <v>0</v>
      </c>
      <c r="K4" s="47">
        <f>'학교별03.13'!J22</f>
        <v>2</v>
      </c>
      <c r="L4" s="45">
        <f>'학교별03.13'!K22</f>
        <v>1</v>
      </c>
      <c r="M4" s="47">
        <f>'학교별03.13'!L22</f>
        <v>3</v>
      </c>
      <c r="N4" s="45">
        <f>'학교별03.13'!M22</f>
        <v>2</v>
      </c>
      <c r="O4" s="47">
        <f>'학교별03.13'!N22</f>
        <v>3</v>
      </c>
      <c r="P4" s="45">
        <f>'학교별03.13'!O22</f>
        <v>0</v>
      </c>
      <c r="Q4" s="47">
        <f>'학교별03.13'!P22</f>
        <v>0</v>
      </c>
      <c r="R4" s="45">
        <f>'학교별03.13'!Q22</f>
        <v>0</v>
      </c>
      <c r="S4" s="47">
        <f>'학교별03.13'!R22</f>
        <v>4</v>
      </c>
      <c r="T4" s="45">
        <f>'학교별03.13'!S22</f>
        <v>0</v>
      </c>
      <c r="U4" s="47">
        <f>'학교별03.13'!T22</f>
        <v>0</v>
      </c>
      <c r="V4" s="87">
        <f>'학교별03.13'!U22</f>
        <v>0</v>
      </c>
    </row>
    <row r="5" spans="1:22" ht="82.7" customHeight="1" thickBot="1" x14ac:dyDescent="0.35">
      <c r="A5" s="275"/>
      <c r="B5" s="276"/>
      <c r="C5" s="79"/>
      <c r="D5" s="60"/>
      <c r="E5" s="62"/>
      <c r="F5" s="61"/>
      <c r="G5" s="142"/>
      <c r="H5" s="40"/>
      <c r="I5" s="83"/>
      <c r="J5" s="81"/>
      <c r="K5" s="95"/>
      <c r="L5" s="81"/>
      <c r="M5" s="84"/>
      <c r="N5" s="81"/>
      <c r="O5" s="83"/>
      <c r="P5" s="42"/>
      <c r="Q5" s="41"/>
      <c r="R5" s="42"/>
      <c r="S5" s="83"/>
      <c r="T5" s="42"/>
      <c r="U5" s="41"/>
      <c r="V5" s="94"/>
    </row>
    <row r="6" spans="1:22" ht="18" thickTop="1" thickBot="1" x14ac:dyDescent="0.35">
      <c r="H6" s="33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89"/>
    </row>
    <row r="7" spans="1:22" ht="82.7" customHeight="1" thickTop="1" x14ac:dyDescent="0.3">
      <c r="A7" s="277" t="s">
        <v>26</v>
      </c>
      <c r="B7" s="278"/>
      <c r="C7" s="47">
        <f>'학교별03.13'!C43</f>
        <v>0</v>
      </c>
      <c r="D7" s="47">
        <f>'학교별03.13'!D43</f>
        <v>0</v>
      </c>
      <c r="E7" s="45">
        <f>'학교별03.13'!E43</f>
        <v>0</v>
      </c>
      <c r="F7" s="45">
        <f>'학교별03.13'!F43</f>
        <v>0</v>
      </c>
      <c r="G7" s="37"/>
      <c r="H7" s="55" t="s">
        <v>17</v>
      </c>
      <c r="I7" s="48">
        <f>'학교별03.13'!H43</f>
        <v>0</v>
      </c>
      <c r="J7" s="46">
        <f>'학교별03.13'!I43</f>
        <v>0</v>
      </c>
      <c r="K7" s="48">
        <f>'학교별03.13'!J43</f>
        <v>0</v>
      </c>
      <c r="L7" s="46">
        <f>'학교별03.13'!K43</f>
        <v>0</v>
      </c>
      <c r="M7" s="48">
        <f>'학교별03.13'!L43</f>
        <v>0</v>
      </c>
      <c r="N7" s="46">
        <f>'학교별03.13'!M43</f>
        <v>0</v>
      </c>
      <c r="O7" s="48">
        <f>'학교별03.13'!N43</f>
        <v>0</v>
      </c>
      <c r="P7" s="46">
        <f>'학교별03.13'!O43</f>
        <v>0</v>
      </c>
      <c r="Q7" s="48">
        <f>'학교별03.13'!P43</f>
        <v>0</v>
      </c>
      <c r="R7" s="46">
        <f>'학교별03.13'!Q43</f>
        <v>0</v>
      </c>
      <c r="S7" s="48">
        <f>'학교별03.13'!R43</f>
        <v>0</v>
      </c>
      <c r="T7" s="46">
        <f>'학교별03.13'!S43</f>
        <v>0</v>
      </c>
      <c r="U7" s="48">
        <f>'학교별03.13'!T43</f>
        <v>0</v>
      </c>
      <c r="V7" s="90">
        <f>'학교별03.13'!U43</f>
        <v>0</v>
      </c>
    </row>
    <row r="8" spans="1:22" ht="82.7" customHeight="1" thickBot="1" x14ac:dyDescent="0.35">
      <c r="A8" s="261"/>
      <c r="B8" s="262"/>
      <c r="C8" s="75"/>
      <c r="D8" s="96"/>
      <c r="E8" s="78"/>
      <c r="F8" s="38"/>
      <c r="G8" s="39"/>
      <c r="H8" s="142"/>
      <c r="I8" s="41"/>
      <c r="J8" s="42"/>
      <c r="K8" s="41"/>
      <c r="L8" s="42"/>
      <c r="M8" s="41"/>
      <c r="N8" s="42"/>
      <c r="O8" s="41"/>
      <c r="P8" s="42"/>
      <c r="Q8" s="41"/>
      <c r="R8" s="98"/>
      <c r="S8" s="41"/>
      <c r="T8" s="42"/>
      <c r="U8" s="41"/>
      <c r="V8" s="88"/>
    </row>
    <row r="9" spans="1:22" ht="18" thickTop="1" thickBot="1" x14ac:dyDescent="0.35">
      <c r="H9" s="33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89"/>
    </row>
    <row r="10" spans="1:22" ht="82.7" customHeight="1" thickTop="1" x14ac:dyDescent="0.3">
      <c r="A10" s="263" t="s">
        <v>16</v>
      </c>
      <c r="B10" s="264"/>
      <c r="C10" s="65">
        <f>'학교별03.13'!C52</f>
        <v>81</v>
      </c>
      <c r="D10" s="65">
        <f>'학교별03.13'!D52</f>
        <v>0</v>
      </c>
      <c r="E10" s="66">
        <f>'학교별03.13'!E52</f>
        <v>19</v>
      </c>
      <c r="F10" s="67">
        <f>'학교별03.13'!F52</f>
        <v>9</v>
      </c>
      <c r="G10" s="142"/>
      <c r="H10" s="136" t="s">
        <v>25</v>
      </c>
      <c r="I10" s="127">
        <f>'학교별03.13'!H52</f>
        <v>5</v>
      </c>
      <c r="J10" s="128">
        <f>'학교별03.13'!I52</f>
        <v>0</v>
      </c>
      <c r="K10" s="127">
        <f>'학교별03.13'!J52</f>
        <v>0</v>
      </c>
      <c r="L10" s="128">
        <f>'학교별03.13'!K52</f>
        <v>2</v>
      </c>
      <c r="M10" s="127">
        <f>'학교별03.13'!L52</f>
        <v>3</v>
      </c>
      <c r="N10" s="128">
        <f>'학교별03.13'!M52</f>
        <v>0</v>
      </c>
      <c r="O10" s="127">
        <f>'학교별03.13'!N52</f>
        <v>0</v>
      </c>
      <c r="P10" s="128">
        <f>'학교별03.13'!O52</f>
        <v>0</v>
      </c>
      <c r="Q10" s="127">
        <f>'학교별03.13'!P52</f>
        <v>0</v>
      </c>
      <c r="R10" s="128">
        <f>'학교별03.13'!Q52</f>
        <v>0</v>
      </c>
      <c r="S10" s="127">
        <f>'학교별03.13'!R52</f>
        <v>0</v>
      </c>
      <c r="T10" s="128">
        <f>'학교별03.13'!S52</f>
        <v>0</v>
      </c>
      <c r="U10" s="127">
        <f>'학교별03.13'!T52</f>
        <v>0</v>
      </c>
      <c r="V10" s="137">
        <f>'학교별03.13'!U52</f>
        <v>0</v>
      </c>
    </row>
    <row r="11" spans="1:22" ht="82.7" customHeight="1" x14ac:dyDescent="0.3">
      <c r="A11" s="284" t="s">
        <v>179</v>
      </c>
      <c r="B11" s="285"/>
      <c r="C11" s="148">
        <v>-10</v>
      </c>
      <c r="D11" s="145"/>
      <c r="E11" s="146"/>
      <c r="F11" s="147"/>
      <c r="G11" s="143"/>
      <c r="H11" s="40"/>
      <c r="I11" s="41"/>
      <c r="J11" s="42"/>
      <c r="K11" s="41"/>
      <c r="L11" s="42"/>
      <c r="M11" s="41"/>
      <c r="N11" s="42"/>
      <c r="O11" s="41"/>
      <c r="P11" s="42"/>
      <c r="Q11" s="41"/>
      <c r="R11" s="42"/>
      <c r="S11" s="41"/>
      <c r="T11" s="42"/>
      <c r="U11" s="41"/>
      <c r="V11" s="88"/>
    </row>
    <row r="12" spans="1:22" ht="82.7" customHeight="1" thickBot="1" x14ac:dyDescent="0.35">
      <c r="A12" s="265" t="s">
        <v>178</v>
      </c>
      <c r="B12" s="266"/>
      <c r="C12" s="68">
        <v>-38</v>
      </c>
      <c r="D12" s="69"/>
      <c r="E12" s="144">
        <v>-8</v>
      </c>
      <c r="F12" s="71"/>
      <c r="H12" s="33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89"/>
    </row>
    <row r="13" spans="1:22" ht="18" thickTop="1" thickBot="1" x14ac:dyDescent="0.35">
      <c r="H13" s="33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138"/>
    </row>
    <row r="14" spans="1:22" ht="82.7" customHeight="1" thickTop="1" x14ac:dyDescent="0.3">
      <c r="A14" s="282" t="s">
        <v>175</v>
      </c>
      <c r="B14" s="283"/>
      <c r="C14" s="129">
        <f>'학교별03.13'!C62</f>
        <v>64</v>
      </c>
      <c r="D14" s="129">
        <f>'학교별03.13'!D62</f>
        <v>0</v>
      </c>
      <c r="E14" s="130">
        <f>'학교별03.13'!E62</f>
        <v>15</v>
      </c>
      <c r="F14" s="131">
        <f>'학교별03.13'!F62</f>
        <v>49</v>
      </c>
      <c r="G14" s="142"/>
      <c r="H14" s="136" t="s">
        <v>174</v>
      </c>
      <c r="I14" s="127">
        <f>'학교별03.13'!H62</f>
        <v>0</v>
      </c>
      <c r="J14" s="128">
        <f>'학교별03.13'!I62</f>
        <v>0</v>
      </c>
      <c r="K14" s="127">
        <f>'학교별03.13'!J62</f>
        <v>0</v>
      </c>
      <c r="L14" s="128">
        <f>'학교별03.13'!K62</f>
        <v>3</v>
      </c>
      <c r="M14" s="127">
        <f>'학교별03.13'!L62</f>
        <v>6</v>
      </c>
      <c r="N14" s="128">
        <f>'학교별03.13'!M62</f>
        <v>0</v>
      </c>
      <c r="O14" s="127">
        <f>'학교별03.13'!N62</f>
        <v>0</v>
      </c>
      <c r="P14" s="128">
        <f>'학교별03.13'!O62</f>
        <v>0</v>
      </c>
      <c r="Q14" s="127">
        <f>'학교별03.13'!P62</f>
        <v>0</v>
      </c>
      <c r="R14" s="128">
        <f>'학교별03.13'!Q62</f>
        <v>0</v>
      </c>
      <c r="S14" s="127">
        <f>'학교별03.13'!R62</f>
        <v>0</v>
      </c>
      <c r="T14" s="128">
        <f>'학교별03.13'!S62</f>
        <v>0</v>
      </c>
      <c r="U14" s="127">
        <f>'학교별03.13'!T62</f>
        <v>0</v>
      </c>
      <c r="V14" s="137">
        <f>'학교별03.13'!U62</f>
        <v>0</v>
      </c>
    </row>
    <row r="15" spans="1:22" ht="82.7" customHeight="1" thickBot="1" x14ac:dyDescent="0.35">
      <c r="A15" s="280" t="s">
        <v>180</v>
      </c>
      <c r="B15" s="281"/>
      <c r="C15" s="132"/>
      <c r="D15" s="133"/>
      <c r="E15" s="134"/>
      <c r="F15" s="135"/>
      <c r="H15" s="64"/>
      <c r="I15" s="149">
        <v>1</v>
      </c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92"/>
    </row>
    <row r="16" spans="1:22" ht="17.25" thickTop="1" x14ac:dyDescent="0.3"/>
    <row r="18" spans="8:8" x14ac:dyDescent="0.3">
      <c r="H18" t="s">
        <v>83</v>
      </c>
    </row>
  </sheetData>
  <mergeCells count="14">
    <mergeCell ref="A1:B2"/>
    <mergeCell ref="C1:D1"/>
    <mergeCell ref="E1:F1"/>
    <mergeCell ref="H1:H2"/>
    <mergeCell ref="A3:B3"/>
    <mergeCell ref="A4:B4"/>
    <mergeCell ref="A15:B15"/>
    <mergeCell ref="A5:B5"/>
    <mergeCell ref="A7:B7"/>
    <mergeCell ref="A8:B8"/>
    <mergeCell ref="A10:B10"/>
    <mergeCell ref="A12:B12"/>
    <mergeCell ref="A14:B14"/>
    <mergeCell ref="A11:B11"/>
  </mergeCells>
  <phoneticPr fontId="40" type="noConversion"/>
  <conditionalFormatting sqref="A10:A11">
    <cfRule type="duplicateValues" dxfId="139" priority="2"/>
  </conditionalFormatting>
  <conditionalFormatting sqref="A4:A5">
    <cfRule type="duplicateValues" dxfId="138" priority="3"/>
  </conditionalFormatting>
  <conditionalFormatting sqref="A7:A8">
    <cfRule type="duplicateValues" dxfId="137" priority="4"/>
  </conditionalFormatting>
  <conditionalFormatting sqref="A14">
    <cfRule type="duplicateValues" dxfId="136" priority="1"/>
  </conditionalFormatting>
  <printOptions horizontalCentered="1" verticalCentered="1"/>
  <pageMargins left="0" right="0" top="7.874015748031496E-2" bottom="7.874015748031496E-2" header="0" footer="0"/>
  <pageSetup paperSize="9" scale="52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79"/>
  <sheetViews>
    <sheetView zoomScale="70" zoomScaleNormal="70" workbookViewId="0">
      <pane ySplit="3" topLeftCell="A4" activePane="bottomLeft" state="frozen"/>
      <selection sqref="A1:B2"/>
      <selection pane="bottomLeft" sqref="A1:B2"/>
    </sheetView>
  </sheetViews>
  <sheetFormatPr defaultRowHeight="16.5" x14ac:dyDescent="0.3"/>
  <cols>
    <col min="1" max="1" width="9" customWidth="1"/>
    <col min="2" max="2" width="33.75" customWidth="1"/>
    <col min="3" max="3" width="10.75" customWidth="1"/>
    <col min="4" max="4" width="10" customWidth="1"/>
    <col min="5" max="5" width="10.5" customWidth="1"/>
    <col min="6" max="6" width="10" customWidth="1"/>
    <col min="7" max="7" width="4.125" customWidth="1"/>
    <col min="8" max="19" width="10.875" customWidth="1"/>
    <col min="20" max="20" width="5.5" customWidth="1"/>
    <col min="21" max="21" width="10.875" bestFit="1" customWidth="1"/>
  </cols>
  <sheetData>
    <row r="1" spans="1:23" ht="113.25" customHeight="1" x14ac:dyDescent="0.3">
      <c r="A1" s="222" t="s">
        <v>184</v>
      </c>
      <c r="B1" s="223"/>
      <c r="C1" s="226" t="s">
        <v>0</v>
      </c>
      <c r="D1" s="227"/>
      <c r="E1" s="228" t="s">
        <v>19</v>
      </c>
      <c r="F1" s="228"/>
      <c r="G1" s="8"/>
      <c r="H1" s="72" t="s">
        <v>20</v>
      </c>
      <c r="I1" s="150" t="s">
        <v>21</v>
      </c>
      <c r="J1" s="5" t="s">
        <v>7</v>
      </c>
      <c r="K1" s="150" t="s">
        <v>4</v>
      </c>
      <c r="L1" s="5" t="s">
        <v>6</v>
      </c>
      <c r="M1" s="150" t="s">
        <v>5</v>
      </c>
      <c r="N1" s="5" t="s">
        <v>9</v>
      </c>
      <c r="O1" s="150" t="s">
        <v>119</v>
      </c>
      <c r="P1" s="5" t="s">
        <v>8</v>
      </c>
      <c r="Q1" s="150" t="s">
        <v>12</v>
      </c>
      <c r="R1" s="5" t="s">
        <v>95</v>
      </c>
      <c r="S1" s="150" t="s">
        <v>11</v>
      </c>
    </row>
    <row r="2" spans="1:23" ht="43.5" customHeight="1" x14ac:dyDescent="0.3">
      <c r="A2" s="224"/>
      <c r="B2" s="225"/>
      <c r="C2" s="73" t="s">
        <v>2</v>
      </c>
      <c r="D2" s="21" t="s">
        <v>1</v>
      </c>
      <c r="E2" s="1" t="s">
        <v>2</v>
      </c>
      <c r="F2" s="1" t="s">
        <v>1</v>
      </c>
      <c r="G2" s="9"/>
      <c r="H2" s="6" t="s">
        <v>3</v>
      </c>
      <c r="I2" s="1" t="s">
        <v>1</v>
      </c>
      <c r="J2" s="6" t="s">
        <v>3</v>
      </c>
      <c r="K2" s="1" t="s">
        <v>1</v>
      </c>
      <c r="L2" s="6" t="s">
        <v>3</v>
      </c>
      <c r="M2" s="1" t="s">
        <v>1</v>
      </c>
      <c r="N2" s="6" t="s">
        <v>3</v>
      </c>
      <c r="O2" s="1" t="s">
        <v>1</v>
      </c>
      <c r="P2" s="6" t="s">
        <v>3</v>
      </c>
      <c r="Q2" s="1" t="s">
        <v>1</v>
      </c>
      <c r="R2" s="6" t="s">
        <v>3</v>
      </c>
      <c r="S2" s="1" t="s">
        <v>1</v>
      </c>
    </row>
    <row r="3" spans="1:23" ht="26.25" x14ac:dyDescent="0.3">
      <c r="A3" s="97" t="s">
        <v>14</v>
      </c>
      <c r="B3" s="12" t="s">
        <v>10</v>
      </c>
      <c r="C3" s="29">
        <f>C22+C43+C52+C62</f>
        <v>54</v>
      </c>
      <c r="D3" s="29">
        <f>D22+D43+D52+D62</f>
        <v>0</v>
      </c>
      <c r="E3" s="29">
        <f>E22+E43+E52+E62</f>
        <v>20</v>
      </c>
      <c r="F3" s="29">
        <f>F22+F43+F52+F62</f>
        <v>20</v>
      </c>
      <c r="G3" s="151"/>
      <c r="H3" s="2">
        <f t="shared" ref="H3:S3" si="0">H22+H43+H52+H62</f>
        <v>6</v>
      </c>
      <c r="I3" s="2">
        <f t="shared" si="0"/>
        <v>1</v>
      </c>
      <c r="J3" s="2">
        <f t="shared" si="0"/>
        <v>6</v>
      </c>
      <c r="K3" s="2">
        <f t="shared" si="0"/>
        <v>7</v>
      </c>
      <c r="L3" s="2">
        <f t="shared" si="0"/>
        <v>4</v>
      </c>
      <c r="M3" s="2">
        <f t="shared" si="0"/>
        <v>2</v>
      </c>
      <c r="N3" s="2">
        <f t="shared" si="0"/>
        <v>5</v>
      </c>
      <c r="O3" s="2">
        <f t="shared" si="0"/>
        <v>0</v>
      </c>
      <c r="P3" s="2">
        <f t="shared" si="0"/>
        <v>1</v>
      </c>
      <c r="Q3" s="2">
        <f t="shared" si="0"/>
        <v>0</v>
      </c>
      <c r="R3" s="2">
        <f t="shared" si="0"/>
        <v>3</v>
      </c>
      <c r="S3" s="2">
        <f t="shared" si="0"/>
        <v>1</v>
      </c>
      <c r="T3" s="4">
        <f>D3*10</f>
        <v>0</v>
      </c>
      <c r="U3">
        <f>F3*10+E3</f>
        <v>220</v>
      </c>
      <c r="V3" s="4">
        <f>SUM(H3:Q3)</f>
        <v>32</v>
      </c>
      <c r="W3" s="11">
        <f>SUM(T3:V3)</f>
        <v>252</v>
      </c>
    </row>
    <row r="4" spans="1:23" ht="24" customHeight="1" x14ac:dyDescent="0.3">
      <c r="A4" s="229" t="s">
        <v>34</v>
      </c>
      <c r="B4" s="3" t="s">
        <v>160</v>
      </c>
      <c r="C4" s="7"/>
      <c r="D4" s="7"/>
      <c r="E4" s="50"/>
      <c r="F4" s="50"/>
      <c r="G4" s="151"/>
      <c r="H4" s="7"/>
      <c r="I4" s="50"/>
      <c r="J4" s="10"/>
      <c r="K4" s="50"/>
      <c r="L4" s="7"/>
      <c r="M4" s="50"/>
      <c r="N4" s="10"/>
      <c r="O4" s="50"/>
      <c r="P4" s="7"/>
      <c r="Q4" s="50"/>
      <c r="R4" s="7"/>
      <c r="S4" s="50"/>
    </row>
    <row r="5" spans="1:23" ht="24" customHeight="1" x14ac:dyDescent="0.3">
      <c r="A5" s="230"/>
      <c r="B5" s="3" t="s">
        <v>150</v>
      </c>
      <c r="C5" s="7"/>
      <c r="D5" s="7"/>
      <c r="E5" s="50"/>
      <c r="F5" s="50"/>
      <c r="G5" s="151"/>
      <c r="H5" s="7"/>
      <c r="I5" s="50"/>
      <c r="J5" s="10"/>
      <c r="K5" s="50">
        <v>1</v>
      </c>
      <c r="L5" s="7"/>
      <c r="M5" s="50"/>
      <c r="N5" s="10"/>
      <c r="O5" s="50"/>
      <c r="P5" s="7"/>
      <c r="Q5" s="50"/>
      <c r="R5" s="7"/>
      <c r="S5" s="50"/>
    </row>
    <row r="6" spans="1:23" ht="24" customHeight="1" x14ac:dyDescent="0.3">
      <c r="A6" s="230"/>
      <c r="B6" s="3" t="s">
        <v>149</v>
      </c>
      <c r="C6" s="7"/>
      <c r="D6" s="7"/>
      <c r="E6" s="50"/>
      <c r="F6" s="50"/>
      <c r="G6" s="151"/>
      <c r="H6" s="7"/>
      <c r="I6" s="50"/>
      <c r="J6" s="10"/>
      <c r="K6" s="50">
        <v>1</v>
      </c>
      <c r="L6" s="7"/>
      <c r="M6" s="50"/>
      <c r="N6" s="10"/>
      <c r="O6" s="50"/>
      <c r="P6" s="7"/>
      <c r="Q6" s="50"/>
      <c r="R6" s="7"/>
      <c r="S6" s="50">
        <v>1</v>
      </c>
    </row>
    <row r="7" spans="1:23" ht="24" customHeight="1" x14ac:dyDescent="0.3">
      <c r="A7" s="230"/>
      <c r="B7" s="3" t="s">
        <v>156</v>
      </c>
      <c r="C7" s="7"/>
      <c r="D7" s="7"/>
      <c r="E7" s="50"/>
      <c r="F7" s="50"/>
      <c r="G7" s="151"/>
      <c r="H7" s="7"/>
      <c r="I7" s="50"/>
      <c r="J7" s="10"/>
      <c r="K7" s="50">
        <v>1</v>
      </c>
      <c r="L7" s="7"/>
      <c r="M7" s="50"/>
      <c r="N7" s="10"/>
      <c r="O7" s="50"/>
      <c r="P7" s="7">
        <v>1</v>
      </c>
      <c r="Q7" s="50"/>
      <c r="R7" s="7"/>
      <c r="S7" s="50"/>
    </row>
    <row r="8" spans="1:23" ht="24" customHeight="1" x14ac:dyDescent="0.3">
      <c r="A8" s="230"/>
      <c r="B8" s="3" t="s">
        <v>148</v>
      </c>
      <c r="C8" s="77"/>
      <c r="D8" s="7"/>
      <c r="E8" s="50"/>
      <c r="F8" s="50"/>
      <c r="G8" s="63"/>
      <c r="H8" s="7"/>
      <c r="I8" s="50"/>
      <c r="J8" s="10"/>
      <c r="K8" s="50"/>
      <c r="L8" s="7"/>
      <c r="M8" s="50"/>
      <c r="N8" s="10"/>
      <c r="O8" s="50"/>
      <c r="P8" s="7"/>
      <c r="Q8" s="50"/>
      <c r="R8" s="7"/>
      <c r="S8" s="50"/>
    </row>
    <row r="9" spans="1:23" ht="24" customHeight="1" x14ac:dyDescent="0.3">
      <c r="A9" s="230"/>
      <c r="B9" s="3" t="s">
        <v>153</v>
      </c>
      <c r="C9" s="7"/>
      <c r="D9" s="7"/>
      <c r="E9" s="50"/>
      <c r="F9" s="50"/>
      <c r="G9" s="151"/>
      <c r="H9" s="7"/>
      <c r="I9" s="50"/>
      <c r="J9" s="10"/>
      <c r="K9" s="50"/>
      <c r="L9" s="7"/>
      <c r="M9" s="50"/>
      <c r="N9" s="10"/>
      <c r="O9" s="50"/>
      <c r="P9" s="7"/>
      <c r="Q9" s="50"/>
      <c r="R9" s="7"/>
      <c r="S9" s="50"/>
    </row>
    <row r="10" spans="1:23" ht="24" customHeight="1" x14ac:dyDescent="0.3">
      <c r="A10" s="230"/>
      <c r="B10" s="3" t="s">
        <v>158</v>
      </c>
      <c r="C10" s="7"/>
      <c r="D10" s="7"/>
      <c r="E10" s="50"/>
      <c r="F10" s="50"/>
      <c r="G10" s="151"/>
      <c r="H10" s="7"/>
      <c r="I10" s="50"/>
      <c r="J10" s="10"/>
      <c r="K10" s="50"/>
      <c r="L10" s="7"/>
      <c r="M10" s="50"/>
      <c r="N10" s="10"/>
      <c r="O10" s="50"/>
      <c r="P10" s="7"/>
      <c r="Q10" s="50"/>
      <c r="R10" s="7"/>
      <c r="S10" s="50"/>
    </row>
    <row r="11" spans="1:23" ht="24" customHeight="1" x14ac:dyDescent="0.3">
      <c r="A11" s="230"/>
      <c r="B11" s="3" t="s">
        <v>152</v>
      </c>
      <c r="C11" s="7"/>
      <c r="D11" s="7"/>
      <c r="E11" s="50"/>
      <c r="F11" s="50"/>
      <c r="G11" s="151"/>
      <c r="H11" s="7"/>
      <c r="I11" s="50"/>
      <c r="J11" s="10"/>
      <c r="K11" s="50"/>
      <c r="L11" s="7"/>
      <c r="M11" s="50"/>
      <c r="N11" s="10"/>
      <c r="O11" s="50"/>
      <c r="P11" s="7"/>
      <c r="Q11" s="50"/>
      <c r="R11" s="7"/>
      <c r="S11" s="50"/>
    </row>
    <row r="12" spans="1:23" ht="24" customHeight="1" x14ac:dyDescent="0.3">
      <c r="A12" s="230"/>
      <c r="B12" s="3" t="s">
        <v>161</v>
      </c>
      <c r="C12" s="7"/>
      <c r="D12" s="77"/>
      <c r="E12" s="76"/>
      <c r="F12" s="50"/>
      <c r="G12" s="80"/>
      <c r="H12" s="7"/>
      <c r="I12" s="76"/>
      <c r="J12" s="7"/>
      <c r="K12" s="50"/>
      <c r="L12" s="7"/>
      <c r="M12" s="50"/>
      <c r="N12" s="10"/>
      <c r="O12" s="50"/>
      <c r="P12" s="7"/>
      <c r="Q12" s="76"/>
      <c r="R12" s="10"/>
      <c r="S12" s="76"/>
    </row>
    <row r="13" spans="1:23" ht="24" customHeight="1" x14ac:dyDescent="0.3">
      <c r="A13" s="230"/>
      <c r="B13" s="3" t="s">
        <v>154</v>
      </c>
      <c r="C13" s="7"/>
      <c r="D13" s="7"/>
      <c r="E13" s="50"/>
      <c r="F13" s="50"/>
      <c r="G13" s="151"/>
      <c r="H13" s="7"/>
      <c r="I13" s="50"/>
      <c r="J13" s="10"/>
      <c r="K13" s="50"/>
      <c r="L13" s="7"/>
      <c r="M13" s="50">
        <v>1</v>
      </c>
      <c r="N13" s="10"/>
      <c r="O13" s="50"/>
      <c r="P13" s="7"/>
      <c r="Q13" s="50"/>
      <c r="R13" s="7"/>
      <c r="S13" s="50"/>
    </row>
    <row r="14" spans="1:23" ht="24" customHeight="1" x14ac:dyDescent="0.3">
      <c r="A14" s="230"/>
      <c r="B14" s="100" t="s">
        <v>164</v>
      </c>
      <c r="C14" s="7"/>
      <c r="D14" s="7"/>
      <c r="E14" s="50"/>
      <c r="F14" s="50"/>
      <c r="G14" s="151"/>
      <c r="H14" s="7"/>
      <c r="I14" s="50"/>
      <c r="J14" s="10"/>
      <c r="K14" s="50"/>
      <c r="L14" s="7"/>
      <c r="M14" s="50"/>
      <c r="N14" s="10"/>
      <c r="O14" s="50"/>
      <c r="P14" s="7"/>
      <c r="Q14" s="50"/>
      <c r="R14" s="7"/>
      <c r="S14" s="50"/>
    </row>
    <row r="15" spans="1:23" ht="24" customHeight="1" x14ac:dyDescent="0.3">
      <c r="A15" s="230"/>
      <c r="B15" s="3" t="s">
        <v>159</v>
      </c>
      <c r="C15" s="7"/>
      <c r="D15" s="7"/>
      <c r="E15" s="50"/>
      <c r="F15" s="50"/>
      <c r="G15" s="151"/>
      <c r="H15" s="7"/>
      <c r="I15" s="50"/>
      <c r="J15" s="10"/>
      <c r="K15" s="50"/>
      <c r="L15" s="7"/>
      <c r="M15" s="50"/>
      <c r="N15" s="10"/>
      <c r="O15" s="50"/>
      <c r="P15" s="7"/>
      <c r="Q15" s="50"/>
      <c r="R15" s="7"/>
      <c r="S15" s="50"/>
    </row>
    <row r="16" spans="1:23" ht="24" customHeight="1" x14ac:dyDescent="0.3">
      <c r="A16" s="230"/>
      <c r="B16" s="3" t="s">
        <v>147</v>
      </c>
      <c r="C16" s="7"/>
      <c r="D16" s="7"/>
      <c r="E16" s="50"/>
      <c r="F16" s="50"/>
      <c r="G16" s="151"/>
      <c r="H16" s="7"/>
      <c r="I16" s="50"/>
      <c r="J16" s="10"/>
      <c r="K16" s="50"/>
      <c r="L16" s="7"/>
      <c r="M16" s="50"/>
      <c r="N16" s="10"/>
      <c r="O16" s="50"/>
      <c r="P16" s="7"/>
      <c r="Q16" s="50"/>
      <c r="R16" s="7"/>
      <c r="S16" s="50"/>
    </row>
    <row r="17" spans="1:25" ht="24" customHeight="1" x14ac:dyDescent="0.3">
      <c r="A17" s="230"/>
      <c r="B17" s="3" t="s">
        <v>163</v>
      </c>
      <c r="C17" s="7"/>
      <c r="D17" s="7"/>
      <c r="E17" s="50"/>
      <c r="F17" s="50"/>
      <c r="G17" s="151"/>
      <c r="H17" s="7"/>
      <c r="I17" s="50"/>
      <c r="J17" s="10"/>
      <c r="K17" s="50"/>
      <c r="L17" s="7"/>
      <c r="M17" s="50"/>
      <c r="N17" s="10"/>
      <c r="O17" s="50"/>
      <c r="P17" s="7"/>
      <c r="Q17" s="50"/>
      <c r="R17" s="7"/>
      <c r="S17" s="50"/>
    </row>
    <row r="18" spans="1:25" ht="24" customHeight="1" x14ac:dyDescent="0.3">
      <c r="A18" s="230"/>
      <c r="B18" s="3" t="s">
        <v>162</v>
      </c>
      <c r="C18" s="7"/>
      <c r="D18" s="7"/>
      <c r="E18" s="50"/>
      <c r="F18" s="50"/>
      <c r="G18" s="151"/>
      <c r="H18" s="7"/>
      <c r="I18" s="50"/>
      <c r="J18" s="10"/>
      <c r="K18" s="50"/>
      <c r="L18" s="7"/>
      <c r="M18" s="50"/>
      <c r="N18" s="10"/>
      <c r="O18" s="50"/>
      <c r="P18" s="7"/>
      <c r="Q18" s="50"/>
      <c r="R18" s="7"/>
      <c r="S18" s="50"/>
    </row>
    <row r="19" spans="1:25" ht="24" customHeight="1" x14ac:dyDescent="0.3">
      <c r="A19" s="230"/>
      <c r="B19" s="3" t="s">
        <v>155</v>
      </c>
      <c r="C19" s="7"/>
      <c r="D19" s="7"/>
      <c r="E19" s="50"/>
      <c r="F19" s="50"/>
      <c r="G19" s="151"/>
      <c r="H19" s="7"/>
      <c r="I19" s="50"/>
      <c r="J19" s="10"/>
      <c r="K19" s="50"/>
      <c r="L19" s="7"/>
      <c r="M19" s="50"/>
      <c r="N19" s="10"/>
      <c r="O19" s="50"/>
      <c r="P19" s="7"/>
      <c r="Q19" s="50"/>
      <c r="R19" s="7"/>
      <c r="S19" s="50"/>
    </row>
    <row r="20" spans="1:25" ht="24" customHeight="1" x14ac:dyDescent="0.3">
      <c r="A20" s="230"/>
      <c r="B20" s="3" t="s">
        <v>157</v>
      </c>
      <c r="C20" s="7"/>
      <c r="D20" s="7"/>
      <c r="E20" s="50"/>
      <c r="F20" s="50"/>
      <c r="G20" s="151"/>
      <c r="H20" s="7"/>
      <c r="I20" s="50"/>
      <c r="J20" s="10"/>
      <c r="K20" s="50"/>
      <c r="L20" s="7"/>
      <c r="M20" s="50"/>
      <c r="N20" s="10"/>
      <c r="O20" s="50"/>
      <c r="P20" s="7"/>
      <c r="Q20" s="50"/>
      <c r="R20" s="7"/>
      <c r="S20" s="50"/>
    </row>
    <row r="21" spans="1:25" ht="24" customHeight="1" x14ac:dyDescent="0.3">
      <c r="A21" s="230"/>
      <c r="B21" s="3" t="s">
        <v>151</v>
      </c>
      <c r="C21" s="7"/>
      <c r="D21" s="7"/>
      <c r="E21" s="50"/>
      <c r="F21" s="50"/>
      <c r="G21" s="151"/>
      <c r="H21" s="7"/>
      <c r="I21" s="50"/>
      <c r="J21" s="10">
        <v>1</v>
      </c>
      <c r="K21" s="50"/>
      <c r="L21" s="7">
        <v>1</v>
      </c>
      <c r="M21" s="50"/>
      <c r="N21" s="10"/>
      <c r="O21" s="50"/>
      <c r="P21" s="7"/>
      <c r="Q21" s="50"/>
      <c r="R21" s="7"/>
      <c r="S21" s="50"/>
    </row>
    <row r="22" spans="1:25" ht="27" thickBot="1" x14ac:dyDescent="0.35">
      <c r="A22" s="231"/>
      <c r="B22" s="31"/>
      <c r="C22" s="31">
        <f>SUM(C4:C21)</f>
        <v>0</v>
      </c>
      <c r="D22" s="31">
        <f>SUM(D4:D21)</f>
        <v>0</v>
      </c>
      <c r="E22" s="31">
        <f>SUM(E4:E21)</f>
        <v>0</v>
      </c>
      <c r="F22" s="31">
        <f>SUM(F4:F21)</f>
        <v>0</v>
      </c>
      <c r="G22" s="151"/>
      <c r="H22" s="2">
        <f t="shared" ref="H22:S22" si="1">SUM(H4:H21)</f>
        <v>0</v>
      </c>
      <c r="I22" s="2">
        <f t="shared" si="1"/>
        <v>0</v>
      </c>
      <c r="J22" s="2">
        <f t="shared" si="1"/>
        <v>1</v>
      </c>
      <c r="K22" s="2">
        <f t="shared" si="1"/>
        <v>3</v>
      </c>
      <c r="L22" s="2">
        <f t="shared" si="1"/>
        <v>1</v>
      </c>
      <c r="M22" s="2">
        <f t="shared" si="1"/>
        <v>1</v>
      </c>
      <c r="N22" s="2">
        <f t="shared" si="1"/>
        <v>0</v>
      </c>
      <c r="O22" s="2">
        <f t="shared" si="1"/>
        <v>0</v>
      </c>
      <c r="P22" s="2">
        <f t="shared" si="1"/>
        <v>1</v>
      </c>
      <c r="Q22" s="2">
        <f t="shared" si="1"/>
        <v>0</v>
      </c>
      <c r="R22" s="2">
        <f t="shared" si="1"/>
        <v>0</v>
      </c>
      <c r="S22" s="2">
        <f t="shared" si="1"/>
        <v>1</v>
      </c>
      <c r="U22" s="35"/>
      <c r="V22" s="18"/>
      <c r="W22" s="18"/>
    </row>
    <row r="23" spans="1:25" ht="24" customHeight="1" thickTop="1" x14ac:dyDescent="0.3">
      <c r="A23" s="233" t="s">
        <v>27</v>
      </c>
      <c r="B23" s="23" t="s">
        <v>127</v>
      </c>
      <c r="C23" s="28"/>
      <c r="D23" s="28"/>
      <c r="E23" s="15"/>
      <c r="F23" s="16"/>
      <c r="G23" s="25"/>
      <c r="H23" s="43"/>
      <c r="I23" s="50"/>
      <c r="J23" s="10"/>
      <c r="K23" s="50"/>
      <c r="L23" s="7"/>
      <c r="M23" s="50"/>
      <c r="N23" s="7"/>
      <c r="O23" s="50"/>
      <c r="P23" s="7"/>
      <c r="Q23" s="50"/>
      <c r="R23" s="7"/>
      <c r="S23" s="50"/>
      <c r="U23" s="18"/>
      <c r="V23" s="18"/>
      <c r="W23" s="18"/>
      <c r="X23" s="18"/>
      <c r="Y23" s="18"/>
    </row>
    <row r="24" spans="1:25" ht="24" customHeight="1" x14ac:dyDescent="0.3">
      <c r="A24" s="233"/>
      <c r="B24" s="24" t="s">
        <v>128</v>
      </c>
      <c r="C24" s="32"/>
      <c r="D24" s="32"/>
      <c r="E24" s="54"/>
      <c r="F24" s="22"/>
      <c r="G24" s="25"/>
      <c r="H24" s="43"/>
      <c r="I24" s="50"/>
      <c r="J24" s="10"/>
      <c r="K24" s="50"/>
      <c r="L24" s="7"/>
      <c r="M24" s="50"/>
      <c r="N24" s="7"/>
      <c r="O24" s="50"/>
      <c r="P24" s="7"/>
      <c r="Q24" s="50"/>
      <c r="R24" s="7"/>
      <c r="S24" s="50"/>
      <c r="U24" s="18"/>
      <c r="V24" s="18"/>
      <c r="W24" s="18"/>
      <c r="X24" s="18"/>
      <c r="Y24" s="18"/>
    </row>
    <row r="25" spans="1:25" ht="24" customHeight="1" x14ac:dyDescent="0.3">
      <c r="A25" s="233"/>
      <c r="B25" s="24" t="s">
        <v>140</v>
      </c>
      <c r="C25" s="32"/>
      <c r="D25" s="32"/>
      <c r="E25" s="54"/>
      <c r="F25" s="22"/>
      <c r="G25" s="25"/>
      <c r="H25" s="10"/>
      <c r="I25" s="50"/>
      <c r="J25" s="10"/>
      <c r="K25" s="50"/>
      <c r="L25" s="7"/>
      <c r="M25" s="50"/>
      <c r="N25" s="7"/>
      <c r="O25" s="50"/>
      <c r="P25" s="7"/>
      <c r="Q25" s="76"/>
      <c r="R25" s="7"/>
      <c r="S25" s="50"/>
      <c r="U25" s="18"/>
      <c r="V25" s="18"/>
      <c r="W25" s="18"/>
      <c r="X25" s="18"/>
      <c r="Y25" s="18"/>
    </row>
    <row r="26" spans="1:25" ht="24" customHeight="1" x14ac:dyDescent="0.3">
      <c r="A26" s="233"/>
      <c r="B26" s="24" t="s">
        <v>129</v>
      </c>
      <c r="C26" s="32"/>
      <c r="D26" s="32"/>
      <c r="E26" s="54"/>
      <c r="F26" s="22"/>
      <c r="G26" s="25"/>
      <c r="H26" s="43"/>
      <c r="I26" s="50"/>
      <c r="J26" s="10"/>
      <c r="K26" s="50"/>
      <c r="L26" s="7"/>
      <c r="M26" s="50"/>
      <c r="N26" s="7"/>
      <c r="O26" s="50"/>
      <c r="P26" s="7"/>
      <c r="Q26" s="50"/>
      <c r="R26" s="7"/>
      <c r="S26" s="50"/>
      <c r="U26" s="18"/>
      <c r="V26" s="18"/>
      <c r="W26" s="18"/>
      <c r="X26" s="18"/>
      <c r="Y26" s="18"/>
    </row>
    <row r="27" spans="1:25" ht="24" customHeight="1" x14ac:dyDescent="0.3">
      <c r="A27" s="233"/>
      <c r="B27" s="24" t="s">
        <v>145</v>
      </c>
      <c r="C27" s="32"/>
      <c r="D27" s="32"/>
      <c r="E27" s="54"/>
      <c r="F27" s="22"/>
      <c r="G27" s="25"/>
      <c r="H27" s="43"/>
      <c r="I27" s="50"/>
      <c r="J27" s="10"/>
      <c r="K27" s="50">
        <v>1</v>
      </c>
      <c r="L27" s="7">
        <v>1</v>
      </c>
      <c r="M27" s="50">
        <v>1</v>
      </c>
      <c r="N27" s="7">
        <v>1</v>
      </c>
      <c r="O27" s="50"/>
      <c r="P27" s="7"/>
      <c r="Q27" s="50"/>
      <c r="R27" s="7"/>
      <c r="S27" s="50"/>
      <c r="U27" s="18"/>
      <c r="V27" s="18"/>
      <c r="W27" s="18"/>
      <c r="X27" s="18"/>
      <c r="Y27" s="18"/>
    </row>
    <row r="28" spans="1:25" ht="24" customHeight="1" x14ac:dyDescent="0.3">
      <c r="A28" s="233"/>
      <c r="B28" s="24" t="s">
        <v>130</v>
      </c>
      <c r="C28" s="32"/>
      <c r="D28" s="32"/>
      <c r="E28" s="54"/>
      <c r="F28" s="22"/>
      <c r="G28" s="25"/>
      <c r="H28" s="43"/>
      <c r="I28" s="50"/>
      <c r="J28" s="10"/>
      <c r="K28" s="50"/>
      <c r="L28" s="7"/>
      <c r="M28" s="50"/>
      <c r="N28" s="7"/>
      <c r="O28" s="50"/>
      <c r="P28" s="7"/>
      <c r="Q28" s="50"/>
      <c r="R28" s="7"/>
      <c r="S28" s="50"/>
      <c r="U28" s="18"/>
      <c r="V28" s="18"/>
      <c r="W28" s="18"/>
      <c r="X28" s="18"/>
      <c r="Y28" s="18"/>
    </row>
    <row r="29" spans="1:25" ht="24" customHeight="1" x14ac:dyDescent="0.3">
      <c r="A29" s="233"/>
      <c r="B29" s="24" t="s">
        <v>131</v>
      </c>
      <c r="C29" s="32"/>
      <c r="D29" s="32"/>
      <c r="E29" s="54"/>
      <c r="F29" s="22"/>
      <c r="G29" s="25"/>
      <c r="H29" s="43"/>
      <c r="I29" s="50"/>
      <c r="J29" s="10"/>
      <c r="K29" s="50"/>
      <c r="L29" s="7"/>
      <c r="M29" s="50"/>
      <c r="N29" s="7"/>
      <c r="O29" s="50"/>
      <c r="P29" s="7"/>
      <c r="Q29" s="50"/>
      <c r="R29" s="7"/>
      <c r="S29" s="50"/>
      <c r="U29" s="18"/>
      <c r="V29" s="18"/>
      <c r="W29" s="18"/>
      <c r="X29" s="18"/>
      <c r="Y29" s="18"/>
    </row>
    <row r="30" spans="1:25" ht="24" customHeight="1" x14ac:dyDescent="0.3">
      <c r="A30" s="233"/>
      <c r="B30" s="24" t="s">
        <v>132</v>
      </c>
      <c r="C30" s="32"/>
      <c r="D30" s="32"/>
      <c r="E30" s="54"/>
      <c r="F30" s="22"/>
      <c r="G30" s="25"/>
      <c r="H30" s="43"/>
      <c r="I30" s="50"/>
      <c r="J30" s="10"/>
      <c r="K30" s="50"/>
      <c r="L30" s="7"/>
      <c r="M30" s="50"/>
      <c r="N30" s="7"/>
      <c r="O30" s="50"/>
      <c r="P30" s="7"/>
      <c r="Q30" s="50"/>
      <c r="R30" s="7"/>
      <c r="S30" s="50"/>
      <c r="U30" s="18"/>
      <c r="V30" s="18"/>
      <c r="W30" s="18"/>
      <c r="X30" s="18"/>
      <c r="Y30" s="18"/>
    </row>
    <row r="31" spans="1:25" ht="24" customHeight="1" x14ac:dyDescent="0.3">
      <c r="A31" s="233"/>
      <c r="B31" s="24" t="s">
        <v>133</v>
      </c>
      <c r="C31" s="32"/>
      <c r="D31" s="32"/>
      <c r="E31" s="54"/>
      <c r="F31" s="22"/>
      <c r="G31" s="25"/>
      <c r="H31" s="7"/>
      <c r="I31" s="50"/>
      <c r="J31" s="10"/>
      <c r="K31" s="50"/>
      <c r="L31" s="7"/>
      <c r="M31" s="50"/>
      <c r="N31" s="7"/>
      <c r="O31" s="50"/>
      <c r="P31" s="7"/>
      <c r="Q31" s="50"/>
      <c r="R31" s="7"/>
      <c r="S31" s="50"/>
      <c r="U31" s="18"/>
      <c r="V31" s="18"/>
      <c r="W31" s="18"/>
      <c r="X31" s="18"/>
      <c r="Y31" s="18"/>
    </row>
    <row r="32" spans="1:25" ht="24" customHeight="1" x14ac:dyDescent="0.3">
      <c r="A32" s="233"/>
      <c r="B32" s="24" t="s">
        <v>134</v>
      </c>
      <c r="C32" s="32"/>
      <c r="D32" s="32"/>
      <c r="E32" s="54"/>
      <c r="F32" s="22"/>
      <c r="G32" s="25"/>
      <c r="H32" s="43"/>
      <c r="I32" s="50"/>
      <c r="J32" s="10"/>
      <c r="K32" s="50"/>
      <c r="L32" s="7"/>
      <c r="M32" s="50"/>
      <c r="N32" s="7"/>
      <c r="O32" s="50"/>
      <c r="P32" s="7"/>
      <c r="Q32" s="50"/>
      <c r="R32" s="7"/>
      <c r="S32" s="50"/>
      <c r="U32" s="18"/>
      <c r="V32" s="18"/>
      <c r="W32" s="18"/>
      <c r="X32" s="18"/>
      <c r="Y32" s="18"/>
    </row>
    <row r="33" spans="1:25" ht="24" customHeight="1" x14ac:dyDescent="0.3">
      <c r="A33" s="233"/>
      <c r="B33" s="24" t="s">
        <v>135</v>
      </c>
      <c r="C33" s="32"/>
      <c r="D33" s="32"/>
      <c r="E33" s="54"/>
      <c r="F33" s="22"/>
      <c r="G33" s="25"/>
      <c r="H33" s="7"/>
      <c r="I33" s="50"/>
      <c r="J33" s="10"/>
      <c r="K33" s="50"/>
      <c r="L33" s="7"/>
      <c r="M33" s="50"/>
      <c r="N33" s="7"/>
      <c r="O33" s="50"/>
      <c r="P33" s="7"/>
      <c r="Q33" s="50"/>
      <c r="R33" s="7"/>
      <c r="S33" s="50"/>
      <c r="U33" s="18"/>
      <c r="V33" s="18"/>
      <c r="W33" s="18"/>
      <c r="X33" s="18"/>
      <c r="Y33" s="18"/>
    </row>
    <row r="34" spans="1:25" ht="24" customHeight="1" x14ac:dyDescent="0.3">
      <c r="A34" s="233"/>
      <c r="B34" s="24" t="s">
        <v>141</v>
      </c>
      <c r="C34" s="32"/>
      <c r="D34" s="56"/>
      <c r="E34" s="54"/>
      <c r="F34" s="22"/>
      <c r="G34" s="25"/>
      <c r="H34" s="43"/>
      <c r="I34" s="50"/>
      <c r="J34" s="10"/>
      <c r="K34" s="50"/>
      <c r="L34" s="7"/>
      <c r="M34" s="50"/>
      <c r="N34" s="7"/>
      <c r="O34" s="50"/>
      <c r="P34" s="7"/>
      <c r="Q34" s="76"/>
      <c r="R34" s="7"/>
      <c r="S34" s="50"/>
      <c r="U34" s="18"/>
      <c r="V34" s="18"/>
      <c r="W34" s="18"/>
      <c r="X34" s="18"/>
      <c r="Y34" s="18"/>
    </row>
    <row r="35" spans="1:25" ht="24" customHeight="1" x14ac:dyDescent="0.3">
      <c r="A35" s="233"/>
      <c r="B35" s="24" t="s">
        <v>142</v>
      </c>
      <c r="C35" s="32"/>
      <c r="D35" s="32"/>
      <c r="E35" s="54"/>
      <c r="F35" s="22"/>
      <c r="G35" s="25"/>
      <c r="H35" s="43"/>
      <c r="I35" s="50"/>
      <c r="J35" s="10"/>
      <c r="K35" s="50"/>
      <c r="L35" s="7"/>
      <c r="M35" s="50"/>
      <c r="N35" s="7"/>
      <c r="O35" s="50"/>
      <c r="P35" s="7"/>
      <c r="Q35" s="50"/>
      <c r="R35" s="7"/>
      <c r="S35" s="50"/>
      <c r="U35" s="18"/>
      <c r="V35" s="18"/>
      <c r="W35" s="18"/>
      <c r="X35" s="18"/>
      <c r="Y35" s="18"/>
    </row>
    <row r="36" spans="1:25" ht="24" customHeight="1" x14ac:dyDescent="0.3">
      <c r="A36" s="233"/>
      <c r="B36" s="24" t="s">
        <v>144</v>
      </c>
      <c r="C36" s="32"/>
      <c r="D36" s="32"/>
      <c r="E36" s="101"/>
      <c r="F36" s="22"/>
      <c r="G36" s="25"/>
      <c r="H36" s="43"/>
      <c r="I36" s="50"/>
      <c r="J36" s="10"/>
      <c r="K36" s="50"/>
      <c r="L36" s="7"/>
      <c r="M36" s="50"/>
      <c r="N36" s="7"/>
      <c r="O36" s="50"/>
      <c r="P36" s="7"/>
      <c r="Q36" s="50"/>
      <c r="R36" s="7"/>
      <c r="S36" s="50"/>
      <c r="U36" s="18"/>
      <c r="V36" s="18"/>
      <c r="W36" s="18"/>
      <c r="X36" s="18"/>
      <c r="Y36" s="18"/>
    </row>
    <row r="37" spans="1:25" ht="24" customHeight="1" x14ac:dyDescent="0.3">
      <c r="A37" s="233"/>
      <c r="B37" s="24" t="s">
        <v>146</v>
      </c>
      <c r="C37" s="32"/>
      <c r="D37" s="32"/>
      <c r="E37" s="54"/>
      <c r="F37" s="22"/>
      <c r="G37" s="25"/>
      <c r="H37" s="43"/>
      <c r="I37" s="50"/>
      <c r="J37" s="10"/>
      <c r="K37" s="50"/>
      <c r="L37" s="7"/>
      <c r="M37" s="50"/>
      <c r="N37" s="7"/>
      <c r="O37" s="50"/>
      <c r="P37" s="7"/>
      <c r="Q37" s="50"/>
      <c r="R37" s="7"/>
      <c r="S37" s="50"/>
      <c r="U37" s="18"/>
      <c r="V37" s="18"/>
      <c r="W37" s="18"/>
      <c r="X37" s="18"/>
      <c r="Y37" s="18"/>
    </row>
    <row r="38" spans="1:25" ht="24" customHeight="1" x14ac:dyDescent="0.3">
      <c r="A38" s="233"/>
      <c r="B38" s="24" t="s">
        <v>136</v>
      </c>
      <c r="C38" s="32"/>
      <c r="D38" s="32"/>
      <c r="E38" s="54"/>
      <c r="F38" s="22"/>
      <c r="G38" s="25"/>
      <c r="H38" s="43"/>
      <c r="I38" s="50"/>
      <c r="J38" s="10"/>
      <c r="K38" s="50"/>
      <c r="L38" s="7"/>
      <c r="M38" s="50"/>
      <c r="N38" s="7"/>
      <c r="O38" s="50"/>
      <c r="P38" s="7"/>
      <c r="Q38" s="50"/>
      <c r="R38" s="7"/>
      <c r="S38" s="50"/>
      <c r="U38" s="18"/>
      <c r="V38" s="18"/>
      <c r="W38" s="18"/>
      <c r="X38" s="18"/>
      <c r="Y38" s="18"/>
    </row>
    <row r="39" spans="1:25" ht="24" customHeight="1" x14ac:dyDescent="0.3">
      <c r="A39" s="233"/>
      <c r="B39" s="24" t="s">
        <v>138</v>
      </c>
      <c r="C39" s="32"/>
      <c r="D39" s="32"/>
      <c r="E39" s="54"/>
      <c r="F39" s="22"/>
      <c r="G39" s="25"/>
      <c r="H39" s="7"/>
      <c r="I39" s="50"/>
      <c r="J39" s="10"/>
      <c r="K39" s="50"/>
      <c r="L39" s="7"/>
      <c r="M39" s="50"/>
      <c r="N39" s="7"/>
      <c r="O39" s="50"/>
      <c r="P39" s="7"/>
      <c r="Q39" s="50"/>
      <c r="R39" s="7"/>
      <c r="S39" s="50"/>
      <c r="U39" s="18"/>
      <c r="V39" s="18"/>
      <c r="W39" s="18"/>
      <c r="X39" s="18"/>
      <c r="Y39" s="18"/>
    </row>
    <row r="40" spans="1:25" ht="24" customHeight="1" x14ac:dyDescent="0.3">
      <c r="A40" s="233"/>
      <c r="B40" s="24" t="s">
        <v>139</v>
      </c>
      <c r="C40" s="32"/>
      <c r="D40" s="32"/>
      <c r="E40" s="54"/>
      <c r="F40" s="22"/>
      <c r="G40" s="25"/>
      <c r="H40" s="10"/>
      <c r="I40" s="50"/>
      <c r="J40" s="10"/>
      <c r="K40" s="50"/>
      <c r="L40" s="7"/>
      <c r="M40" s="50"/>
      <c r="N40" s="7"/>
      <c r="O40" s="50"/>
      <c r="P40" s="7"/>
      <c r="Q40" s="50"/>
      <c r="R40" s="7"/>
      <c r="S40" s="50"/>
      <c r="U40" s="18"/>
      <c r="V40" s="18"/>
      <c r="W40" s="18"/>
      <c r="X40" s="18"/>
      <c r="Y40" s="18"/>
    </row>
    <row r="41" spans="1:25" ht="24" customHeight="1" x14ac:dyDescent="0.3">
      <c r="A41" s="233"/>
      <c r="B41" s="24" t="s">
        <v>143</v>
      </c>
      <c r="C41" s="32"/>
      <c r="D41" s="32"/>
      <c r="E41" s="54"/>
      <c r="F41" s="22"/>
      <c r="G41" s="25"/>
      <c r="H41" s="10"/>
      <c r="I41" s="50"/>
      <c r="J41" s="10"/>
      <c r="K41" s="50"/>
      <c r="L41" s="7"/>
      <c r="M41" s="50"/>
      <c r="N41" s="7"/>
      <c r="O41" s="50"/>
      <c r="P41" s="7"/>
      <c r="Q41" s="50"/>
      <c r="R41" s="7"/>
      <c r="S41" s="50"/>
      <c r="U41" s="18"/>
      <c r="V41" s="18"/>
      <c r="W41" s="18"/>
      <c r="X41" s="18"/>
      <c r="Y41" s="18"/>
    </row>
    <row r="42" spans="1:25" ht="24" customHeight="1" x14ac:dyDescent="0.3">
      <c r="A42" s="233"/>
      <c r="B42" s="24" t="s">
        <v>137</v>
      </c>
      <c r="C42" s="32"/>
      <c r="D42" s="32"/>
      <c r="E42" s="54"/>
      <c r="F42" s="22"/>
      <c r="G42" s="25"/>
      <c r="H42" s="7"/>
      <c r="I42" s="50"/>
      <c r="J42" s="10"/>
      <c r="K42" s="50"/>
      <c r="L42" s="7"/>
      <c r="M42" s="50"/>
      <c r="N42" s="7"/>
      <c r="O42" s="50"/>
      <c r="P42" s="7"/>
      <c r="Q42" s="50"/>
      <c r="R42" s="7"/>
      <c r="S42" s="50"/>
      <c r="U42" s="18"/>
      <c r="V42" s="18"/>
      <c r="W42" s="18"/>
      <c r="X42" s="18"/>
      <c r="Y42" s="18"/>
    </row>
    <row r="43" spans="1:25" ht="27" thickBot="1" x14ac:dyDescent="0.35">
      <c r="A43" s="233"/>
      <c r="B43" s="26"/>
      <c r="C43" s="27">
        <f>SUM(C23:C42)</f>
        <v>0</v>
      </c>
      <c r="D43" s="27">
        <f>SUM(D23:D42)</f>
        <v>0</v>
      </c>
      <c r="E43" s="27">
        <f>SUM(E23:E42)</f>
        <v>0</v>
      </c>
      <c r="F43" s="125">
        <f>SUM(F23:F42)</f>
        <v>0</v>
      </c>
      <c r="G43" s="151"/>
      <c r="H43" s="2">
        <f t="shared" ref="H43:S43" si="2">SUM(H23:H42)</f>
        <v>0</v>
      </c>
      <c r="I43" s="2">
        <f t="shared" si="2"/>
        <v>0</v>
      </c>
      <c r="J43" s="2">
        <f t="shared" si="2"/>
        <v>0</v>
      </c>
      <c r="K43" s="2">
        <f t="shared" si="2"/>
        <v>1</v>
      </c>
      <c r="L43" s="2">
        <f t="shared" si="2"/>
        <v>1</v>
      </c>
      <c r="M43" s="2">
        <f t="shared" si="2"/>
        <v>1</v>
      </c>
      <c r="N43" s="2">
        <f t="shared" si="2"/>
        <v>1</v>
      </c>
      <c r="O43" s="2">
        <f t="shared" si="2"/>
        <v>0</v>
      </c>
      <c r="P43" s="2">
        <f t="shared" si="2"/>
        <v>0</v>
      </c>
      <c r="Q43" s="2">
        <f t="shared" si="2"/>
        <v>0</v>
      </c>
      <c r="R43" s="2">
        <f t="shared" si="2"/>
        <v>0</v>
      </c>
      <c r="S43" s="2">
        <f t="shared" si="2"/>
        <v>0</v>
      </c>
    </row>
    <row r="44" spans="1:25" ht="24" customHeight="1" thickTop="1" x14ac:dyDescent="0.3">
      <c r="A44" s="252" t="s">
        <v>13</v>
      </c>
      <c r="B44" s="3" t="s">
        <v>28</v>
      </c>
      <c r="C44" s="7"/>
      <c r="D44" s="7"/>
      <c r="E44" s="50"/>
      <c r="F44" s="50">
        <v>4</v>
      </c>
      <c r="G44" s="151"/>
      <c r="H44" s="7"/>
      <c r="I44" s="50"/>
      <c r="J44" s="10"/>
      <c r="K44" s="50"/>
      <c r="L44" s="7"/>
      <c r="M44" s="50"/>
      <c r="N44" s="7"/>
      <c r="O44" s="50"/>
      <c r="P44" s="7"/>
      <c r="Q44" s="50"/>
      <c r="R44" s="7"/>
      <c r="S44" s="50"/>
    </row>
    <row r="45" spans="1:25" ht="24" customHeight="1" x14ac:dyDescent="0.3">
      <c r="A45" s="252"/>
      <c r="B45" s="3" t="s">
        <v>29</v>
      </c>
      <c r="C45" s="77">
        <v>10</v>
      </c>
      <c r="D45" s="7"/>
      <c r="E45" s="50"/>
      <c r="F45" s="50"/>
      <c r="G45" s="151"/>
      <c r="H45" s="7"/>
      <c r="I45" s="50">
        <v>1</v>
      </c>
      <c r="J45" s="10"/>
      <c r="K45" s="50"/>
      <c r="L45" s="7"/>
      <c r="M45" s="50"/>
      <c r="N45" s="7"/>
      <c r="O45" s="50"/>
      <c r="P45" s="7"/>
      <c r="Q45" s="50"/>
      <c r="R45" s="7"/>
      <c r="S45" s="50"/>
    </row>
    <row r="46" spans="1:25" ht="24" customHeight="1" x14ac:dyDescent="0.3">
      <c r="A46" s="252"/>
      <c r="B46" s="3" t="s">
        <v>125</v>
      </c>
      <c r="C46" s="7"/>
      <c r="D46" s="7"/>
      <c r="E46" s="50">
        <v>3</v>
      </c>
      <c r="F46" s="50"/>
      <c r="G46" s="151"/>
      <c r="H46" s="7"/>
      <c r="I46" s="50"/>
      <c r="J46" s="10"/>
      <c r="K46" s="50"/>
      <c r="L46" s="7"/>
      <c r="M46" s="50"/>
      <c r="N46" s="7">
        <v>1</v>
      </c>
      <c r="O46" s="50"/>
      <c r="P46" s="7"/>
      <c r="Q46" s="50"/>
      <c r="R46" s="7"/>
      <c r="S46" s="50"/>
    </row>
    <row r="47" spans="1:25" ht="24" customHeight="1" x14ac:dyDescent="0.3">
      <c r="A47" s="252"/>
      <c r="B47" s="3" t="s">
        <v>121</v>
      </c>
      <c r="C47" s="7"/>
      <c r="D47" s="7"/>
      <c r="E47" s="50"/>
      <c r="F47" s="50"/>
      <c r="G47" s="151"/>
      <c r="H47" s="7"/>
      <c r="I47" s="50"/>
      <c r="J47" s="10"/>
      <c r="K47" s="50"/>
      <c r="L47" s="7"/>
      <c r="M47" s="50"/>
      <c r="N47" s="7"/>
      <c r="O47" s="50"/>
      <c r="P47" s="7"/>
      <c r="Q47" s="50"/>
      <c r="R47" s="7"/>
      <c r="S47" s="50"/>
    </row>
    <row r="48" spans="1:25" ht="24" customHeight="1" x14ac:dyDescent="0.3">
      <c r="A48" s="252"/>
      <c r="B48" s="3" t="s">
        <v>122</v>
      </c>
      <c r="C48" s="7"/>
      <c r="D48" s="7"/>
      <c r="E48" s="50"/>
      <c r="F48" s="50"/>
      <c r="G48" s="151"/>
      <c r="H48" s="7"/>
      <c r="I48" s="50"/>
      <c r="J48" s="10"/>
      <c r="K48" s="50"/>
      <c r="L48" s="7"/>
      <c r="M48" s="50"/>
      <c r="N48" s="7"/>
      <c r="O48" s="50"/>
      <c r="P48" s="7"/>
      <c r="Q48" s="50"/>
      <c r="R48" s="7"/>
      <c r="S48" s="50"/>
    </row>
    <row r="49" spans="1:37" ht="24" customHeight="1" x14ac:dyDescent="0.3">
      <c r="A49" s="252"/>
      <c r="B49" s="3" t="s">
        <v>123</v>
      </c>
      <c r="C49" s="7"/>
      <c r="D49" s="7"/>
      <c r="E49" s="50"/>
      <c r="F49" s="50"/>
      <c r="G49" s="151"/>
      <c r="H49" s="7"/>
      <c r="I49" s="50"/>
      <c r="J49" s="10"/>
      <c r="K49" s="50"/>
      <c r="L49" s="7"/>
      <c r="M49" s="50"/>
      <c r="N49" s="7"/>
      <c r="O49" s="50"/>
      <c r="P49" s="7"/>
      <c r="Q49" s="50"/>
      <c r="R49" s="7"/>
      <c r="S49" s="50"/>
    </row>
    <row r="50" spans="1:37" ht="24" customHeight="1" x14ac:dyDescent="0.3">
      <c r="A50" s="252"/>
      <c r="B50" s="100" t="s">
        <v>126</v>
      </c>
      <c r="C50" s="77"/>
      <c r="D50" s="7"/>
      <c r="E50" s="76"/>
      <c r="F50" s="50"/>
      <c r="G50" s="151"/>
      <c r="H50" s="7">
        <v>3</v>
      </c>
      <c r="I50" s="50"/>
      <c r="J50" s="10"/>
      <c r="K50" s="50"/>
      <c r="L50" s="7"/>
      <c r="M50" s="50"/>
      <c r="N50" s="7"/>
      <c r="O50" s="50"/>
      <c r="P50" s="7"/>
      <c r="Q50" s="50"/>
      <c r="R50" s="7"/>
      <c r="S50" s="50"/>
    </row>
    <row r="51" spans="1:37" ht="24" customHeight="1" x14ac:dyDescent="0.3">
      <c r="A51" s="252"/>
      <c r="B51" s="100" t="s">
        <v>124</v>
      </c>
      <c r="C51" s="7">
        <v>14</v>
      </c>
      <c r="D51" s="7"/>
      <c r="E51" s="50">
        <v>2</v>
      </c>
      <c r="F51" s="50"/>
      <c r="G51" s="151"/>
      <c r="H51" s="7">
        <v>2</v>
      </c>
      <c r="I51" s="50"/>
      <c r="J51" s="10"/>
      <c r="K51" s="50"/>
      <c r="L51" s="7">
        <v>2</v>
      </c>
      <c r="M51" s="50"/>
      <c r="N51" s="7"/>
      <c r="O51" s="50"/>
      <c r="P51" s="7"/>
      <c r="Q51" s="50"/>
      <c r="R51" s="7"/>
      <c r="S51" s="50"/>
    </row>
    <row r="52" spans="1:37" ht="26.25" x14ac:dyDescent="0.3">
      <c r="A52" s="279"/>
      <c r="B52" s="122"/>
      <c r="C52" s="123">
        <f>SUM(C44:C51)</f>
        <v>24</v>
      </c>
      <c r="D52" s="123">
        <f>SUM(D44:D51)</f>
        <v>0</v>
      </c>
      <c r="E52" s="123">
        <f>SUM(E44:E51)</f>
        <v>5</v>
      </c>
      <c r="F52" s="123">
        <f>SUM(F44:F51)</f>
        <v>4</v>
      </c>
      <c r="G52" s="151"/>
      <c r="H52" s="2">
        <f t="shared" ref="H52:S52" si="3">SUM(H44:H51)</f>
        <v>5</v>
      </c>
      <c r="I52" s="123">
        <f t="shared" si="3"/>
        <v>1</v>
      </c>
      <c r="J52" s="123">
        <f t="shared" si="3"/>
        <v>0</v>
      </c>
      <c r="K52" s="123">
        <f t="shared" si="3"/>
        <v>0</v>
      </c>
      <c r="L52" s="123">
        <f t="shared" si="3"/>
        <v>2</v>
      </c>
      <c r="M52" s="123">
        <f t="shared" si="3"/>
        <v>0</v>
      </c>
      <c r="N52" s="123">
        <f t="shared" si="3"/>
        <v>1</v>
      </c>
      <c r="O52" s="123">
        <f t="shared" si="3"/>
        <v>0</v>
      </c>
      <c r="P52" s="123">
        <f t="shared" si="3"/>
        <v>0</v>
      </c>
      <c r="Q52" s="123">
        <f t="shared" si="3"/>
        <v>0</v>
      </c>
      <c r="R52" s="123">
        <f t="shared" si="3"/>
        <v>0</v>
      </c>
      <c r="S52" s="123">
        <f t="shared" si="3"/>
        <v>0</v>
      </c>
      <c r="Y52" s="254"/>
      <c r="Z52" s="254"/>
      <c r="AA52" s="254"/>
      <c r="AB52" s="254"/>
      <c r="AD52" s="234"/>
      <c r="AE52" s="234"/>
      <c r="AF52" s="234"/>
      <c r="AG52" s="234"/>
      <c r="AH52" s="234"/>
      <c r="AJ52" s="234"/>
      <c r="AK52" s="234"/>
    </row>
    <row r="53" spans="1:37" ht="24" customHeight="1" x14ac:dyDescent="0.3">
      <c r="A53" s="253" t="s">
        <v>118</v>
      </c>
      <c r="B53" s="3" t="s">
        <v>171</v>
      </c>
      <c r="C53" s="7"/>
      <c r="D53" s="7"/>
      <c r="E53" s="50"/>
      <c r="F53" s="50">
        <v>3</v>
      </c>
      <c r="G53" s="151"/>
      <c r="H53" s="7"/>
      <c r="I53" s="50"/>
      <c r="J53" s="10"/>
      <c r="K53" s="50"/>
      <c r="L53" s="7"/>
      <c r="M53" s="50"/>
      <c r="N53" s="7"/>
      <c r="O53" s="50"/>
      <c r="P53" s="7"/>
      <c r="Q53" s="50"/>
      <c r="R53" s="7"/>
      <c r="S53" s="50"/>
    </row>
    <row r="54" spans="1:37" ht="24" customHeight="1" x14ac:dyDescent="0.3">
      <c r="A54" s="253"/>
      <c r="B54" s="3" t="s">
        <v>168</v>
      </c>
      <c r="C54" s="7">
        <v>2</v>
      </c>
      <c r="D54" s="7"/>
      <c r="E54" s="50"/>
      <c r="F54" s="50">
        <v>5</v>
      </c>
      <c r="G54" s="151"/>
      <c r="H54" s="7"/>
      <c r="I54" s="50"/>
      <c r="J54" s="10"/>
      <c r="K54" s="50"/>
      <c r="L54" s="7"/>
      <c r="M54" s="50"/>
      <c r="N54" s="7"/>
      <c r="O54" s="50"/>
      <c r="P54" s="7"/>
      <c r="Q54" s="50"/>
      <c r="R54" s="7">
        <v>1</v>
      </c>
      <c r="S54" s="50"/>
    </row>
    <row r="55" spans="1:37" ht="24" customHeight="1" x14ac:dyDescent="0.3">
      <c r="A55" s="253"/>
      <c r="B55" s="3" t="s">
        <v>170</v>
      </c>
      <c r="C55" s="7"/>
      <c r="D55" s="7"/>
      <c r="E55" s="50"/>
      <c r="F55" s="50">
        <v>7</v>
      </c>
      <c r="G55" s="151"/>
      <c r="H55" s="7"/>
      <c r="I55" s="50"/>
      <c r="J55" s="10"/>
      <c r="L55" s="7"/>
      <c r="M55" s="50"/>
      <c r="N55" s="7"/>
      <c r="O55" s="50"/>
      <c r="P55" s="7"/>
      <c r="Q55" s="50"/>
      <c r="R55" s="7"/>
      <c r="S55" s="50"/>
    </row>
    <row r="56" spans="1:37" ht="24" customHeight="1" x14ac:dyDescent="0.3">
      <c r="A56" s="253"/>
      <c r="B56" s="100" t="s">
        <v>166</v>
      </c>
      <c r="C56" s="7">
        <v>20</v>
      </c>
      <c r="D56" s="7"/>
      <c r="E56" s="50">
        <v>10</v>
      </c>
      <c r="F56" s="50"/>
      <c r="G56" s="151"/>
      <c r="H56" s="7"/>
      <c r="I56" s="50"/>
      <c r="J56" s="10">
        <v>2</v>
      </c>
      <c r="K56" s="50"/>
      <c r="L56" s="7"/>
      <c r="M56" s="50"/>
      <c r="N56" s="7"/>
      <c r="O56" s="50"/>
      <c r="P56" s="7"/>
      <c r="Q56" s="50"/>
      <c r="R56" s="7">
        <v>2</v>
      </c>
      <c r="S56" s="50"/>
    </row>
    <row r="57" spans="1:37" ht="24" customHeight="1" x14ac:dyDescent="0.3">
      <c r="A57" s="253"/>
      <c r="B57" s="100" t="s">
        <v>167</v>
      </c>
      <c r="C57" s="7">
        <v>8</v>
      </c>
      <c r="D57" s="7"/>
      <c r="E57" s="50">
        <v>5</v>
      </c>
      <c r="F57" s="50"/>
      <c r="G57" s="151"/>
      <c r="H57" s="7"/>
      <c r="I57" s="50"/>
      <c r="J57" s="10"/>
      <c r="K57" s="50">
        <v>1</v>
      </c>
      <c r="L57" s="7"/>
      <c r="M57" s="50"/>
      <c r="N57" s="7">
        <v>1</v>
      </c>
      <c r="O57" s="50"/>
      <c r="P57" s="7"/>
      <c r="Q57" s="50"/>
      <c r="R57" s="7"/>
      <c r="S57" s="50"/>
    </row>
    <row r="58" spans="1:37" ht="24" customHeight="1" x14ac:dyDescent="0.3">
      <c r="A58" s="253"/>
      <c r="B58" s="100" t="s">
        <v>172</v>
      </c>
      <c r="C58" s="7"/>
      <c r="D58" s="7"/>
      <c r="E58" s="50"/>
      <c r="F58" s="50"/>
      <c r="G58" s="151"/>
      <c r="H58" s="7"/>
      <c r="I58" s="50"/>
      <c r="J58" s="10">
        <v>2</v>
      </c>
      <c r="K58" s="50">
        <v>2</v>
      </c>
      <c r="L58" s="7"/>
      <c r="M58" s="50"/>
      <c r="N58" s="7">
        <v>2</v>
      </c>
      <c r="O58" s="50"/>
      <c r="P58" s="7"/>
      <c r="Q58" s="50"/>
      <c r="R58" s="7"/>
      <c r="S58" s="50"/>
    </row>
    <row r="59" spans="1:37" ht="24" customHeight="1" x14ac:dyDescent="0.3">
      <c r="A59" s="253"/>
      <c r="B59" s="100" t="s">
        <v>165</v>
      </c>
      <c r="C59" s="7"/>
      <c r="D59" s="7"/>
      <c r="E59" s="50"/>
      <c r="F59" s="50"/>
      <c r="G59" s="151"/>
      <c r="H59" s="7"/>
      <c r="I59" s="50"/>
      <c r="J59" s="10"/>
      <c r="K59" s="50"/>
      <c r="L59" s="7"/>
      <c r="M59" s="50"/>
      <c r="N59" s="7"/>
      <c r="O59" s="50"/>
      <c r="P59" s="7"/>
      <c r="Q59" s="50"/>
      <c r="R59" s="7"/>
      <c r="S59" s="50"/>
    </row>
    <row r="60" spans="1:37" ht="24" customHeight="1" x14ac:dyDescent="0.3">
      <c r="A60" s="253"/>
      <c r="B60" s="3" t="s">
        <v>173</v>
      </c>
      <c r="C60" s="7"/>
      <c r="D60" s="7"/>
      <c r="E60" s="50"/>
      <c r="F60" s="50">
        <v>1</v>
      </c>
      <c r="G60" s="151"/>
      <c r="H60" s="7"/>
      <c r="I60" s="50"/>
      <c r="J60" s="10">
        <v>1</v>
      </c>
      <c r="K60" s="50"/>
      <c r="L60" s="7"/>
      <c r="M60" s="50"/>
      <c r="N60" s="7"/>
      <c r="O60" s="50"/>
      <c r="P60" s="7"/>
      <c r="Q60" s="50"/>
      <c r="R60" s="7"/>
      <c r="S60" s="50"/>
    </row>
    <row r="61" spans="1:37" ht="24" customHeight="1" x14ac:dyDescent="0.3">
      <c r="A61" s="253"/>
      <c r="B61" s="3" t="s">
        <v>169</v>
      </c>
      <c r="C61" s="7"/>
      <c r="D61" s="7"/>
      <c r="E61" s="50"/>
      <c r="F61" s="50"/>
      <c r="G61" s="151"/>
      <c r="H61" s="7">
        <v>1</v>
      </c>
      <c r="I61" s="50"/>
      <c r="J61" s="10"/>
      <c r="K61" s="50"/>
      <c r="L61" s="7"/>
      <c r="M61" s="50"/>
      <c r="N61" s="7"/>
      <c r="O61" s="50"/>
      <c r="P61" s="7"/>
      <c r="Q61" s="50"/>
      <c r="R61" s="7"/>
      <c r="S61" s="50"/>
    </row>
    <row r="62" spans="1:37" ht="26.25" x14ac:dyDescent="0.3">
      <c r="A62" s="253"/>
      <c r="B62" s="2"/>
      <c r="C62" s="2">
        <f>SUM(C53:C61)</f>
        <v>30</v>
      </c>
      <c r="D62" s="2">
        <f>SUM(D53:D61)</f>
        <v>0</v>
      </c>
      <c r="E62" s="2">
        <f>SUM(E53:E61)</f>
        <v>15</v>
      </c>
      <c r="F62" s="2">
        <f>SUM(F53:F61)</f>
        <v>16</v>
      </c>
      <c r="G62" s="151"/>
      <c r="H62" s="2">
        <f t="shared" ref="H62:S62" si="4">SUM(H53:H61)</f>
        <v>1</v>
      </c>
      <c r="I62" s="2">
        <f t="shared" si="4"/>
        <v>0</v>
      </c>
      <c r="J62" s="2">
        <f t="shared" si="4"/>
        <v>5</v>
      </c>
      <c r="K62" s="2">
        <f t="shared" si="4"/>
        <v>3</v>
      </c>
      <c r="L62" s="2">
        <f t="shared" si="4"/>
        <v>0</v>
      </c>
      <c r="M62" s="2">
        <f t="shared" si="4"/>
        <v>0</v>
      </c>
      <c r="N62" s="2">
        <f t="shared" si="4"/>
        <v>3</v>
      </c>
      <c r="O62" s="2">
        <f t="shared" si="4"/>
        <v>0</v>
      </c>
      <c r="P62" s="2">
        <f t="shared" si="4"/>
        <v>0</v>
      </c>
      <c r="Q62" s="2">
        <f t="shared" si="4"/>
        <v>0</v>
      </c>
      <c r="R62" s="2">
        <f t="shared" si="4"/>
        <v>3</v>
      </c>
      <c r="S62" s="2">
        <f t="shared" si="4"/>
        <v>0</v>
      </c>
      <c r="Y62" s="254"/>
      <c r="Z62" s="254"/>
      <c r="AA62" s="254"/>
      <c r="AB62" s="254"/>
      <c r="AD62" s="234"/>
      <c r="AE62" s="234"/>
      <c r="AF62" s="234"/>
      <c r="AG62" s="234"/>
      <c r="AH62" s="234"/>
      <c r="AJ62" s="234"/>
      <c r="AK62" s="234"/>
    </row>
    <row r="64" spans="1:37" ht="19.5" customHeight="1" x14ac:dyDescent="0.35">
      <c r="A64" s="235" t="s">
        <v>23</v>
      </c>
      <c r="B64" s="235"/>
      <c r="C64" s="126">
        <v>47000</v>
      </c>
      <c r="D64" s="126">
        <v>4700</v>
      </c>
      <c r="E64" s="126">
        <v>58000</v>
      </c>
      <c r="F64" s="126">
        <v>5800</v>
      </c>
      <c r="H64" s="126">
        <v>5800</v>
      </c>
      <c r="I64" s="126">
        <v>4700</v>
      </c>
      <c r="J64" s="20">
        <v>6800</v>
      </c>
      <c r="K64" s="20">
        <v>5200</v>
      </c>
      <c r="L64" s="20">
        <v>20700</v>
      </c>
      <c r="M64" s="20">
        <v>6400</v>
      </c>
      <c r="N64" s="20">
        <v>18700</v>
      </c>
      <c r="O64" s="126">
        <v>25700</v>
      </c>
      <c r="P64" s="126">
        <v>8800</v>
      </c>
      <c r="Q64" s="20">
        <v>21700</v>
      </c>
      <c r="R64" s="20">
        <v>15000</v>
      </c>
      <c r="S64" s="20">
        <v>18000</v>
      </c>
      <c r="U64" s="236">
        <f>P67*0.85</f>
        <v>3562860</v>
      </c>
      <c r="V64" s="237"/>
      <c r="W64" s="238"/>
      <c r="Y64" s="242">
        <f>P69-P67</f>
        <v>0</v>
      </c>
      <c r="Z64" s="243"/>
      <c r="AA64" s="243"/>
      <c r="AB64" s="243"/>
      <c r="AD64" s="234"/>
      <c r="AE64" s="234"/>
      <c r="AF64" s="234"/>
      <c r="AG64" s="234"/>
      <c r="AH64" s="234"/>
      <c r="AJ64" s="234"/>
      <c r="AK64" s="234"/>
    </row>
    <row r="65" spans="1:37" ht="19.5" customHeight="1" x14ac:dyDescent="0.35">
      <c r="A65" s="235" t="s">
        <v>24</v>
      </c>
      <c r="B65" s="235"/>
      <c r="C65" s="20">
        <f>C64*C3</f>
        <v>2538000</v>
      </c>
      <c r="D65" s="20">
        <f>D64*D3</f>
        <v>0</v>
      </c>
      <c r="E65" s="20">
        <f>E64*E3</f>
        <v>1160000</v>
      </c>
      <c r="F65" s="20">
        <f>F64*F3</f>
        <v>116000</v>
      </c>
      <c r="H65" s="20">
        <f t="shared" ref="H65:S65" si="5">H64*H3</f>
        <v>34800</v>
      </c>
      <c r="I65" s="20">
        <f t="shared" si="5"/>
        <v>4700</v>
      </c>
      <c r="J65" s="20">
        <f t="shared" si="5"/>
        <v>40800</v>
      </c>
      <c r="K65" s="20">
        <f t="shared" si="5"/>
        <v>36400</v>
      </c>
      <c r="L65" s="20">
        <f t="shared" si="5"/>
        <v>82800</v>
      </c>
      <c r="M65" s="20">
        <f t="shared" si="5"/>
        <v>12800</v>
      </c>
      <c r="N65" s="20">
        <f t="shared" si="5"/>
        <v>93500</v>
      </c>
      <c r="O65" s="20">
        <f t="shared" si="5"/>
        <v>0</v>
      </c>
      <c r="P65" s="20">
        <f t="shared" si="5"/>
        <v>8800</v>
      </c>
      <c r="Q65" s="20">
        <f t="shared" si="5"/>
        <v>0</v>
      </c>
      <c r="R65" s="20">
        <f t="shared" si="5"/>
        <v>45000</v>
      </c>
      <c r="S65" s="20">
        <f t="shared" si="5"/>
        <v>18000</v>
      </c>
      <c r="U65" s="239"/>
      <c r="V65" s="240"/>
      <c r="W65" s="241"/>
      <c r="Y65" s="243"/>
      <c r="Z65" s="243"/>
      <c r="AA65" s="243"/>
      <c r="AB65" s="243"/>
      <c r="AD65" s="234"/>
      <c r="AE65" s="234"/>
      <c r="AF65" s="234"/>
      <c r="AG65" s="234"/>
      <c r="AH65" s="234"/>
      <c r="AJ65" s="234"/>
      <c r="AK65" s="234"/>
    </row>
    <row r="67" spans="1:37" ht="26.25" x14ac:dyDescent="0.3">
      <c r="P67" s="259">
        <f>SUM(C65:S65)</f>
        <v>4191600</v>
      </c>
      <c r="Q67" s="260"/>
      <c r="U67" s="247"/>
      <c r="V67" s="248"/>
      <c r="W67" s="248"/>
      <c r="Y67" s="249"/>
      <c r="Z67" s="250"/>
      <c r="AA67" s="250"/>
      <c r="AB67" s="251"/>
    </row>
    <row r="69" spans="1:37" ht="26.25" x14ac:dyDescent="0.3">
      <c r="C69" s="244"/>
      <c r="D69" s="245"/>
      <c r="P69" s="246">
        <v>4191600</v>
      </c>
      <c r="Q69" s="246"/>
      <c r="U69" s="247">
        <f>P69*0.85</f>
        <v>3562860</v>
      </c>
      <c r="V69" s="248"/>
      <c r="W69" s="248"/>
      <c r="Y69" s="249"/>
      <c r="Z69" s="250"/>
      <c r="AA69" s="250"/>
      <c r="AB69" s="251"/>
    </row>
    <row r="70" spans="1:37" x14ac:dyDescent="0.3">
      <c r="Q70" s="18"/>
      <c r="S70" s="18"/>
      <c r="U70" s="245"/>
      <c r="V70" s="245"/>
      <c r="W70" s="245"/>
      <c r="Y70" s="255"/>
      <c r="Z70" s="256"/>
      <c r="AA70" s="256"/>
      <c r="AB70" s="256"/>
    </row>
    <row r="71" spans="1:37" x14ac:dyDescent="0.3">
      <c r="P71" s="244"/>
      <c r="Q71" s="245"/>
      <c r="U71" s="245"/>
      <c r="V71" s="245"/>
      <c r="W71" s="245"/>
      <c r="Y71" s="245"/>
      <c r="Z71" s="245"/>
      <c r="AA71" s="245"/>
      <c r="AB71" s="245"/>
    </row>
    <row r="72" spans="1:37" x14ac:dyDescent="0.3">
      <c r="P72" s="245"/>
      <c r="Q72" s="245"/>
      <c r="U72" s="245"/>
      <c r="V72" s="245"/>
      <c r="W72" s="245"/>
      <c r="Y72" s="245"/>
      <c r="Z72" s="245"/>
      <c r="AA72" s="245"/>
      <c r="AB72" s="245"/>
    </row>
    <row r="73" spans="1:37" x14ac:dyDescent="0.3">
      <c r="P73" s="18"/>
      <c r="Q73" s="18"/>
      <c r="S73" s="18"/>
      <c r="Y73" s="245"/>
      <c r="Z73" s="245"/>
      <c r="AA73" s="245"/>
      <c r="AB73" s="245"/>
    </row>
    <row r="74" spans="1:37" x14ac:dyDescent="0.3">
      <c r="C74">
        <f>C64*0.85</f>
        <v>39950</v>
      </c>
      <c r="D74">
        <f t="shared" ref="D74:R74" si="6">D64*0.85</f>
        <v>3995</v>
      </c>
      <c r="E74">
        <f t="shared" si="6"/>
        <v>49300</v>
      </c>
      <c r="F74">
        <f t="shared" si="6"/>
        <v>4930</v>
      </c>
      <c r="H74">
        <f t="shared" si="6"/>
        <v>4930</v>
      </c>
      <c r="I74">
        <f t="shared" si="6"/>
        <v>3995</v>
      </c>
      <c r="J74">
        <f t="shared" si="6"/>
        <v>5780</v>
      </c>
      <c r="K74">
        <f t="shared" si="6"/>
        <v>4420</v>
      </c>
      <c r="L74">
        <f t="shared" si="6"/>
        <v>17595</v>
      </c>
      <c r="M74">
        <f t="shared" si="6"/>
        <v>5440</v>
      </c>
      <c r="N74">
        <f t="shared" si="6"/>
        <v>15895</v>
      </c>
      <c r="O74">
        <f t="shared" si="6"/>
        <v>21845</v>
      </c>
      <c r="P74">
        <f t="shared" si="6"/>
        <v>7480</v>
      </c>
      <c r="Q74">
        <f t="shared" si="6"/>
        <v>18445</v>
      </c>
      <c r="R74">
        <f t="shared" si="6"/>
        <v>12750</v>
      </c>
      <c r="S74">
        <f>S64*0.85</f>
        <v>15300</v>
      </c>
    </row>
    <row r="75" spans="1:37" x14ac:dyDescent="0.3">
      <c r="C75">
        <v>29500</v>
      </c>
      <c r="D75">
        <v>2950</v>
      </c>
      <c r="E75">
        <v>51000</v>
      </c>
      <c r="F75">
        <v>5100</v>
      </c>
      <c r="H75">
        <v>3600</v>
      </c>
      <c r="I75">
        <v>2950</v>
      </c>
      <c r="J75">
        <v>4000</v>
      </c>
      <c r="K75">
        <v>4200</v>
      </c>
      <c r="L75">
        <v>15000</v>
      </c>
      <c r="M75">
        <v>4500</v>
      </c>
      <c r="N75">
        <v>9500</v>
      </c>
      <c r="O75">
        <v>12000</v>
      </c>
      <c r="P75">
        <v>8000</v>
      </c>
      <c r="Q75">
        <v>12000</v>
      </c>
      <c r="R75">
        <v>8500</v>
      </c>
    </row>
    <row r="76" spans="1:37" x14ac:dyDescent="0.3">
      <c r="C76">
        <f>C74-C75</f>
        <v>10450</v>
      </c>
      <c r="D76">
        <f t="shared" ref="D76:R76" si="7">D74-D75</f>
        <v>1045</v>
      </c>
      <c r="E76">
        <f t="shared" si="7"/>
        <v>-1700</v>
      </c>
      <c r="F76">
        <f t="shared" si="7"/>
        <v>-170</v>
      </c>
      <c r="H76">
        <f t="shared" si="7"/>
        <v>1330</v>
      </c>
      <c r="I76">
        <f t="shared" si="7"/>
        <v>1045</v>
      </c>
      <c r="J76">
        <f t="shared" si="7"/>
        <v>1780</v>
      </c>
      <c r="K76">
        <f t="shared" si="7"/>
        <v>220</v>
      </c>
      <c r="L76">
        <f t="shared" si="7"/>
        <v>2595</v>
      </c>
      <c r="M76">
        <f t="shared" si="7"/>
        <v>940</v>
      </c>
      <c r="N76">
        <f t="shared" si="7"/>
        <v>6395</v>
      </c>
      <c r="O76">
        <f t="shared" si="7"/>
        <v>9845</v>
      </c>
      <c r="P76">
        <f t="shared" si="7"/>
        <v>-520</v>
      </c>
      <c r="Q76">
        <f t="shared" si="7"/>
        <v>6445</v>
      </c>
      <c r="R76">
        <f t="shared" si="7"/>
        <v>4250</v>
      </c>
    </row>
    <row r="77" spans="1:37" x14ac:dyDescent="0.3">
      <c r="C77">
        <f t="shared" ref="C77:R77" si="8">C76*C3</f>
        <v>564300</v>
      </c>
      <c r="D77">
        <f t="shared" si="8"/>
        <v>0</v>
      </c>
      <c r="E77">
        <f t="shared" si="8"/>
        <v>-34000</v>
      </c>
      <c r="F77">
        <f t="shared" si="8"/>
        <v>-3400</v>
      </c>
      <c r="G77">
        <f t="shared" si="8"/>
        <v>0</v>
      </c>
      <c r="H77">
        <f t="shared" si="8"/>
        <v>7980</v>
      </c>
      <c r="I77">
        <f t="shared" si="8"/>
        <v>1045</v>
      </c>
      <c r="J77">
        <f t="shared" si="8"/>
        <v>10680</v>
      </c>
      <c r="K77">
        <f t="shared" si="8"/>
        <v>1540</v>
      </c>
      <c r="L77">
        <f t="shared" si="8"/>
        <v>10380</v>
      </c>
      <c r="M77">
        <f t="shared" si="8"/>
        <v>1880</v>
      </c>
      <c r="N77">
        <f t="shared" si="8"/>
        <v>31975</v>
      </c>
      <c r="O77">
        <f t="shared" si="8"/>
        <v>0</v>
      </c>
      <c r="P77">
        <f t="shared" si="8"/>
        <v>-520</v>
      </c>
      <c r="Q77">
        <f t="shared" si="8"/>
        <v>0</v>
      </c>
      <c r="R77">
        <f t="shared" si="8"/>
        <v>12750</v>
      </c>
      <c r="X77" s="245"/>
      <c r="Y77" s="245"/>
      <c r="Z77" s="245"/>
      <c r="AA77" s="245"/>
      <c r="AB77" s="245"/>
    </row>
    <row r="78" spans="1:37" x14ac:dyDescent="0.3">
      <c r="X78" s="245"/>
      <c r="Y78" s="245"/>
      <c r="Z78" s="245"/>
      <c r="AA78" s="245"/>
      <c r="AB78" s="245"/>
    </row>
    <row r="79" spans="1:37" ht="26.25" x14ac:dyDescent="0.3">
      <c r="P79" s="257">
        <f>SUM(C77:R77)</f>
        <v>604610</v>
      </c>
      <c r="Q79" s="258"/>
    </row>
  </sheetData>
  <mergeCells count="31">
    <mergeCell ref="U70:W72"/>
    <mergeCell ref="Y70:AB73"/>
    <mergeCell ref="P71:Q72"/>
    <mergeCell ref="X77:AB78"/>
    <mergeCell ref="P79:Q79"/>
    <mergeCell ref="P67:Q67"/>
    <mergeCell ref="U67:W67"/>
    <mergeCell ref="Y67:AB67"/>
    <mergeCell ref="C69:D69"/>
    <mergeCell ref="P69:Q69"/>
    <mergeCell ref="U69:W69"/>
    <mergeCell ref="Y69:AB69"/>
    <mergeCell ref="A64:B64"/>
    <mergeCell ref="U64:W65"/>
    <mergeCell ref="Y64:AB65"/>
    <mergeCell ref="AD64:AH65"/>
    <mergeCell ref="AJ64:AK65"/>
    <mergeCell ref="A65:B65"/>
    <mergeCell ref="Y52:AB52"/>
    <mergeCell ref="AD52:AH52"/>
    <mergeCell ref="AJ52:AK52"/>
    <mergeCell ref="A53:A62"/>
    <mergeCell ref="Y62:AB62"/>
    <mergeCell ref="AD62:AH62"/>
    <mergeCell ref="AJ62:AK62"/>
    <mergeCell ref="A1:B2"/>
    <mergeCell ref="C1:D1"/>
    <mergeCell ref="E1:F1"/>
    <mergeCell ref="A4:A22"/>
    <mergeCell ref="A23:A43"/>
    <mergeCell ref="A44:A52"/>
  </mergeCells>
  <phoneticPr fontId="41" type="noConversion"/>
  <conditionalFormatting sqref="B7:B11">
    <cfRule type="duplicateValues" dxfId="135" priority="2"/>
  </conditionalFormatting>
  <conditionalFormatting sqref="B44:B51">
    <cfRule type="duplicateValues" dxfId="134" priority="3"/>
  </conditionalFormatting>
  <conditionalFormatting sqref="B12">
    <cfRule type="duplicateValues" dxfId="133" priority="1"/>
  </conditionalFormatting>
  <conditionalFormatting sqref="B23:B42">
    <cfRule type="duplicateValues" dxfId="132" priority="4"/>
  </conditionalFormatting>
  <conditionalFormatting sqref="B4:B6 B13:B21">
    <cfRule type="expression" dxfId="131" priority="5" stopIfTrue="1">
      <formula>AND(COUNTIF($B$4:$B$6, B4)+COUNTIF($B$13:$B$21, B4)&gt;1,NOT(ISBLANK(B4)))</formula>
    </cfRule>
  </conditionalFormatting>
  <conditionalFormatting sqref="B53:B61">
    <cfRule type="duplicateValues" dxfId="130" priority="6"/>
  </conditionalFormatting>
  <printOptions horizontalCentered="1" verticalCentered="1"/>
  <pageMargins left="0" right="0" top="7.874015748031496E-2" bottom="7.874015748031496E-2" header="0" footer="0"/>
  <pageSetup paperSize="9" scale="23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T18"/>
  <sheetViews>
    <sheetView zoomScale="70" zoomScaleNormal="70" workbookViewId="0">
      <pane ySplit="3" topLeftCell="A8" activePane="bottomLeft" state="frozen"/>
      <selection sqref="A1:B2"/>
      <selection pane="bottomLeft" sqref="A1:B2"/>
    </sheetView>
  </sheetViews>
  <sheetFormatPr defaultRowHeight="16.5" x14ac:dyDescent="0.3"/>
  <cols>
    <col min="1" max="1" width="32.875" customWidth="1"/>
    <col min="2" max="6" width="10" customWidth="1"/>
    <col min="7" max="7" width="5.75" customWidth="1"/>
    <col min="8" max="8" width="18.5" customWidth="1"/>
    <col min="9" max="20" width="10.875" customWidth="1"/>
  </cols>
  <sheetData>
    <row r="1" spans="1:20" ht="113.25" customHeight="1" x14ac:dyDescent="0.3">
      <c r="A1" s="222" t="s">
        <v>184</v>
      </c>
      <c r="B1" s="223"/>
      <c r="C1" s="267" t="s">
        <v>97</v>
      </c>
      <c r="D1" s="268"/>
      <c r="E1" s="228" t="s">
        <v>98</v>
      </c>
      <c r="F1" s="228"/>
      <c r="G1" s="8"/>
      <c r="H1" s="269" t="s">
        <v>18</v>
      </c>
      <c r="I1" s="72" t="s">
        <v>20</v>
      </c>
      <c r="J1" s="150" t="s">
        <v>21</v>
      </c>
      <c r="K1" s="5" t="s">
        <v>101</v>
      </c>
      <c r="L1" s="150" t="s">
        <v>100</v>
      </c>
      <c r="M1" s="5" t="s">
        <v>96</v>
      </c>
      <c r="N1" s="150" t="s">
        <v>183</v>
      </c>
      <c r="O1" s="5" t="s">
        <v>114</v>
      </c>
      <c r="P1" s="150" t="s">
        <v>115</v>
      </c>
      <c r="Q1" s="5" t="s">
        <v>104</v>
      </c>
      <c r="R1" s="150" t="s">
        <v>105</v>
      </c>
      <c r="S1" s="5" t="s">
        <v>106</v>
      </c>
      <c r="T1" s="150" t="s">
        <v>182</v>
      </c>
    </row>
    <row r="2" spans="1:20" ht="43.5" customHeight="1" x14ac:dyDescent="0.3">
      <c r="A2" s="224"/>
      <c r="B2" s="225"/>
      <c r="C2" s="73" t="s">
        <v>2</v>
      </c>
      <c r="D2" s="73" t="s">
        <v>22</v>
      </c>
      <c r="E2" s="1" t="s">
        <v>2</v>
      </c>
      <c r="F2" s="1" t="s">
        <v>1</v>
      </c>
      <c r="G2" s="9"/>
      <c r="H2" s="270"/>
      <c r="I2" s="6" t="s">
        <v>3</v>
      </c>
      <c r="J2" s="1" t="s">
        <v>1</v>
      </c>
      <c r="K2" s="6" t="s">
        <v>3</v>
      </c>
      <c r="L2" s="1" t="s">
        <v>1</v>
      </c>
      <c r="M2" s="6" t="s">
        <v>3</v>
      </c>
      <c r="N2" s="1" t="s">
        <v>1</v>
      </c>
      <c r="O2" s="6" t="s">
        <v>3</v>
      </c>
      <c r="P2" s="1" t="s">
        <v>1</v>
      </c>
      <c r="Q2" s="6" t="s">
        <v>3</v>
      </c>
      <c r="R2" s="1" t="s">
        <v>1</v>
      </c>
      <c r="S2" s="6" t="s">
        <v>3</v>
      </c>
      <c r="T2" s="1" t="s">
        <v>1</v>
      </c>
    </row>
    <row r="3" spans="1:20" ht="39" customHeight="1" thickBot="1" x14ac:dyDescent="0.35">
      <c r="A3" s="271" t="s">
        <v>10</v>
      </c>
      <c r="B3" s="272"/>
      <c r="C3" s="44">
        <f>SUM(C4:C20)</f>
        <v>44</v>
      </c>
      <c r="D3" s="44">
        <f>SUM(D4:D20)</f>
        <v>0</v>
      </c>
      <c r="E3" s="44">
        <f>SUM(E4:E20)</f>
        <v>20</v>
      </c>
      <c r="F3" s="44">
        <f>SUM(F4:F20)</f>
        <v>20</v>
      </c>
      <c r="G3" s="151"/>
      <c r="H3" s="13" t="s">
        <v>10</v>
      </c>
      <c r="I3" s="44">
        <f>SUM(I4:I15)</f>
        <v>5</v>
      </c>
      <c r="J3" s="44">
        <f t="shared" ref="J3:T3" si="0">SUM(J4:J15)</f>
        <v>1</v>
      </c>
      <c r="K3" s="44">
        <f t="shared" si="0"/>
        <v>6</v>
      </c>
      <c r="L3" s="44">
        <f t="shared" si="0"/>
        <v>7</v>
      </c>
      <c r="M3" s="44">
        <f t="shared" si="0"/>
        <v>4</v>
      </c>
      <c r="N3" s="44">
        <f t="shared" si="0"/>
        <v>2</v>
      </c>
      <c r="O3" s="44">
        <f t="shared" si="0"/>
        <v>5</v>
      </c>
      <c r="P3" s="44">
        <f t="shared" si="0"/>
        <v>0</v>
      </c>
      <c r="Q3" s="44">
        <f t="shared" si="0"/>
        <v>1</v>
      </c>
      <c r="R3" s="44">
        <f t="shared" si="0"/>
        <v>0</v>
      </c>
      <c r="S3" s="44">
        <f t="shared" si="0"/>
        <v>3</v>
      </c>
      <c r="T3" s="44">
        <f t="shared" si="0"/>
        <v>1</v>
      </c>
    </row>
    <row r="4" spans="1:20" ht="82.7" customHeight="1" thickTop="1" x14ac:dyDescent="0.3">
      <c r="A4" s="273" t="s">
        <v>15</v>
      </c>
      <c r="B4" s="274"/>
      <c r="C4" s="57">
        <f>'학교별03.20'!C22</f>
        <v>0</v>
      </c>
      <c r="D4" s="57">
        <f>'학교별03.20'!D22</f>
        <v>0</v>
      </c>
      <c r="E4" s="58">
        <f>'학교별03.20'!E22</f>
        <v>0</v>
      </c>
      <c r="F4" s="59">
        <f>'학교별03.20'!F22</f>
        <v>0</v>
      </c>
      <c r="G4" s="151"/>
      <c r="H4" s="49" t="s">
        <v>15</v>
      </c>
      <c r="I4" s="47">
        <f>'학교별03.20'!H22</f>
        <v>0</v>
      </c>
      <c r="J4" s="45">
        <f>'학교별03.20'!I22</f>
        <v>0</v>
      </c>
      <c r="K4" s="47">
        <f>'학교별03.20'!J22</f>
        <v>1</v>
      </c>
      <c r="L4" s="45">
        <f>'학교별03.20'!K22</f>
        <v>3</v>
      </c>
      <c r="M4" s="47">
        <f>'학교별03.20'!L22</f>
        <v>1</v>
      </c>
      <c r="N4" s="45">
        <f>'학교별03.20'!M22</f>
        <v>1</v>
      </c>
      <c r="O4" s="47">
        <f>'학교별03.20'!N22</f>
        <v>0</v>
      </c>
      <c r="P4" s="45">
        <f>'학교별03.20'!O22</f>
        <v>0</v>
      </c>
      <c r="Q4" s="47">
        <f>'학교별03.20'!P22</f>
        <v>1</v>
      </c>
      <c r="R4" s="45">
        <f>'학교별03.20'!Q22</f>
        <v>0</v>
      </c>
      <c r="S4" s="47">
        <f>'학교별03.20'!R22</f>
        <v>0</v>
      </c>
      <c r="T4" s="87">
        <f>'학교별03.20'!S22</f>
        <v>1</v>
      </c>
    </row>
    <row r="5" spans="1:20" ht="82.7" customHeight="1" thickBot="1" x14ac:dyDescent="0.35">
      <c r="A5" s="275"/>
      <c r="B5" s="276"/>
      <c r="C5" s="79"/>
      <c r="D5" s="60"/>
      <c r="E5" s="62"/>
      <c r="F5" s="61"/>
      <c r="G5" s="151"/>
      <c r="H5" s="40"/>
      <c r="I5" s="83"/>
      <c r="J5" s="81"/>
      <c r="K5" s="95"/>
      <c r="L5" s="81"/>
      <c r="M5" s="84"/>
      <c r="N5" s="81"/>
      <c r="O5" s="83"/>
      <c r="P5" s="42"/>
      <c r="Q5" s="41"/>
      <c r="R5" s="42"/>
      <c r="S5" s="83"/>
      <c r="T5" s="88"/>
    </row>
    <row r="6" spans="1:20" ht="18" thickTop="1" thickBot="1" x14ac:dyDescent="0.35">
      <c r="H6" s="33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138"/>
    </row>
    <row r="7" spans="1:20" ht="82.7" customHeight="1" thickTop="1" x14ac:dyDescent="0.3">
      <c r="A7" s="277" t="s">
        <v>26</v>
      </c>
      <c r="B7" s="278"/>
      <c r="C7" s="47">
        <f>'학교별03.20'!C43</f>
        <v>0</v>
      </c>
      <c r="D7" s="47">
        <f>'학교별03.20'!D43</f>
        <v>0</v>
      </c>
      <c r="E7" s="45">
        <f>'학교별03.20'!E43</f>
        <v>0</v>
      </c>
      <c r="F7" s="45">
        <f>'학교별03.20'!F43</f>
        <v>0</v>
      </c>
      <c r="G7" s="37"/>
      <c r="H7" s="55" t="s">
        <v>17</v>
      </c>
      <c r="I7" s="48">
        <f>'학교별03.20'!H43</f>
        <v>0</v>
      </c>
      <c r="J7" s="46">
        <f>'학교별03.20'!I43</f>
        <v>0</v>
      </c>
      <c r="K7" s="48">
        <f>'학교별03.20'!J43</f>
        <v>0</v>
      </c>
      <c r="L7" s="46">
        <f>'학교별03.20'!K43</f>
        <v>1</v>
      </c>
      <c r="M7" s="48">
        <f>'학교별03.20'!L43</f>
        <v>1</v>
      </c>
      <c r="N7" s="46">
        <f>'학교별03.20'!M43</f>
        <v>1</v>
      </c>
      <c r="O7" s="48">
        <f>'학교별03.20'!N43</f>
        <v>1</v>
      </c>
      <c r="P7" s="46">
        <f>'학교별03.20'!O43</f>
        <v>0</v>
      </c>
      <c r="Q7" s="48">
        <f>'학교별03.20'!P43</f>
        <v>0</v>
      </c>
      <c r="R7" s="46">
        <f>'학교별03.20'!Q43</f>
        <v>0</v>
      </c>
      <c r="S7" s="48">
        <f>'학교별03.20'!R43</f>
        <v>0</v>
      </c>
      <c r="T7" s="90">
        <f>'학교별03.20'!S43</f>
        <v>0</v>
      </c>
    </row>
    <row r="8" spans="1:20" ht="82.7" customHeight="1" thickBot="1" x14ac:dyDescent="0.35">
      <c r="A8" s="261"/>
      <c r="B8" s="262"/>
      <c r="C8" s="75"/>
      <c r="D8" s="96"/>
      <c r="E8" s="78"/>
      <c r="F8" s="38"/>
      <c r="G8" s="39"/>
      <c r="H8" s="151"/>
      <c r="I8" s="41"/>
      <c r="J8" s="42"/>
      <c r="K8" s="41"/>
      <c r="L8" s="42"/>
      <c r="M8" s="41"/>
      <c r="N8" s="42"/>
      <c r="O8" s="41"/>
      <c r="P8" s="42"/>
      <c r="Q8" s="41"/>
      <c r="R8" s="98"/>
      <c r="S8" s="41"/>
      <c r="T8" s="88"/>
    </row>
    <row r="9" spans="1:20" ht="18" thickTop="1" thickBot="1" x14ac:dyDescent="0.35">
      <c r="H9" s="33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138"/>
    </row>
    <row r="10" spans="1:20" ht="82.7" customHeight="1" thickTop="1" x14ac:dyDescent="0.3">
      <c r="A10" s="263" t="s">
        <v>16</v>
      </c>
      <c r="B10" s="264"/>
      <c r="C10" s="65">
        <f>'학교별03.20'!C52</f>
        <v>24</v>
      </c>
      <c r="D10" s="65">
        <f>'학교별03.20'!D52</f>
        <v>0</v>
      </c>
      <c r="E10" s="66">
        <f>'학교별03.20'!E52</f>
        <v>5</v>
      </c>
      <c r="F10" s="67">
        <f>'학교별03.20'!F52</f>
        <v>4</v>
      </c>
      <c r="G10" s="151"/>
      <c r="H10" s="136" t="s">
        <v>25</v>
      </c>
      <c r="I10" s="127">
        <f>'학교별03.20'!H52</f>
        <v>5</v>
      </c>
      <c r="J10" s="128">
        <f>'학교별03.20'!I52</f>
        <v>1</v>
      </c>
      <c r="K10" s="127">
        <f>'학교별03.20'!J52</f>
        <v>0</v>
      </c>
      <c r="L10" s="128">
        <f>'학교별03.20'!K52</f>
        <v>0</v>
      </c>
      <c r="M10" s="127">
        <f>'학교별03.20'!L52</f>
        <v>2</v>
      </c>
      <c r="N10" s="128">
        <f>'학교별03.20'!M52</f>
        <v>0</v>
      </c>
      <c r="O10" s="127">
        <f>'학교별03.20'!N52</f>
        <v>1</v>
      </c>
      <c r="P10" s="128">
        <f>'학교별03.20'!O52</f>
        <v>0</v>
      </c>
      <c r="Q10" s="127">
        <f>'학교별03.20'!P52</f>
        <v>0</v>
      </c>
      <c r="R10" s="128">
        <f>'학교별03.20'!Q52</f>
        <v>0</v>
      </c>
      <c r="S10" s="127">
        <f>'학교별03.20'!R52</f>
        <v>0</v>
      </c>
      <c r="T10" s="137">
        <f>'학교별03.20'!S52</f>
        <v>0</v>
      </c>
    </row>
    <row r="11" spans="1:20" ht="82.7" customHeight="1" x14ac:dyDescent="0.3">
      <c r="A11" s="284" t="s">
        <v>179</v>
      </c>
      <c r="B11" s="285"/>
      <c r="C11" s="148">
        <v>-10</v>
      </c>
      <c r="D11" s="145"/>
      <c r="E11" s="146"/>
      <c r="F11" s="147"/>
      <c r="G11" s="151"/>
      <c r="H11" s="40"/>
      <c r="I11" s="41"/>
      <c r="J11" s="42"/>
      <c r="K11" s="41"/>
      <c r="L11" s="42"/>
      <c r="M11" s="41"/>
      <c r="N11" s="42"/>
      <c r="O11" s="41"/>
      <c r="P11" s="42"/>
      <c r="Q11" s="41"/>
      <c r="R11" s="42"/>
      <c r="S11" s="41"/>
      <c r="T11" s="88"/>
    </row>
    <row r="12" spans="1:20" ht="82.7" customHeight="1" thickBot="1" x14ac:dyDescent="0.35">
      <c r="A12" s="265"/>
      <c r="B12" s="266"/>
      <c r="C12" s="68"/>
      <c r="D12" s="69"/>
      <c r="E12" s="144"/>
      <c r="F12" s="71"/>
      <c r="H12" s="33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138"/>
    </row>
    <row r="13" spans="1:20" ht="18" thickTop="1" thickBot="1" x14ac:dyDescent="0.35">
      <c r="H13" s="33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138"/>
    </row>
    <row r="14" spans="1:20" ht="82.7" customHeight="1" thickTop="1" x14ac:dyDescent="0.3">
      <c r="A14" s="282" t="s">
        <v>175</v>
      </c>
      <c r="B14" s="283"/>
      <c r="C14" s="129">
        <f>'학교별03.20'!C62</f>
        <v>30</v>
      </c>
      <c r="D14" s="129">
        <f>'학교별03.20'!D62</f>
        <v>0</v>
      </c>
      <c r="E14" s="130">
        <f>'학교별03.20'!E62</f>
        <v>15</v>
      </c>
      <c r="F14" s="131">
        <f>'학교별03.20'!F62</f>
        <v>16</v>
      </c>
      <c r="G14" s="151"/>
      <c r="H14" s="136" t="s">
        <v>174</v>
      </c>
      <c r="I14" s="127">
        <f>'학교별03.20'!H62</f>
        <v>1</v>
      </c>
      <c r="J14" s="128">
        <f>'학교별03.20'!I62</f>
        <v>0</v>
      </c>
      <c r="K14" s="127">
        <f>'학교별03.20'!J62</f>
        <v>5</v>
      </c>
      <c r="L14" s="128">
        <f>'학교별03.20'!K62</f>
        <v>3</v>
      </c>
      <c r="M14" s="127">
        <f>'학교별03.20'!L62</f>
        <v>0</v>
      </c>
      <c r="N14" s="128">
        <f>'학교별03.20'!M62</f>
        <v>0</v>
      </c>
      <c r="O14" s="127">
        <f>'학교별03.20'!N62</f>
        <v>3</v>
      </c>
      <c r="P14" s="128">
        <f>'학교별03.20'!O62</f>
        <v>0</v>
      </c>
      <c r="Q14" s="127">
        <f>'학교별03.20'!P62</f>
        <v>0</v>
      </c>
      <c r="R14" s="128">
        <f>'학교별03.20'!Q62</f>
        <v>0</v>
      </c>
      <c r="S14" s="127">
        <f>'학교별03.20'!R62</f>
        <v>3</v>
      </c>
      <c r="T14" s="137">
        <f>'학교별03.20'!S62</f>
        <v>0</v>
      </c>
    </row>
    <row r="15" spans="1:20" ht="82.7" customHeight="1" thickBot="1" x14ac:dyDescent="0.35">
      <c r="A15" s="280" t="s">
        <v>181</v>
      </c>
      <c r="B15" s="281"/>
      <c r="C15" s="132"/>
      <c r="D15" s="133"/>
      <c r="E15" s="134"/>
      <c r="F15" s="135"/>
      <c r="H15" s="64"/>
      <c r="I15" s="149">
        <v>-1</v>
      </c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152"/>
    </row>
    <row r="16" spans="1:20" ht="17.25" thickTop="1" x14ac:dyDescent="0.3"/>
    <row r="18" spans="8:8" x14ac:dyDescent="0.3">
      <c r="H18" t="s">
        <v>83</v>
      </c>
    </row>
  </sheetData>
  <mergeCells count="14">
    <mergeCell ref="A14:B14"/>
    <mergeCell ref="A15:B15"/>
    <mergeCell ref="A5:B5"/>
    <mergeCell ref="A7:B7"/>
    <mergeCell ref="A8:B8"/>
    <mergeCell ref="A10:B10"/>
    <mergeCell ref="A11:B11"/>
    <mergeCell ref="A12:B12"/>
    <mergeCell ref="A1:B2"/>
    <mergeCell ref="C1:D1"/>
    <mergeCell ref="E1:F1"/>
    <mergeCell ref="H1:H2"/>
    <mergeCell ref="A3:B3"/>
    <mergeCell ref="A4:B4"/>
  </mergeCells>
  <phoneticPr fontId="41" type="noConversion"/>
  <conditionalFormatting sqref="A10:A11">
    <cfRule type="duplicateValues" dxfId="129" priority="2"/>
  </conditionalFormatting>
  <conditionalFormatting sqref="A4:A5">
    <cfRule type="duplicateValues" dxfId="128" priority="3"/>
  </conditionalFormatting>
  <conditionalFormatting sqref="A7:A8">
    <cfRule type="duplicateValues" dxfId="127" priority="4"/>
  </conditionalFormatting>
  <conditionalFormatting sqref="A14">
    <cfRule type="duplicateValues" dxfId="126" priority="1"/>
  </conditionalFormatting>
  <printOptions horizontalCentered="1" verticalCentered="1"/>
  <pageMargins left="0" right="0" top="7.874015748031496E-2" bottom="7.874015748031496E-2" header="0" footer="0"/>
  <pageSetup paperSize="9" scale="55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79"/>
  <sheetViews>
    <sheetView zoomScale="70" zoomScaleNormal="70" workbookViewId="0">
      <pane ySplit="3" topLeftCell="A10" activePane="bottomLeft" state="frozen"/>
      <selection activeCell="Z5" sqref="Z5"/>
      <selection pane="bottomLeft" activeCell="Z5" sqref="Z5"/>
    </sheetView>
  </sheetViews>
  <sheetFormatPr defaultRowHeight="16.5" x14ac:dyDescent="0.3"/>
  <cols>
    <col min="1" max="1" width="9" customWidth="1"/>
    <col min="2" max="2" width="33.75" customWidth="1"/>
    <col min="3" max="3" width="10.75" customWidth="1"/>
    <col min="4" max="4" width="10" customWidth="1"/>
    <col min="5" max="5" width="10.5" customWidth="1"/>
    <col min="6" max="6" width="10" customWidth="1"/>
    <col min="7" max="7" width="4.125" customWidth="1"/>
    <col min="8" max="19" width="10.875" customWidth="1"/>
    <col min="20" max="20" width="5.5" customWidth="1"/>
    <col min="21" max="21" width="10.875" bestFit="1" customWidth="1"/>
  </cols>
  <sheetData>
    <row r="1" spans="1:23" ht="113.25" customHeight="1" x14ac:dyDescent="0.3">
      <c r="A1" s="222" t="s">
        <v>185</v>
      </c>
      <c r="B1" s="223"/>
      <c r="C1" s="226" t="s">
        <v>0</v>
      </c>
      <c r="D1" s="227"/>
      <c r="E1" s="228" t="s">
        <v>19</v>
      </c>
      <c r="F1" s="228"/>
      <c r="G1" s="8"/>
      <c r="H1" s="72" t="s">
        <v>20</v>
      </c>
      <c r="I1" s="153" t="s">
        <v>21</v>
      </c>
      <c r="J1" s="5" t="s">
        <v>7</v>
      </c>
      <c r="K1" s="153" t="s">
        <v>4</v>
      </c>
      <c r="L1" s="5" t="s">
        <v>6</v>
      </c>
      <c r="M1" s="153" t="s">
        <v>5</v>
      </c>
      <c r="N1" s="5" t="s">
        <v>9</v>
      </c>
      <c r="O1" s="153" t="s">
        <v>119</v>
      </c>
      <c r="P1" s="5" t="s">
        <v>8</v>
      </c>
      <c r="Q1" s="153" t="s">
        <v>12</v>
      </c>
      <c r="R1" s="5" t="s">
        <v>95</v>
      </c>
      <c r="S1" s="153" t="s">
        <v>11</v>
      </c>
    </row>
    <row r="2" spans="1:23" ht="43.5" customHeight="1" x14ac:dyDescent="0.3">
      <c r="A2" s="224"/>
      <c r="B2" s="225"/>
      <c r="C2" s="73" t="s">
        <v>2</v>
      </c>
      <c r="D2" s="21" t="s">
        <v>1</v>
      </c>
      <c r="E2" s="1" t="s">
        <v>2</v>
      </c>
      <c r="F2" s="1" t="s">
        <v>1</v>
      </c>
      <c r="G2" s="9"/>
      <c r="H2" s="6" t="s">
        <v>3</v>
      </c>
      <c r="I2" s="1" t="s">
        <v>1</v>
      </c>
      <c r="J2" s="6" t="s">
        <v>3</v>
      </c>
      <c r="K2" s="1" t="s">
        <v>1</v>
      </c>
      <c r="L2" s="6" t="s">
        <v>3</v>
      </c>
      <c r="M2" s="1" t="s">
        <v>1</v>
      </c>
      <c r="N2" s="6" t="s">
        <v>3</v>
      </c>
      <c r="O2" s="1" t="s">
        <v>1</v>
      </c>
      <c r="P2" s="6" t="s">
        <v>3</v>
      </c>
      <c r="Q2" s="1" t="s">
        <v>1</v>
      </c>
      <c r="R2" s="6" t="s">
        <v>3</v>
      </c>
      <c r="S2" s="1" t="s">
        <v>1</v>
      </c>
    </row>
    <row r="3" spans="1:23" ht="26.25" x14ac:dyDescent="0.3">
      <c r="A3" s="97" t="s">
        <v>14</v>
      </c>
      <c r="B3" s="12" t="s">
        <v>10</v>
      </c>
      <c r="C3" s="29">
        <f>C22+C43+C52+C62</f>
        <v>120</v>
      </c>
      <c r="D3" s="29">
        <f>D22+D43+D52+D62</f>
        <v>0</v>
      </c>
      <c r="E3" s="29">
        <f>E22+E43+E52+E62</f>
        <v>21</v>
      </c>
      <c r="F3" s="2">
        <f>F22+F43+F52+F62</f>
        <v>90</v>
      </c>
      <c r="G3" s="154"/>
      <c r="H3" s="2">
        <f t="shared" ref="H3:S3" si="0">H22+H43+H52+H62</f>
        <v>9</v>
      </c>
      <c r="I3" s="2">
        <f t="shared" si="0"/>
        <v>5</v>
      </c>
      <c r="J3" s="2">
        <f t="shared" si="0"/>
        <v>4</v>
      </c>
      <c r="K3" s="2">
        <f t="shared" si="0"/>
        <v>12</v>
      </c>
      <c r="L3" s="2">
        <f t="shared" si="0"/>
        <v>7</v>
      </c>
      <c r="M3" s="2">
        <f t="shared" si="0"/>
        <v>2</v>
      </c>
      <c r="N3" s="2">
        <f t="shared" si="0"/>
        <v>10</v>
      </c>
      <c r="O3" s="2">
        <f t="shared" si="0"/>
        <v>0</v>
      </c>
      <c r="P3" s="2">
        <f t="shared" si="0"/>
        <v>2</v>
      </c>
      <c r="Q3" s="2">
        <f t="shared" si="0"/>
        <v>0</v>
      </c>
      <c r="R3" s="2">
        <f t="shared" si="0"/>
        <v>4</v>
      </c>
      <c r="S3" s="2">
        <f t="shared" si="0"/>
        <v>0</v>
      </c>
      <c r="T3" s="4">
        <f>D3*10</f>
        <v>0</v>
      </c>
      <c r="U3">
        <f>F3*10+E3</f>
        <v>921</v>
      </c>
      <c r="V3" s="4">
        <f>SUM(H3:Q3)</f>
        <v>51</v>
      </c>
      <c r="W3" s="11">
        <f>SUM(T3:V3)</f>
        <v>972</v>
      </c>
    </row>
    <row r="4" spans="1:23" ht="24" customHeight="1" x14ac:dyDescent="0.3">
      <c r="A4" s="229" t="s">
        <v>34</v>
      </c>
      <c r="B4" s="3" t="s">
        <v>160</v>
      </c>
      <c r="C4" s="7"/>
      <c r="D4" s="7"/>
      <c r="E4" s="50"/>
      <c r="F4" s="50"/>
      <c r="G4" s="154"/>
      <c r="H4" s="7"/>
      <c r="I4" s="50"/>
      <c r="J4" s="10"/>
      <c r="K4" s="50"/>
      <c r="L4" s="7"/>
      <c r="M4" s="50"/>
      <c r="N4" s="10"/>
      <c r="O4" s="50"/>
      <c r="P4" s="7"/>
      <c r="Q4" s="50"/>
      <c r="R4" s="7"/>
      <c r="S4" s="50"/>
    </row>
    <row r="5" spans="1:23" ht="24" customHeight="1" x14ac:dyDescent="0.3">
      <c r="A5" s="230"/>
      <c r="B5" s="3" t="s">
        <v>150</v>
      </c>
      <c r="C5" s="7"/>
      <c r="D5" s="7"/>
      <c r="E5" s="50"/>
      <c r="F5" s="50">
        <v>1</v>
      </c>
      <c r="G5" s="154"/>
      <c r="H5" s="7"/>
      <c r="I5" s="50"/>
      <c r="J5" s="10">
        <v>1</v>
      </c>
      <c r="K5" s="50">
        <v>1</v>
      </c>
      <c r="L5" s="7"/>
      <c r="M5" s="50"/>
      <c r="N5" s="10"/>
      <c r="O5" s="50"/>
      <c r="P5" s="7"/>
      <c r="Q5" s="50"/>
      <c r="R5" s="7"/>
      <c r="S5" s="50"/>
    </row>
    <row r="6" spans="1:23" ht="24" customHeight="1" x14ac:dyDescent="0.3">
      <c r="A6" s="230"/>
      <c r="B6" s="3" t="s">
        <v>149</v>
      </c>
      <c r="C6" s="7"/>
      <c r="D6" s="7"/>
      <c r="E6" s="50"/>
      <c r="F6" s="50"/>
      <c r="G6" s="154"/>
      <c r="H6" s="7"/>
      <c r="I6" s="50"/>
      <c r="J6" s="10"/>
      <c r="K6" s="50"/>
      <c r="L6" s="7">
        <v>1</v>
      </c>
      <c r="M6" s="50"/>
      <c r="N6" s="10"/>
      <c r="O6" s="50"/>
      <c r="P6" s="7"/>
      <c r="Q6" s="50"/>
      <c r="R6" s="7">
        <v>1</v>
      </c>
      <c r="S6" s="50"/>
    </row>
    <row r="7" spans="1:23" ht="24" customHeight="1" x14ac:dyDescent="0.3">
      <c r="A7" s="230"/>
      <c r="B7" s="3" t="s">
        <v>156</v>
      </c>
      <c r="C7" s="7"/>
      <c r="D7" s="7"/>
      <c r="E7" s="50"/>
      <c r="F7" s="50"/>
      <c r="G7" s="154"/>
      <c r="H7" s="7"/>
      <c r="I7" s="50"/>
      <c r="J7" s="10"/>
      <c r="K7" s="50"/>
      <c r="L7" s="7">
        <v>1</v>
      </c>
      <c r="M7" s="50"/>
      <c r="N7" s="10"/>
      <c r="O7" s="50"/>
      <c r="P7" s="7"/>
      <c r="Q7" s="50"/>
      <c r="R7" s="7"/>
      <c r="S7" s="50"/>
    </row>
    <row r="8" spans="1:23" ht="24" customHeight="1" x14ac:dyDescent="0.3">
      <c r="A8" s="230"/>
      <c r="B8" s="3" t="s">
        <v>148</v>
      </c>
      <c r="C8" s="77"/>
      <c r="D8" s="7"/>
      <c r="E8" s="50"/>
      <c r="F8" s="50"/>
      <c r="G8" s="63"/>
      <c r="H8" s="7"/>
      <c r="I8" s="50"/>
      <c r="J8" s="10"/>
      <c r="K8" s="50">
        <v>1</v>
      </c>
      <c r="L8" s="7"/>
      <c r="M8" s="50"/>
      <c r="N8" s="10"/>
      <c r="O8" s="50"/>
      <c r="P8" s="7"/>
      <c r="Q8" s="50"/>
      <c r="R8" s="7"/>
      <c r="S8" s="50"/>
    </row>
    <row r="9" spans="1:23" ht="24" customHeight="1" x14ac:dyDescent="0.3">
      <c r="A9" s="230"/>
      <c r="B9" s="3" t="s">
        <v>153</v>
      </c>
      <c r="C9" s="7">
        <v>4</v>
      </c>
      <c r="D9" s="7"/>
      <c r="E9" s="50"/>
      <c r="F9" s="50"/>
      <c r="G9" s="154"/>
      <c r="H9" s="7"/>
      <c r="I9" s="50"/>
      <c r="J9" s="10"/>
      <c r="K9" s="50">
        <v>1</v>
      </c>
      <c r="L9" s="7"/>
      <c r="M9" s="50"/>
      <c r="N9" s="10"/>
      <c r="O9" s="50"/>
      <c r="P9" s="7"/>
      <c r="Q9" s="50"/>
      <c r="R9" s="7"/>
      <c r="S9" s="50"/>
    </row>
    <row r="10" spans="1:23" ht="24" customHeight="1" x14ac:dyDescent="0.3">
      <c r="A10" s="230"/>
      <c r="B10" s="3" t="s">
        <v>158</v>
      </c>
      <c r="C10" s="7"/>
      <c r="D10" s="7"/>
      <c r="E10" s="50"/>
      <c r="F10" s="50"/>
      <c r="G10" s="154"/>
      <c r="H10" s="7"/>
      <c r="I10" s="50"/>
      <c r="J10" s="10"/>
      <c r="K10" s="50"/>
      <c r="L10" s="7"/>
      <c r="M10" s="50"/>
      <c r="N10" s="10"/>
      <c r="O10" s="50"/>
      <c r="P10" s="7"/>
      <c r="Q10" s="50"/>
      <c r="R10" s="7"/>
      <c r="S10" s="50"/>
    </row>
    <row r="11" spans="1:23" ht="24" customHeight="1" x14ac:dyDescent="0.3">
      <c r="A11" s="230"/>
      <c r="B11" s="3" t="s">
        <v>152</v>
      </c>
      <c r="C11" s="7">
        <v>3</v>
      </c>
      <c r="D11" s="7"/>
      <c r="E11" s="50"/>
      <c r="F11" s="50">
        <v>6</v>
      </c>
      <c r="G11" s="154"/>
      <c r="H11" s="7"/>
      <c r="I11" s="50"/>
      <c r="J11" s="10"/>
      <c r="K11" s="50"/>
      <c r="L11" s="7"/>
      <c r="M11" s="50"/>
      <c r="N11" s="10"/>
      <c r="O11" s="50"/>
      <c r="P11" s="7"/>
      <c r="Q11" s="50"/>
      <c r="R11" s="7"/>
      <c r="S11" s="50"/>
    </row>
    <row r="12" spans="1:23" ht="24" customHeight="1" x14ac:dyDescent="0.3">
      <c r="A12" s="230"/>
      <c r="B12" s="3" t="s">
        <v>161</v>
      </c>
      <c r="C12" s="7">
        <v>8</v>
      </c>
      <c r="D12" s="77"/>
      <c r="E12" s="76"/>
      <c r="F12" s="50">
        <v>25</v>
      </c>
      <c r="G12" s="80"/>
      <c r="H12" s="7"/>
      <c r="I12" s="76"/>
      <c r="J12" s="7"/>
      <c r="K12" s="50"/>
      <c r="L12" s="7"/>
      <c r="M12" s="50"/>
      <c r="N12" s="10"/>
      <c r="O12" s="50"/>
      <c r="P12" s="7"/>
      <c r="Q12" s="76"/>
      <c r="R12" s="10"/>
      <c r="S12" s="76"/>
    </row>
    <row r="13" spans="1:23" ht="24" customHeight="1" x14ac:dyDescent="0.3">
      <c r="A13" s="230"/>
      <c r="B13" s="3" t="s">
        <v>154</v>
      </c>
      <c r="C13" s="7"/>
      <c r="D13" s="7"/>
      <c r="E13" s="50"/>
      <c r="F13" s="50"/>
      <c r="G13" s="154"/>
      <c r="H13" s="7">
        <v>1</v>
      </c>
      <c r="I13" s="50"/>
      <c r="J13" s="10"/>
      <c r="K13" s="50"/>
      <c r="L13" s="7">
        <v>1</v>
      </c>
      <c r="M13" s="50"/>
      <c r="N13" s="10"/>
      <c r="O13" s="50"/>
      <c r="P13" s="7"/>
      <c r="Q13" s="50"/>
      <c r="R13" s="7"/>
      <c r="S13" s="50"/>
    </row>
    <row r="14" spans="1:23" ht="24" customHeight="1" x14ac:dyDescent="0.3">
      <c r="A14" s="230"/>
      <c r="B14" s="100" t="s">
        <v>164</v>
      </c>
      <c r="C14" s="7"/>
      <c r="D14" s="7"/>
      <c r="E14" s="50"/>
      <c r="F14" s="50"/>
      <c r="G14" s="154"/>
      <c r="H14" s="7"/>
      <c r="I14" s="50"/>
      <c r="J14" s="10"/>
      <c r="K14" s="50"/>
      <c r="L14" s="7"/>
      <c r="M14" s="50"/>
      <c r="N14" s="10"/>
      <c r="O14" s="50"/>
      <c r="P14" s="7"/>
      <c r="Q14" s="50"/>
      <c r="R14" s="7"/>
      <c r="S14" s="50"/>
    </row>
    <row r="15" spans="1:23" ht="24" customHeight="1" x14ac:dyDescent="0.3">
      <c r="A15" s="230"/>
      <c r="B15" s="3" t="s">
        <v>159</v>
      </c>
      <c r="C15" s="7">
        <v>6</v>
      </c>
      <c r="D15" s="7"/>
      <c r="E15" s="50"/>
      <c r="F15" s="50"/>
      <c r="G15" s="154"/>
      <c r="H15" s="7">
        <v>1</v>
      </c>
      <c r="I15" s="50"/>
      <c r="J15" s="10">
        <v>1</v>
      </c>
      <c r="K15" s="50"/>
      <c r="L15" s="7"/>
      <c r="M15" s="50"/>
      <c r="N15" s="10"/>
      <c r="O15" s="50"/>
      <c r="P15" s="7"/>
      <c r="Q15" s="50"/>
      <c r="R15" s="7"/>
      <c r="S15" s="50"/>
    </row>
    <row r="16" spans="1:23" ht="24" customHeight="1" x14ac:dyDescent="0.3">
      <c r="A16" s="230"/>
      <c r="B16" s="3" t="s">
        <v>147</v>
      </c>
      <c r="C16" s="7"/>
      <c r="D16" s="7"/>
      <c r="E16" s="50"/>
      <c r="F16" s="50">
        <v>20</v>
      </c>
      <c r="G16" s="154"/>
      <c r="H16" s="7"/>
      <c r="I16" s="50"/>
      <c r="J16" s="10"/>
      <c r="K16" s="50"/>
      <c r="L16" s="7"/>
      <c r="M16" s="50"/>
      <c r="N16" s="10"/>
      <c r="O16" s="50"/>
      <c r="P16" s="7"/>
      <c r="Q16" s="50"/>
      <c r="R16" s="7">
        <v>1</v>
      </c>
      <c r="S16" s="50"/>
    </row>
    <row r="17" spans="1:25" ht="24" customHeight="1" x14ac:dyDescent="0.3">
      <c r="A17" s="230"/>
      <c r="B17" s="3" t="s">
        <v>163</v>
      </c>
      <c r="C17" s="7"/>
      <c r="D17" s="7"/>
      <c r="E17" s="50"/>
      <c r="F17" s="50"/>
      <c r="G17" s="154"/>
      <c r="H17" s="7"/>
      <c r="I17" s="50"/>
      <c r="J17" s="10"/>
      <c r="K17" s="50"/>
      <c r="L17" s="7"/>
      <c r="M17" s="50"/>
      <c r="N17" s="10"/>
      <c r="O17" s="50"/>
      <c r="P17" s="7"/>
      <c r="Q17" s="50"/>
      <c r="R17" s="7"/>
      <c r="S17" s="50"/>
    </row>
    <row r="18" spans="1:25" ht="24" customHeight="1" x14ac:dyDescent="0.3">
      <c r="A18" s="230"/>
      <c r="B18" s="3" t="s">
        <v>162</v>
      </c>
      <c r="C18" s="7"/>
      <c r="D18" s="7"/>
      <c r="E18" s="50"/>
      <c r="F18" s="50"/>
      <c r="G18" s="154"/>
      <c r="H18" s="7"/>
      <c r="I18" s="50"/>
      <c r="J18" s="10"/>
      <c r="K18" s="50"/>
      <c r="L18" s="7"/>
      <c r="M18" s="50"/>
      <c r="N18" s="10"/>
      <c r="O18" s="50"/>
      <c r="P18" s="7"/>
      <c r="Q18" s="50"/>
      <c r="R18" s="7"/>
      <c r="S18" s="50"/>
    </row>
    <row r="19" spans="1:25" ht="24" customHeight="1" x14ac:dyDescent="0.3">
      <c r="A19" s="230"/>
      <c r="B19" s="3" t="s">
        <v>155</v>
      </c>
      <c r="C19" s="7">
        <v>1</v>
      </c>
      <c r="D19" s="7"/>
      <c r="E19" s="50"/>
      <c r="F19" s="50">
        <v>3</v>
      </c>
      <c r="G19" s="154"/>
      <c r="H19" s="7"/>
      <c r="I19" s="50"/>
      <c r="J19" s="10"/>
      <c r="K19" s="50">
        <v>1</v>
      </c>
      <c r="L19" s="7"/>
      <c r="M19" s="50"/>
      <c r="N19" s="10">
        <v>1</v>
      </c>
      <c r="O19" s="50"/>
      <c r="P19" s="7"/>
      <c r="Q19" s="50"/>
      <c r="R19" s="7"/>
      <c r="S19" s="50"/>
    </row>
    <row r="20" spans="1:25" ht="24" customHeight="1" x14ac:dyDescent="0.3">
      <c r="A20" s="230"/>
      <c r="B20" s="3" t="s">
        <v>157</v>
      </c>
      <c r="C20" s="7">
        <v>5</v>
      </c>
      <c r="D20" s="7"/>
      <c r="E20" s="50"/>
      <c r="F20" s="50"/>
      <c r="G20" s="154"/>
      <c r="H20" s="7"/>
      <c r="I20" s="50"/>
      <c r="J20" s="10"/>
      <c r="K20" s="50"/>
      <c r="L20" s="7"/>
      <c r="M20" s="50"/>
      <c r="N20" s="10"/>
      <c r="O20" s="50"/>
      <c r="P20" s="7"/>
      <c r="Q20" s="50"/>
      <c r="R20" s="7"/>
      <c r="S20" s="50"/>
    </row>
    <row r="21" spans="1:25" ht="24" customHeight="1" x14ac:dyDescent="0.3">
      <c r="A21" s="230"/>
      <c r="B21" s="3" t="s">
        <v>151</v>
      </c>
      <c r="C21" s="7">
        <v>4</v>
      </c>
      <c r="D21" s="7"/>
      <c r="E21" s="50"/>
      <c r="F21" s="50">
        <v>3</v>
      </c>
      <c r="G21" s="154"/>
      <c r="H21" s="7"/>
      <c r="I21" s="50"/>
      <c r="J21" s="10"/>
      <c r="K21" s="50"/>
      <c r="L21" s="7"/>
      <c r="M21" s="50"/>
      <c r="N21" s="10">
        <v>1</v>
      </c>
      <c r="O21" s="50"/>
      <c r="P21" s="7"/>
      <c r="Q21" s="50"/>
      <c r="R21" s="7"/>
      <c r="S21" s="50"/>
    </row>
    <row r="22" spans="1:25" ht="27" thickBot="1" x14ac:dyDescent="0.35">
      <c r="A22" s="231"/>
      <c r="B22" s="31"/>
      <c r="C22" s="31">
        <f>SUM(C4:C21)</f>
        <v>31</v>
      </c>
      <c r="D22" s="31">
        <f>SUM(D4:D21)</f>
        <v>0</v>
      </c>
      <c r="E22" s="31">
        <f>SUM(E4:E21)</f>
        <v>0</v>
      </c>
      <c r="F22" s="31">
        <f>SUM(F4:F21)</f>
        <v>58</v>
      </c>
      <c r="G22" s="154"/>
      <c r="H22" s="2">
        <f t="shared" ref="H22:S22" si="1">SUM(H4:H21)</f>
        <v>2</v>
      </c>
      <c r="I22" s="2">
        <f t="shared" si="1"/>
        <v>0</v>
      </c>
      <c r="J22" s="2">
        <f t="shared" si="1"/>
        <v>2</v>
      </c>
      <c r="K22" s="2">
        <f t="shared" si="1"/>
        <v>4</v>
      </c>
      <c r="L22" s="2">
        <f t="shared" si="1"/>
        <v>3</v>
      </c>
      <c r="M22" s="2">
        <f t="shared" si="1"/>
        <v>0</v>
      </c>
      <c r="N22" s="2">
        <f t="shared" si="1"/>
        <v>2</v>
      </c>
      <c r="O22" s="2">
        <f t="shared" si="1"/>
        <v>0</v>
      </c>
      <c r="P22" s="2">
        <f t="shared" si="1"/>
        <v>0</v>
      </c>
      <c r="Q22" s="2">
        <f t="shared" si="1"/>
        <v>0</v>
      </c>
      <c r="R22" s="2">
        <f t="shared" si="1"/>
        <v>2</v>
      </c>
      <c r="S22" s="2">
        <f t="shared" si="1"/>
        <v>0</v>
      </c>
      <c r="U22" s="35"/>
      <c r="V22" s="18"/>
      <c r="W22" s="18"/>
    </row>
    <row r="23" spans="1:25" ht="24" customHeight="1" thickTop="1" x14ac:dyDescent="0.3">
      <c r="A23" s="286" t="s">
        <v>27</v>
      </c>
      <c r="B23" s="23" t="s">
        <v>187</v>
      </c>
      <c r="C23" s="28">
        <v>2</v>
      </c>
      <c r="D23" s="28"/>
      <c r="E23" s="15"/>
      <c r="F23" s="16"/>
      <c r="G23" s="25"/>
      <c r="H23" s="43"/>
      <c r="I23" s="50"/>
      <c r="J23" s="10"/>
      <c r="K23" s="50"/>
      <c r="L23" s="7"/>
      <c r="M23" s="50"/>
      <c r="N23" s="7"/>
      <c r="O23" s="50"/>
      <c r="P23" s="7"/>
      <c r="Q23" s="50"/>
      <c r="R23" s="7"/>
      <c r="S23" s="50"/>
      <c r="U23" s="18"/>
      <c r="V23" s="18"/>
      <c r="W23" s="18"/>
      <c r="X23" s="18"/>
      <c r="Y23" s="18"/>
    </row>
    <row r="24" spans="1:25" ht="24" customHeight="1" x14ac:dyDescent="0.3">
      <c r="A24" s="287"/>
      <c r="B24" s="24" t="s">
        <v>188</v>
      </c>
      <c r="C24" s="32">
        <v>3</v>
      </c>
      <c r="D24" s="32"/>
      <c r="E24" s="54"/>
      <c r="F24" s="22">
        <v>20</v>
      </c>
      <c r="G24" s="25"/>
      <c r="H24" s="7"/>
      <c r="I24" s="50"/>
      <c r="J24" s="10"/>
      <c r="K24" s="50"/>
      <c r="L24" s="7"/>
      <c r="M24" s="50"/>
      <c r="N24" s="7"/>
      <c r="O24" s="50"/>
      <c r="P24" s="7"/>
      <c r="Q24" s="50"/>
      <c r="R24" s="7"/>
      <c r="S24" s="50"/>
      <c r="U24" s="18"/>
      <c r="V24" s="18"/>
      <c r="W24" s="18"/>
      <c r="X24" s="18"/>
      <c r="Y24" s="18"/>
    </row>
    <row r="25" spans="1:25" ht="24" customHeight="1" x14ac:dyDescent="0.3">
      <c r="A25" s="287"/>
      <c r="B25" s="24" t="s">
        <v>128</v>
      </c>
      <c r="C25" s="32"/>
      <c r="D25" s="32"/>
      <c r="E25" s="54"/>
      <c r="F25" s="22"/>
      <c r="G25" s="25"/>
      <c r="H25" s="43"/>
      <c r="I25" s="50"/>
      <c r="J25" s="10"/>
      <c r="K25" s="50"/>
      <c r="L25" s="7"/>
      <c r="M25" s="50"/>
      <c r="N25" s="7"/>
      <c r="O25" s="50"/>
      <c r="P25" s="7"/>
      <c r="Q25" s="50"/>
      <c r="R25" s="7"/>
      <c r="S25" s="50"/>
      <c r="U25" s="18"/>
      <c r="V25" s="18"/>
      <c r="W25" s="18"/>
      <c r="X25" s="18"/>
      <c r="Y25" s="18"/>
    </row>
    <row r="26" spans="1:25" ht="24" customHeight="1" x14ac:dyDescent="0.3">
      <c r="A26" s="287"/>
      <c r="B26" s="24" t="s">
        <v>127</v>
      </c>
      <c r="C26" s="32"/>
      <c r="D26" s="32"/>
      <c r="E26" s="54"/>
      <c r="F26" s="22"/>
      <c r="G26" s="25"/>
      <c r="H26" s="43"/>
      <c r="I26" s="50"/>
      <c r="J26" s="10"/>
      <c r="K26" s="50"/>
      <c r="L26" s="7"/>
      <c r="M26" s="50"/>
      <c r="N26" s="7"/>
      <c r="O26" s="50"/>
      <c r="P26" s="7"/>
      <c r="Q26" s="50"/>
      <c r="R26" s="7"/>
      <c r="S26" s="50"/>
      <c r="U26" s="18"/>
      <c r="V26" s="18"/>
      <c r="W26" s="18"/>
      <c r="X26" s="18"/>
      <c r="Y26" s="18"/>
    </row>
    <row r="27" spans="1:25" ht="24" customHeight="1" x14ac:dyDescent="0.3">
      <c r="A27" s="287"/>
      <c r="B27" s="24" t="s">
        <v>189</v>
      </c>
      <c r="C27" s="32">
        <v>2</v>
      </c>
      <c r="D27" s="32"/>
      <c r="E27" s="54">
        <v>1</v>
      </c>
      <c r="F27" s="22"/>
      <c r="G27" s="25"/>
      <c r="H27" s="10"/>
      <c r="I27" s="50"/>
      <c r="J27" s="10"/>
      <c r="K27" s="50"/>
      <c r="L27" s="7"/>
      <c r="M27" s="50"/>
      <c r="N27" s="7"/>
      <c r="O27" s="50"/>
      <c r="P27" s="7"/>
      <c r="Q27" s="50"/>
      <c r="R27" s="7"/>
      <c r="S27" s="50"/>
      <c r="U27" s="18"/>
      <c r="V27" s="18"/>
      <c r="W27" s="18"/>
      <c r="X27" s="18"/>
      <c r="Y27" s="18"/>
    </row>
    <row r="28" spans="1:25" ht="24" customHeight="1" x14ac:dyDescent="0.3">
      <c r="A28" s="287"/>
      <c r="B28" s="24" t="s">
        <v>140</v>
      </c>
      <c r="C28" s="32"/>
      <c r="D28" s="32"/>
      <c r="E28" s="54"/>
      <c r="F28" s="22"/>
      <c r="G28" s="25"/>
      <c r="H28" s="10"/>
      <c r="I28" s="50"/>
      <c r="J28" s="10"/>
      <c r="K28" s="50"/>
      <c r="L28" s="7"/>
      <c r="M28" s="50"/>
      <c r="N28" s="7"/>
      <c r="O28" s="50"/>
      <c r="P28" s="7"/>
      <c r="Q28" s="76"/>
      <c r="R28" s="7"/>
      <c r="S28" s="50"/>
      <c r="U28" s="18"/>
      <c r="V28" s="18"/>
      <c r="W28" s="18"/>
      <c r="X28" s="18"/>
      <c r="Y28" s="18"/>
    </row>
    <row r="29" spans="1:25" ht="24" customHeight="1" x14ac:dyDescent="0.3">
      <c r="A29" s="287"/>
      <c r="B29" s="24" t="s">
        <v>129</v>
      </c>
      <c r="C29" s="32"/>
      <c r="D29" s="32"/>
      <c r="E29" s="54"/>
      <c r="F29" s="22"/>
      <c r="G29" s="25"/>
      <c r="H29" s="43"/>
      <c r="I29" s="50"/>
      <c r="J29" s="10"/>
      <c r="K29" s="50"/>
      <c r="L29" s="7"/>
      <c r="M29" s="50"/>
      <c r="N29" s="7"/>
      <c r="O29" s="50"/>
      <c r="P29" s="7"/>
      <c r="Q29" s="50"/>
      <c r="R29" s="7"/>
      <c r="S29" s="50"/>
      <c r="U29" s="18"/>
      <c r="V29" s="18"/>
      <c r="W29" s="18"/>
      <c r="X29" s="18"/>
      <c r="Y29" s="18"/>
    </row>
    <row r="30" spans="1:25" ht="24" customHeight="1" x14ac:dyDescent="0.3">
      <c r="A30" s="287"/>
      <c r="B30" s="24" t="s">
        <v>145</v>
      </c>
      <c r="C30" s="32">
        <v>7</v>
      </c>
      <c r="D30" s="32"/>
      <c r="E30" s="54">
        <v>2</v>
      </c>
      <c r="F30" s="22"/>
      <c r="G30" s="25"/>
      <c r="H30" s="43"/>
      <c r="I30" s="50"/>
      <c r="J30" s="10"/>
      <c r="K30" s="50"/>
      <c r="L30" s="7">
        <v>1</v>
      </c>
      <c r="M30" s="50"/>
      <c r="N30" s="7"/>
      <c r="O30" s="50"/>
      <c r="P30" s="7"/>
      <c r="Q30" s="50"/>
      <c r="R30" s="7"/>
      <c r="S30" s="50"/>
      <c r="U30" s="18"/>
      <c r="V30" s="18"/>
      <c r="W30" s="18"/>
      <c r="X30" s="18"/>
      <c r="Y30" s="18"/>
    </row>
    <row r="31" spans="1:25" ht="24" customHeight="1" x14ac:dyDescent="0.3">
      <c r="A31" s="287"/>
      <c r="B31" s="24" t="s">
        <v>130</v>
      </c>
      <c r="C31" s="32"/>
      <c r="D31" s="32"/>
      <c r="E31" s="54"/>
      <c r="F31" s="22"/>
      <c r="G31" s="25"/>
      <c r="H31" s="43"/>
      <c r="I31" s="50"/>
      <c r="J31" s="10"/>
      <c r="K31" s="50"/>
      <c r="L31" s="7"/>
      <c r="M31" s="50"/>
      <c r="N31" s="7"/>
      <c r="O31" s="50"/>
      <c r="P31" s="7"/>
      <c r="Q31" s="50"/>
      <c r="R31" s="7"/>
      <c r="S31" s="50"/>
      <c r="U31" s="18"/>
      <c r="V31" s="18"/>
      <c r="W31" s="18"/>
      <c r="X31" s="18"/>
      <c r="Y31" s="18"/>
    </row>
    <row r="32" spans="1:25" ht="24" customHeight="1" x14ac:dyDescent="0.3">
      <c r="A32" s="287"/>
      <c r="B32" s="24" t="s">
        <v>131</v>
      </c>
      <c r="C32" s="32">
        <v>1</v>
      </c>
      <c r="D32" s="32"/>
      <c r="E32" s="54"/>
      <c r="F32" s="22"/>
      <c r="G32" s="25"/>
      <c r="H32" s="43"/>
      <c r="I32" s="50"/>
      <c r="J32" s="10"/>
      <c r="K32" s="50"/>
      <c r="L32" s="7"/>
      <c r="M32" s="50"/>
      <c r="N32" s="7"/>
      <c r="O32" s="50"/>
      <c r="P32" s="7"/>
      <c r="Q32" s="50"/>
      <c r="R32" s="7"/>
      <c r="S32" s="50"/>
      <c r="U32" s="18"/>
      <c r="V32" s="18"/>
      <c r="W32" s="18"/>
      <c r="X32" s="18"/>
      <c r="Y32" s="18"/>
    </row>
    <row r="33" spans="1:25" ht="24" customHeight="1" x14ac:dyDescent="0.3">
      <c r="A33" s="287"/>
      <c r="B33" s="24" t="s">
        <v>132</v>
      </c>
      <c r="C33" s="32"/>
      <c r="D33" s="32"/>
      <c r="E33" s="54"/>
      <c r="F33" s="22"/>
      <c r="G33" s="25"/>
      <c r="H33" s="43"/>
      <c r="I33" s="50"/>
      <c r="J33" s="10"/>
      <c r="K33" s="50"/>
      <c r="L33" s="7"/>
      <c r="M33" s="50"/>
      <c r="N33" s="7"/>
      <c r="O33" s="50"/>
      <c r="P33" s="7"/>
      <c r="Q33" s="50"/>
      <c r="R33" s="7"/>
      <c r="S33" s="50"/>
      <c r="U33" s="18"/>
      <c r="V33" s="18"/>
      <c r="W33" s="18"/>
      <c r="X33" s="18"/>
      <c r="Y33" s="18"/>
    </row>
    <row r="34" spans="1:25" ht="24" customHeight="1" x14ac:dyDescent="0.3">
      <c r="A34" s="287"/>
      <c r="B34" s="24" t="s">
        <v>133</v>
      </c>
      <c r="C34" s="32"/>
      <c r="D34" s="32"/>
      <c r="E34" s="54"/>
      <c r="F34" s="22"/>
      <c r="G34" s="25"/>
      <c r="H34" s="7"/>
      <c r="I34" s="50"/>
      <c r="J34" s="10"/>
      <c r="K34" s="50"/>
      <c r="L34" s="7"/>
      <c r="M34" s="50"/>
      <c r="N34" s="7"/>
      <c r="O34" s="50"/>
      <c r="P34" s="7"/>
      <c r="Q34" s="50"/>
      <c r="R34" s="7"/>
      <c r="S34" s="50"/>
      <c r="U34" s="18"/>
      <c r="V34" s="18"/>
      <c r="W34" s="18"/>
      <c r="X34" s="18"/>
      <c r="Y34" s="18"/>
    </row>
    <row r="35" spans="1:25" ht="24" customHeight="1" x14ac:dyDescent="0.3">
      <c r="A35" s="287"/>
      <c r="B35" s="24" t="s">
        <v>135</v>
      </c>
      <c r="C35" s="32"/>
      <c r="D35" s="32"/>
      <c r="E35" s="54"/>
      <c r="F35" s="22"/>
      <c r="G35" s="25"/>
      <c r="H35" s="7"/>
      <c r="I35" s="50"/>
      <c r="J35" s="10"/>
      <c r="K35" s="50"/>
      <c r="L35" s="7"/>
      <c r="M35" s="50"/>
      <c r="N35" s="7"/>
      <c r="O35" s="50"/>
      <c r="P35" s="7"/>
      <c r="Q35" s="50"/>
      <c r="R35" s="7"/>
      <c r="S35" s="50"/>
      <c r="U35" s="18"/>
      <c r="V35" s="18"/>
      <c r="W35" s="18"/>
      <c r="X35" s="18"/>
      <c r="Y35" s="18"/>
    </row>
    <row r="36" spans="1:25" ht="24" customHeight="1" x14ac:dyDescent="0.3">
      <c r="A36" s="287"/>
      <c r="B36" s="24" t="s">
        <v>141</v>
      </c>
      <c r="C36" s="32">
        <v>20</v>
      </c>
      <c r="D36" s="56"/>
      <c r="E36" s="54">
        <v>10</v>
      </c>
      <c r="F36" s="22"/>
      <c r="G36" s="25"/>
      <c r="H36" s="43"/>
      <c r="I36" s="50">
        <v>5</v>
      </c>
      <c r="J36" s="10"/>
      <c r="K36" s="50"/>
      <c r="L36" s="7"/>
      <c r="M36" s="50"/>
      <c r="N36" s="7"/>
      <c r="O36" s="50"/>
      <c r="P36" s="7"/>
      <c r="Q36" s="76"/>
      <c r="R36" s="7"/>
      <c r="S36" s="50"/>
      <c r="U36" s="18"/>
      <c r="V36" s="18"/>
      <c r="W36" s="18"/>
      <c r="X36" s="18"/>
      <c r="Y36" s="18"/>
    </row>
    <row r="37" spans="1:25" ht="24" customHeight="1" x14ac:dyDescent="0.3">
      <c r="A37" s="287"/>
      <c r="B37" s="24" t="s">
        <v>142</v>
      </c>
      <c r="C37" s="32"/>
      <c r="D37" s="32"/>
      <c r="E37" s="54"/>
      <c r="F37" s="22"/>
      <c r="G37" s="25"/>
      <c r="H37" s="43"/>
      <c r="I37" s="50"/>
      <c r="J37" s="10"/>
      <c r="K37" s="50"/>
      <c r="L37" s="7">
        <v>1</v>
      </c>
      <c r="M37" s="50"/>
      <c r="N37" s="7"/>
      <c r="O37" s="50"/>
      <c r="P37" s="7"/>
      <c r="Q37" s="50"/>
      <c r="R37" s="7"/>
      <c r="S37" s="50"/>
      <c r="U37" s="18"/>
      <c r="V37" s="18"/>
      <c r="W37" s="18"/>
      <c r="X37" s="18"/>
      <c r="Y37" s="18"/>
    </row>
    <row r="38" spans="1:25" ht="24" customHeight="1" x14ac:dyDescent="0.3">
      <c r="A38" s="287"/>
      <c r="B38" s="24" t="s">
        <v>144</v>
      </c>
      <c r="C38" s="32">
        <v>5</v>
      </c>
      <c r="D38" s="32"/>
      <c r="E38" s="101"/>
      <c r="F38" s="22"/>
      <c r="G38" s="25"/>
      <c r="H38" s="43"/>
      <c r="I38" s="50"/>
      <c r="J38" s="10"/>
      <c r="K38" s="50"/>
      <c r="L38" s="7"/>
      <c r="M38" s="50"/>
      <c r="N38" s="7"/>
      <c r="O38" s="50"/>
      <c r="P38" s="7"/>
      <c r="Q38" s="50"/>
      <c r="R38" s="7"/>
      <c r="S38" s="50"/>
      <c r="U38" s="18"/>
      <c r="V38" s="18"/>
      <c r="W38" s="18"/>
      <c r="X38" s="18"/>
      <c r="Y38" s="18"/>
    </row>
    <row r="39" spans="1:25" ht="24" customHeight="1" x14ac:dyDescent="0.3">
      <c r="A39" s="287"/>
      <c r="B39" s="24" t="s">
        <v>146</v>
      </c>
      <c r="C39" s="32"/>
      <c r="D39" s="32"/>
      <c r="E39" s="54"/>
      <c r="F39" s="22"/>
      <c r="G39" s="25"/>
      <c r="H39" s="43"/>
      <c r="I39" s="50"/>
      <c r="J39" s="10"/>
      <c r="K39" s="50"/>
      <c r="L39" s="7"/>
      <c r="M39" s="50"/>
      <c r="N39" s="7"/>
      <c r="O39" s="50"/>
      <c r="P39" s="7"/>
      <c r="Q39" s="50"/>
      <c r="R39" s="7"/>
      <c r="S39" s="50"/>
      <c r="U39" s="18"/>
      <c r="V39" s="18"/>
      <c r="W39" s="18"/>
      <c r="X39" s="18"/>
      <c r="Y39" s="18"/>
    </row>
    <row r="40" spans="1:25" ht="24" customHeight="1" x14ac:dyDescent="0.3">
      <c r="A40" s="287"/>
      <c r="B40" s="24" t="s">
        <v>136</v>
      </c>
      <c r="C40" s="32"/>
      <c r="D40" s="32"/>
      <c r="E40" s="54"/>
      <c r="F40" s="22"/>
      <c r="G40" s="25"/>
      <c r="H40" s="43"/>
      <c r="I40" s="50"/>
      <c r="J40" s="10"/>
      <c r="K40" s="50"/>
      <c r="L40" s="7"/>
      <c r="M40" s="50"/>
      <c r="N40" s="7"/>
      <c r="O40" s="50"/>
      <c r="P40" s="7"/>
      <c r="Q40" s="50"/>
      <c r="R40" s="7"/>
      <c r="S40" s="50"/>
      <c r="U40" s="18"/>
      <c r="V40" s="18"/>
      <c r="W40" s="18"/>
      <c r="X40" s="18"/>
      <c r="Y40" s="18"/>
    </row>
    <row r="41" spans="1:25" ht="24" customHeight="1" x14ac:dyDescent="0.3">
      <c r="A41" s="287"/>
      <c r="B41" s="24" t="s">
        <v>139</v>
      </c>
      <c r="C41" s="32"/>
      <c r="D41" s="32"/>
      <c r="E41" s="54"/>
      <c r="F41" s="22"/>
      <c r="G41" s="25"/>
      <c r="H41" s="10"/>
      <c r="I41" s="50"/>
      <c r="J41" s="10"/>
      <c r="K41" s="50"/>
      <c r="L41" s="7"/>
      <c r="M41" s="50"/>
      <c r="N41" s="7"/>
      <c r="O41" s="50"/>
      <c r="P41" s="7"/>
      <c r="Q41" s="50"/>
      <c r="R41" s="7"/>
      <c r="S41" s="50"/>
      <c r="U41" s="18"/>
      <c r="V41" s="18"/>
      <c r="W41" s="18"/>
      <c r="X41" s="18"/>
      <c r="Y41" s="18"/>
    </row>
    <row r="42" spans="1:25" ht="24" customHeight="1" x14ac:dyDescent="0.3">
      <c r="A42" s="287"/>
      <c r="B42" s="24" t="s">
        <v>137</v>
      </c>
      <c r="C42" s="32"/>
      <c r="D42" s="32"/>
      <c r="E42" s="54"/>
      <c r="F42" s="22"/>
      <c r="G42" s="25"/>
      <c r="H42" s="7"/>
      <c r="I42" s="50"/>
      <c r="J42" s="10"/>
      <c r="K42" s="50"/>
      <c r="L42" s="7"/>
      <c r="M42" s="50"/>
      <c r="N42" s="7"/>
      <c r="O42" s="50"/>
      <c r="P42" s="7"/>
      <c r="Q42" s="50"/>
      <c r="R42" s="7"/>
      <c r="S42" s="50"/>
      <c r="U42" s="18"/>
      <c r="V42" s="18"/>
      <c r="W42" s="18"/>
      <c r="X42" s="18"/>
      <c r="Y42" s="18"/>
    </row>
    <row r="43" spans="1:25" ht="27" thickBot="1" x14ac:dyDescent="0.35">
      <c r="A43" s="288"/>
      <c r="B43" s="26"/>
      <c r="C43" s="27">
        <f>SUM(C23:C42)</f>
        <v>40</v>
      </c>
      <c r="D43" s="27">
        <f>SUM(D23:D42)</f>
        <v>0</v>
      </c>
      <c r="E43" s="27">
        <f>SUM(E23:E42)</f>
        <v>13</v>
      </c>
      <c r="F43" s="125">
        <f>SUM(F23:F42)</f>
        <v>20</v>
      </c>
      <c r="G43" s="154"/>
      <c r="H43" s="2">
        <f t="shared" ref="H43:S43" si="2">SUM(H23:H42)</f>
        <v>0</v>
      </c>
      <c r="I43" s="2">
        <f t="shared" si="2"/>
        <v>5</v>
      </c>
      <c r="J43" s="2">
        <f t="shared" si="2"/>
        <v>0</v>
      </c>
      <c r="K43" s="2">
        <f t="shared" si="2"/>
        <v>0</v>
      </c>
      <c r="L43" s="2">
        <f t="shared" si="2"/>
        <v>2</v>
      </c>
      <c r="M43" s="2">
        <f t="shared" si="2"/>
        <v>0</v>
      </c>
      <c r="N43" s="2">
        <f t="shared" si="2"/>
        <v>0</v>
      </c>
      <c r="O43" s="2">
        <f t="shared" si="2"/>
        <v>0</v>
      </c>
      <c r="P43" s="2">
        <f t="shared" si="2"/>
        <v>0</v>
      </c>
      <c r="Q43" s="2">
        <f t="shared" si="2"/>
        <v>0</v>
      </c>
      <c r="R43" s="2">
        <f t="shared" si="2"/>
        <v>0</v>
      </c>
      <c r="S43" s="2">
        <f t="shared" si="2"/>
        <v>0</v>
      </c>
    </row>
    <row r="44" spans="1:25" ht="24" customHeight="1" thickTop="1" x14ac:dyDescent="0.3">
      <c r="A44" s="252" t="s">
        <v>13</v>
      </c>
      <c r="B44" s="3" t="s">
        <v>28</v>
      </c>
      <c r="C44" s="7"/>
      <c r="D44" s="7"/>
      <c r="E44" s="50"/>
      <c r="F44" s="50"/>
      <c r="G44" s="154"/>
      <c r="H44" s="7"/>
      <c r="I44" s="50"/>
      <c r="J44" s="10"/>
      <c r="K44" s="50"/>
      <c r="L44" s="7"/>
      <c r="M44" s="50"/>
      <c r="N44" s="7"/>
      <c r="O44" s="50"/>
      <c r="P44" s="7"/>
      <c r="Q44" s="50"/>
      <c r="R44" s="7"/>
      <c r="S44" s="50"/>
    </row>
    <row r="45" spans="1:25" ht="24" customHeight="1" x14ac:dyDescent="0.3">
      <c r="A45" s="252"/>
      <c r="B45" s="3" t="s">
        <v>29</v>
      </c>
      <c r="C45" s="77"/>
      <c r="D45" s="7"/>
      <c r="E45" s="50"/>
      <c r="F45" s="50"/>
      <c r="G45" s="154"/>
      <c r="H45" s="7"/>
      <c r="I45" s="50"/>
      <c r="J45" s="10"/>
      <c r="K45" s="50"/>
      <c r="L45" s="7"/>
      <c r="M45" s="50"/>
      <c r="N45" s="7"/>
      <c r="O45" s="50"/>
      <c r="P45" s="7"/>
      <c r="Q45" s="50"/>
      <c r="R45" s="7"/>
      <c r="S45" s="50"/>
    </row>
    <row r="46" spans="1:25" ht="24" customHeight="1" x14ac:dyDescent="0.3">
      <c r="A46" s="252"/>
      <c r="B46" s="3" t="s">
        <v>125</v>
      </c>
      <c r="C46" s="7"/>
      <c r="D46" s="7"/>
      <c r="E46" s="50"/>
      <c r="F46" s="50"/>
      <c r="G46" s="154"/>
      <c r="H46" s="7"/>
      <c r="I46" s="50"/>
      <c r="J46" s="10"/>
      <c r="K46" s="50"/>
      <c r="L46" s="7"/>
      <c r="M46" s="50">
        <v>1</v>
      </c>
      <c r="N46" s="7"/>
      <c r="O46" s="50"/>
      <c r="P46" s="7"/>
      <c r="Q46" s="50"/>
      <c r="R46" s="7">
        <v>1</v>
      </c>
      <c r="S46" s="50"/>
    </row>
    <row r="47" spans="1:25" ht="24" customHeight="1" x14ac:dyDescent="0.3">
      <c r="A47" s="252"/>
      <c r="B47" s="3" t="s">
        <v>121</v>
      </c>
      <c r="C47" s="7"/>
      <c r="D47" s="7"/>
      <c r="E47" s="50"/>
      <c r="F47" s="50"/>
      <c r="G47" s="154"/>
      <c r="H47" s="7"/>
      <c r="I47" s="50"/>
      <c r="J47" s="10"/>
      <c r="K47" s="50">
        <v>1</v>
      </c>
      <c r="L47" s="7"/>
      <c r="M47" s="50"/>
      <c r="N47" s="7"/>
      <c r="O47" s="50"/>
      <c r="P47" s="7"/>
      <c r="Q47" s="50"/>
      <c r="R47" s="7"/>
      <c r="S47" s="50"/>
    </row>
    <row r="48" spans="1:25" ht="24" customHeight="1" x14ac:dyDescent="0.3">
      <c r="A48" s="252"/>
      <c r="B48" s="3" t="s">
        <v>122</v>
      </c>
      <c r="C48" s="7"/>
      <c r="D48" s="7"/>
      <c r="E48" s="50"/>
      <c r="F48" s="50"/>
      <c r="G48" s="154"/>
      <c r="H48" s="7"/>
      <c r="I48" s="50"/>
      <c r="J48" s="10"/>
      <c r="K48" s="50"/>
      <c r="L48" s="7"/>
      <c r="M48" s="50"/>
      <c r="N48" s="7"/>
      <c r="O48" s="50"/>
      <c r="P48" s="7"/>
      <c r="Q48" s="50"/>
      <c r="R48" s="7"/>
      <c r="S48" s="50"/>
    </row>
    <row r="49" spans="1:37" ht="24" customHeight="1" x14ac:dyDescent="0.3">
      <c r="A49" s="252"/>
      <c r="B49" s="3" t="s">
        <v>123</v>
      </c>
      <c r="C49" s="7"/>
      <c r="D49" s="7"/>
      <c r="E49" s="50"/>
      <c r="F49" s="50">
        <v>5</v>
      </c>
      <c r="G49" s="154"/>
      <c r="H49" s="7"/>
      <c r="I49" s="50"/>
      <c r="J49" s="10">
        <v>1</v>
      </c>
      <c r="K49" s="50"/>
      <c r="L49" s="7"/>
      <c r="M49" s="50"/>
      <c r="N49" s="7"/>
      <c r="O49" s="50"/>
      <c r="P49" s="7"/>
      <c r="Q49" s="50"/>
      <c r="R49" s="7"/>
      <c r="S49" s="50"/>
    </row>
    <row r="50" spans="1:37" ht="24" customHeight="1" x14ac:dyDescent="0.3">
      <c r="A50" s="252"/>
      <c r="B50" s="100" t="s">
        <v>126</v>
      </c>
      <c r="C50" s="7">
        <v>38</v>
      </c>
      <c r="D50" s="7"/>
      <c r="E50" s="50">
        <v>8</v>
      </c>
      <c r="F50" s="50"/>
      <c r="G50" s="154"/>
      <c r="H50" s="7">
        <v>6</v>
      </c>
      <c r="I50" s="50"/>
      <c r="J50" s="10"/>
      <c r="K50" s="50">
        <v>6</v>
      </c>
      <c r="L50" s="7"/>
      <c r="M50" s="50"/>
      <c r="N50" s="7"/>
      <c r="O50" s="50"/>
      <c r="P50" s="7"/>
      <c r="Q50" s="50"/>
      <c r="R50" s="7"/>
      <c r="S50" s="50"/>
    </row>
    <row r="51" spans="1:37" ht="24" customHeight="1" x14ac:dyDescent="0.3">
      <c r="A51" s="252"/>
      <c r="B51" s="100" t="s">
        <v>124</v>
      </c>
      <c r="C51" s="7"/>
      <c r="D51" s="7"/>
      <c r="E51" s="50"/>
      <c r="F51" s="50"/>
      <c r="G51" s="154"/>
      <c r="H51" s="7">
        <v>1</v>
      </c>
      <c r="I51" s="50"/>
      <c r="J51" s="10">
        <v>1</v>
      </c>
      <c r="K51" s="50"/>
      <c r="L51" s="7"/>
      <c r="M51" s="50">
        <v>1</v>
      </c>
      <c r="N51" s="7"/>
      <c r="O51" s="50"/>
      <c r="P51" s="7"/>
      <c r="Q51" s="50"/>
      <c r="R51" s="7"/>
      <c r="S51" s="50"/>
    </row>
    <row r="52" spans="1:37" ht="26.25" x14ac:dyDescent="0.3">
      <c r="A52" s="279"/>
      <c r="B52" s="122"/>
      <c r="C52" s="123">
        <f>SUM(C44:C51)</f>
        <v>38</v>
      </c>
      <c r="D52" s="123">
        <f>SUM(D44:D51)</f>
        <v>0</v>
      </c>
      <c r="E52" s="123">
        <f>SUM(E44:E51)</f>
        <v>8</v>
      </c>
      <c r="F52" s="123">
        <f>SUM(F44:F51)</f>
        <v>5</v>
      </c>
      <c r="G52" s="154"/>
      <c r="H52" s="2">
        <f t="shared" ref="H52:S52" si="3">SUM(H44:H51)</f>
        <v>7</v>
      </c>
      <c r="I52" s="123">
        <f t="shared" si="3"/>
        <v>0</v>
      </c>
      <c r="J52" s="123">
        <f t="shared" si="3"/>
        <v>2</v>
      </c>
      <c r="K52" s="123">
        <f t="shared" si="3"/>
        <v>7</v>
      </c>
      <c r="L52" s="123">
        <f t="shared" si="3"/>
        <v>0</v>
      </c>
      <c r="M52" s="123">
        <f t="shared" si="3"/>
        <v>2</v>
      </c>
      <c r="N52" s="123">
        <f t="shared" si="3"/>
        <v>0</v>
      </c>
      <c r="O52" s="123">
        <f t="shared" si="3"/>
        <v>0</v>
      </c>
      <c r="P52" s="123">
        <f t="shared" si="3"/>
        <v>0</v>
      </c>
      <c r="Q52" s="123">
        <f t="shared" si="3"/>
        <v>0</v>
      </c>
      <c r="R52" s="123">
        <f t="shared" si="3"/>
        <v>1</v>
      </c>
      <c r="S52" s="123">
        <f t="shared" si="3"/>
        <v>0</v>
      </c>
      <c r="Y52" s="254"/>
      <c r="Z52" s="254"/>
      <c r="AA52" s="254"/>
      <c r="AB52" s="254"/>
      <c r="AD52" s="234"/>
      <c r="AE52" s="234"/>
      <c r="AF52" s="234"/>
      <c r="AG52" s="234"/>
      <c r="AH52" s="234"/>
      <c r="AJ52" s="234"/>
      <c r="AK52" s="234"/>
    </row>
    <row r="53" spans="1:37" ht="24" customHeight="1" x14ac:dyDescent="0.3">
      <c r="A53" s="253" t="s">
        <v>118</v>
      </c>
      <c r="B53" s="3" t="s">
        <v>171</v>
      </c>
      <c r="C53" s="7"/>
      <c r="D53" s="7"/>
      <c r="E53" s="50"/>
      <c r="F53" s="50">
        <v>2</v>
      </c>
      <c r="G53" s="154"/>
      <c r="H53" s="7"/>
      <c r="I53" s="50"/>
      <c r="J53" s="10"/>
      <c r="K53" s="50"/>
      <c r="L53" s="7"/>
      <c r="M53" s="50"/>
      <c r="N53" s="7"/>
      <c r="O53" s="50"/>
      <c r="P53" s="7"/>
      <c r="Q53" s="50"/>
      <c r="R53" s="7"/>
      <c r="S53" s="50"/>
    </row>
    <row r="54" spans="1:37" ht="24" customHeight="1" x14ac:dyDescent="0.3">
      <c r="A54" s="253"/>
      <c r="B54" s="3" t="s">
        <v>168</v>
      </c>
      <c r="C54" s="7"/>
      <c r="D54" s="7"/>
      <c r="E54" s="50"/>
      <c r="F54" s="50">
        <v>2</v>
      </c>
      <c r="G54" s="154"/>
      <c r="H54" s="7"/>
      <c r="I54" s="50"/>
      <c r="J54" s="10"/>
      <c r="K54" s="50">
        <v>1</v>
      </c>
      <c r="L54" s="7"/>
      <c r="M54" s="50"/>
      <c r="N54" s="7"/>
      <c r="O54" s="50"/>
      <c r="P54" s="7"/>
      <c r="Q54" s="50"/>
      <c r="R54" s="7"/>
      <c r="S54" s="50"/>
    </row>
    <row r="55" spans="1:37" ht="24" customHeight="1" x14ac:dyDescent="0.3">
      <c r="A55" s="253"/>
      <c r="B55" s="3" t="s">
        <v>170</v>
      </c>
      <c r="C55" s="7"/>
      <c r="D55" s="7"/>
      <c r="E55" s="50"/>
      <c r="F55" s="50">
        <v>3</v>
      </c>
      <c r="G55" s="154"/>
      <c r="H55" s="7"/>
      <c r="I55" s="50"/>
      <c r="J55" s="10"/>
      <c r="L55" s="7"/>
      <c r="M55" s="50"/>
      <c r="N55" s="7"/>
      <c r="O55" s="50"/>
      <c r="P55" s="7"/>
      <c r="Q55" s="50"/>
      <c r="R55" s="7"/>
      <c r="S55" s="50"/>
    </row>
    <row r="56" spans="1:37" ht="24" customHeight="1" x14ac:dyDescent="0.3">
      <c r="A56" s="253"/>
      <c r="B56" s="100" t="s">
        <v>166</v>
      </c>
      <c r="C56" s="7"/>
      <c r="D56" s="7"/>
      <c r="E56" s="50"/>
      <c r="F56" s="50"/>
      <c r="G56" s="154"/>
      <c r="H56" s="7"/>
      <c r="I56" s="50"/>
      <c r="J56" s="10"/>
      <c r="K56" s="50"/>
      <c r="L56" s="7">
        <v>2</v>
      </c>
      <c r="M56" s="50"/>
      <c r="N56" s="7">
        <v>2</v>
      </c>
      <c r="O56" s="50"/>
      <c r="P56" s="7">
        <v>2</v>
      </c>
      <c r="Q56" s="50"/>
      <c r="R56" s="7"/>
      <c r="S56" s="50"/>
    </row>
    <row r="57" spans="1:37" ht="24" customHeight="1" x14ac:dyDescent="0.3">
      <c r="A57" s="253"/>
      <c r="B57" s="100" t="s">
        <v>167</v>
      </c>
      <c r="C57" s="7">
        <v>6</v>
      </c>
      <c r="D57" s="7"/>
      <c r="E57" s="50"/>
      <c r="F57" s="50"/>
      <c r="G57" s="154"/>
      <c r="H57" s="7"/>
      <c r="I57" s="50"/>
      <c r="J57" s="10"/>
      <c r="K57" s="50"/>
      <c r="L57" s="7"/>
      <c r="M57" s="50"/>
      <c r="N57" s="7">
        <v>1</v>
      </c>
      <c r="O57" s="50"/>
      <c r="P57" s="7"/>
      <c r="Q57" s="50"/>
      <c r="R57" s="7">
        <v>1</v>
      </c>
      <c r="S57" s="50"/>
    </row>
    <row r="58" spans="1:37" ht="24" customHeight="1" x14ac:dyDescent="0.3">
      <c r="A58" s="253"/>
      <c r="B58" s="100" t="s">
        <v>172</v>
      </c>
      <c r="C58" s="7"/>
      <c r="D58" s="7"/>
      <c r="E58" s="50"/>
      <c r="F58" s="50"/>
      <c r="G58" s="154"/>
      <c r="H58" s="7"/>
      <c r="I58" s="50"/>
      <c r="J58" s="10"/>
      <c r="K58" s="50"/>
      <c r="L58" s="7"/>
      <c r="M58" s="50"/>
      <c r="N58" s="7">
        <v>4</v>
      </c>
      <c r="O58" s="50"/>
      <c r="P58" s="7"/>
      <c r="Q58" s="50"/>
      <c r="R58" s="7"/>
      <c r="S58" s="50"/>
    </row>
    <row r="59" spans="1:37" ht="24" customHeight="1" x14ac:dyDescent="0.3">
      <c r="A59" s="253"/>
      <c r="B59" s="100" t="s">
        <v>165</v>
      </c>
      <c r="C59" s="7">
        <v>5</v>
      </c>
      <c r="D59" s="7"/>
      <c r="E59" s="50"/>
      <c r="F59" s="50"/>
      <c r="G59" s="154"/>
      <c r="H59" s="7"/>
      <c r="I59" s="50"/>
      <c r="J59" s="10"/>
      <c r="K59" s="50"/>
      <c r="L59" s="7"/>
      <c r="M59" s="50"/>
      <c r="N59" s="7">
        <v>1</v>
      </c>
      <c r="O59" s="50"/>
      <c r="P59" s="7"/>
      <c r="Q59" s="50"/>
      <c r="R59" s="7"/>
      <c r="S59" s="50"/>
    </row>
    <row r="60" spans="1:37" ht="24" customHeight="1" x14ac:dyDescent="0.3">
      <c r="A60" s="253"/>
      <c r="B60" s="3" t="s">
        <v>173</v>
      </c>
      <c r="C60" s="7"/>
      <c r="D60" s="7"/>
      <c r="E60" s="50"/>
      <c r="F60" s="50"/>
      <c r="G60" s="154"/>
      <c r="H60" s="7"/>
      <c r="I60" s="50"/>
      <c r="J60" s="10"/>
      <c r="K60" s="50"/>
      <c r="L60" s="7"/>
      <c r="M60" s="50"/>
      <c r="N60" s="7"/>
      <c r="O60" s="50"/>
      <c r="P60" s="7"/>
      <c r="Q60" s="50"/>
      <c r="R60" s="7"/>
      <c r="S60" s="50"/>
    </row>
    <row r="61" spans="1:37" ht="24" customHeight="1" x14ac:dyDescent="0.3">
      <c r="A61" s="253"/>
      <c r="B61" s="3" t="s">
        <v>169</v>
      </c>
      <c r="C61" s="7"/>
      <c r="D61" s="7"/>
      <c r="E61" s="50"/>
      <c r="F61" s="50"/>
      <c r="G61" s="154"/>
      <c r="H61" s="7"/>
      <c r="I61" s="50"/>
      <c r="J61" s="10"/>
      <c r="K61" s="50"/>
      <c r="L61" s="7"/>
      <c r="M61" s="50"/>
      <c r="N61" s="7"/>
      <c r="O61" s="50"/>
      <c r="P61" s="7"/>
      <c r="Q61" s="50"/>
      <c r="R61" s="7"/>
      <c r="S61" s="50"/>
    </row>
    <row r="62" spans="1:37" ht="26.25" x14ac:dyDescent="0.3">
      <c r="A62" s="253"/>
      <c r="B62" s="2"/>
      <c r="C62" s="2">
        <f>SUM(C53:C61)</f>
        <v>11</v>
      </c>
      <c r="D62" s="2">
        <f>SUM(D53:D61)</f>
        <v>0</v>
      </c>
      <c r="E62" s="2">
        <f>SUM(E53:E61)</f>
        <v>0</v>
      </c>
      <c r="F62" s="2">
        <f>SUM(F53:F61)</f>
        <v>7</v>
      </c>
      <c r="G62" s="154"/>
      <c r="H62" s="2">
        <f t="shared" ref="H62:S62" si="4">SUM(H53:H61)</f>
        <v>0</v>
      </c>
      <c r="I62" s="2">
        <f t="shared" si="4"/>
        <v>0</v>
      </c>
      <c r="J62" s="2">
        <f t="shared" si="4"/>
        <v>0</v>
      </c>
      <c r="K62" s="2">
        <f t="shared" si="4"/>
        <v>1</v>
      </c>
      <c r="L62" s="2">
        <f t="shared" si="4"/>
        <v>2</v>
      </c>
      <c r="M62" s="2">
        <f t="shared" si="4"/>
        <v>0</v>
      </c>
      <c r="N62" s="2">
        <f t="shared" si="4"/>
        <v>8</v>
      </c>
      <c r="O62" s="2">
        <f t="shared" si="4"/>
        <v>0</v>
      </c>
      <c r="P62" s="2">
        <f t="shared" si="4"/>
        <v>2</v>
      </c>
      <c r="Q62" s="2">
        <f t="shared" si="4"/>
        <v>0</v>
      </c>
      <c r="R62" s="2">
        <f t="shared" si="4"/>
        <v>1</v>
      </c>
      <c r="S62" s="2">
        <f t="shared" si="4"/>
        <v>0</v>
      </c>
      <c r="Y62" s="254"/>
      <c r="Z62" s="254"/>
      <c r="AA62" s="254"/>
      <c r="AB62" s="254"/>
      <c r="AD62" s="234"/>
      <c r="AE62" s="234"/>
      <c r="AF62" s="234"/>
      <c r="AG62" s="234"/>
      <c r="AH62" s="234"/>
      <c r="AJ62" s="234"/>
      <c r="AK62" s="234"/>
    </row>
    <row r="64" spans="1:37" ht="19.5" customHeight="1" x14ac:dyDescent="0.35">
      <c r="A64" s="235" t="s">
        <v>23</v>
      </c>
      <c r="B64" s="235"/>
      <c r="C64" s="126">
        <v>47000</v>
      </c>
      <c r="D64" s="126">
        <v>4700</v>
      </c>
      <c r="E64" s="126">
        <v>58000</v>
      </c>
      <c r="F64" s="126">
        <v>5800</v>
      </c>
      <c r="H64" s="126">
        <v>5800</v>
      </c>
      <c r="I64" s="126">
        <v>4700</v>
      </c>
      <c r="J64" s="20">
        <v>6800</v>
      </c>
      <c r="K64" s="20">
        <v>5200</v>
      </c>
      <c r="L64" s="20">
        <v>20700</v>
      </c>
      <c r="M64" s="20">
        <v>6400</v>
      </c>
      <c r="N64" s="20">
        <v>18700</v>
      </c>
      <c r="O64" s="126">
        <v>25700</v>
      </c>
      <c r="P64" s="126">
        <v>8800</v>
      </c>
      <c r="Q64" s="20">
        <v>21700</v>
      </c>
      <c r="R64" s="20">
        <v>15000</v>
      </c>
      <c r="S64" s="20">
        <v>18000</v>
      </c>
      <c r="U64" s="236">
        <f>P67*0.85</f>
        <v>6772460</v>
      </c>
      <c r="V64" s="237"/>
      <c r="W64" s="238"/>
      <c r="Y64" s="242">
        <f>P69-P67</f>
        <v>0</v>
      </c>
      <c r="Z64" s="243"/>
      <c r="AA64" s="243"/>
      <c r="AB64" s="243"/>
      <c r="AD64" s="234"/>
      <c r="AE64" s="234"/>
      <c r="AF64" s="234"/>
      <c r="AG64" s="234"/>
      <c r="AH64" s="234"/>
      <c r="AJ64" s="234"/>
      <c r="AK64" s="234"/>
    </row>
    <row r="65" spans="1:37" ht="19.5" customHeight="1" x14ac:dyDescent="0.35">
      <c r="A65" s="235" t="s">
        <v>24</v>
      </c>
      <c r="B65" s="235"/>
      <c r="C65" s="20">
        <f>C64*C3</f>
        <v>5640000</v>
      </c>
      <c r="D65" s="20">
        <f>D64*D3</f>
        <v>0</v>
      </c>
      <c r="E65" s="20">
        <f>E64*E3</f>
        <v>1218000</v>
      </c>
      <c r="F65" s="20">
        <f>F64*F3</f>
        <v>522000</v>
      </c>
      <c r="H65" s="20">
        <f t="shared" ref="H65:S65" si="5">H64*H3</f>
        <v>52200</v>
      </c>
      <c r="I65" s="20">
        <f t="shared" si="5"/>
        <v>23500</v>
      </c>
      <c r="J65" s="20">
        <f t="shared" si="5"/>
        <v>27200</v>
      </c>
      <c r="K65" s="20">
        <f t="shared" si="5"/>
        <v>62400</v>
      </c>
      <c r="L65" s="20">
        <f t="shared" si="5"/>
        <v>144900</v>
      </c>
      <c r="M65" s="20">
        <f t="shared" si="5"/>
        <v>12800</v>
      </c>
      <c r="N65" s="20">
        <f t="shared" si="5"/>
        <v>187000</v>
      </c>
      <c r="O65" s="20">
        <f t="shared" si="5"/>
        <v>0</v>
      </c>
      <c r="P65" s="20">
        <f t="shared" si="5"/>
        <v>17600</v>
      </c>
      <c r="Q65" s="20">
        <f t="shared" si="5"/>
        <v>0</v>
      </c>
      <c r="R65" s="20">
        <f t="shared" si="5"/>
        <v>60000</v>
      </c>
      <c r="S65" s="20">
        <f t="shared" si="5"/>
        <v>0</v>
      </c>
      <c r="U65" s="239"/>
      <c r="V65" s="240"/>
      <c r="W65" s="241"/>
      <c r="Y65" s="243"/>
      <c r="Z65" s="243"/>
      <c r="AA65" s="243"/>
      <c r="AB65" s="243"/>
      <c r="AD65" s="234"/>
      <c r="AE65" s="234"/>
      <c r="AF65" s="234"/>
      <c r="AG65" s="234"/>
      <c r="AH65" s="234"/>
      <c r="AJ65" s="234"/>
      <c r="AK65" s="234"/>
    </row>
    <row r="67" spans="1:37" ht="26.25" x14ac:dyDescent="0.3">
      <c r="P67" s="259">
        <f>SUM(C65:S65)</f>
        <v>7967600</v>
      </c>
      <c r="Q67" s="260"/>
      <c r="U67" s="247"/>
      <c r="V67" s="248"/>
      <c r="W67" s="248"/>
      <c r="Y67" s="249"/>
      <c r="Z67" s="250"/>
      <c r="AA67" s="250"/>
      <c r="AB67" s="251"/>
    </row>
    <row r="69" spans="1:37" ht="26.25" x14ac:dyDescent="0.3">
      <c r="C69" s="244"/>
      <c r="D69" s="245"/>
      <c r="P69" s="246">
        <v>7967600</v>
      </c>
      <c r="Q69" s="246"/>
      <c r="U69" s="247">
        <f>P69*0.85</f>
        <v>6772460</v>
      </c>
      <c r="V69" s="248"/>
      <c r="W69" s="248"/>
      <c r="Y69" s="249"/>
      <c r="Z69" s="250"/>
      <c r="AA69" s="250"/>
      <c r="AB69" s="251"/>
    </row>
    <row r="70" spans="1:37" x14ac:dyDescent="0.3">
      <c r="Q70" s="18"/>
      <c r="S70" s="18"/>
      <c r="U70" s="245"/>
      <c r="V70" s="245"/>
      <c r="W70" s="245"/>
      <c r="Y70" s="255"/>
      <c r="Z70" s="256"/>
      <c r="AA70" s="256"/>
      <c r="AB70" s="256"/>
    </row>
    <row r="71" spans="1:37" x14ac:dyDescent="0.3">
      <c r="P71" s="244"/>
      <c r="Q71" s="245"/>
      <c r="U71" s="245"/>
      <c r="V71" s="245"/>
      <c r="W71" s="245"/>
      <c r="Y71" s="245"/>
      <c r="Z71" s="245"/>
      <c r="AA71" s="245"/>
      <c r="AB71" s="245"/>
    </row>
    <row r="72" spans="1:37" x14ac:dyDescent="0.3">
      <c r="P72" s="245"/>
      <c r="Q72" s="245"/>
      <c r="U72" s="245"/>
      <c r="V72" s="245"/>
      <c r="W72" s="245"/>
      <c r="Y72" s="245"/>
      <c r="Z72" s="245"/>
      <c r="AA72" s="245"/>
      <c r="AB72" s="245"/>
    </row>
    <row r="73" spans="1:37" x14ac:dyDescent="0.3">
      <c r="P73" s="18"/>
      <c r="Q73" s="18"/>
      <c r="S73" s="18"/>
      <c r="Y73" s="245"/>
      <c r="Z73" s="245"/>
      <c r="AA73" s="245"/>
      <c r="AB73" s="245"/>
    </row>
    <row r="74" spans="1:37" x14ac:dyDescent="0.3">
      <c r="C74">
        <f>C64*0.85</f>
        <v>39950</v>
      </c>
      <c r="D74">
        <f t="shared" ref="D74:R74" si="6">D64*0.85</f>
        <v>3995</v>
      </c>
      <c r="E74">
        <f t="shared" si="6"/>
        <v>49300</v>
      </c>
      <c r="F74">
        <f t="shared" si="6"/>
        <v>4930</v>
      </c>
      <c r="H74">
        <f t="shared" si="6"/>
        <v>4930</v>
      </c>
      <c r="I74">
        <f t="shared" si="6"/>
        <v>3995</v>
      </c>
      <c r="J74">
        <f t="shared" si="6"/>
        <v>5780</v>
      </c>
      <c r="K74">
        <f t="shared" si="6"/>
        <v>4420</v>
      </c>
      <c r="L74">
        <f t="shared" si="6"/>
        <v>17595</v>
      </c>
      <c r="M74">
        <f t="shared" si="6"/>
        <v>5440</v>
      </c>
      <c r="N74">
        <f t="shared" si="6"/>
        <v>15895</v>
      </c>
      <c r="O74">
        <f t="shared" si="6"/>
        <v>21845</v>
      </c>
      <c r="P74">
        <f t="shared" si="6"/>
        <v>7480</v>
      </c>
      <c r="Q74">
        <f t="shared" si="6"/>
        <v>18445</v>
      </c>
      <c r="R74">
        <f t="shared" si="6"/>
        <v>12750</v>
      </c>
      <c r="S74">
        <f>S64*0.85</f>
        <v>15300</v>
      </c>
    </row>
    <row r="75" spans="1:37" x14ac:dyDescent="0.3">
      <c r="C75">
        <v>29500</v>
      </c>
      <c r="D75">
        <v>2950</v>
      </c>
      <c r="E75">
        <v>51000</v>
      </c>
      <c r="F75">
        <v>5100</v>
      </c>
      <c r="H75">
        <v>3600</v>
      </c>
      <c r="I75">
        <v>2950</v>
      </c>
      <c r="J75">
        <v>4000</v>
      </c>
      <c r="K75">
        <v>4200</v>
      </c>
      <c r="L75">
        <v>15000</v>
      </c>
      <c r="M75">
        <v>4500</v>
      </c>
      <c r="N75">
        <v>9500</v>
      </c>
      <c r="O75">
        <v>12000</v>
      </c>
      <c r="P75">
        <v>8000</v>
      </c>
      <c r="Q75">
        <v>12000</v>
      </c>
      <c r="R75">
        <v>8500</v>
      </c>
    </row>
    <row r="76" spans="1:37" x14ac:dyDescent="0.3">
      <c r="C76">
        <f>C74-C75</f>
        <v>10450</v>
      </c>
      <c r="D76">
        <f t="shared" ref="D76:R76" si="7">D74-D75</f>
        <v>1045</v>
      </c>
      <c r="E76">
        <f t="shared" si="7"/>
        <v>-1700</v>
      </c>
      <c r="F76">
        <f t="shared" si="7"/>
        <v>-170</v>
      </c>
      <c r="H76">
        <f t="shared" si="7"/>
        <v>1330</v>
      </c>
      <c r="I76">
        <f t="shared" si="7"/>
        <v>1045</v>
      </c>
      <c r="J76">
        <f t="shared" si="7"/>
        <v>1780</v>
      </c>
      <c r="K76">
        <f t="shared" si="7"/>
        <v>220</v>
      </c>
      <c r="L76">
        <f t="shared" si="7"/>
        <v>2595</v>
      </c>
      <c r="M76">
        <f t="shared" si="7"/>
        <v>940</v>
      </c>
      <c r="N76">
        <f t="shared" si="7"/>
        <v>6395</v>
      </c>
      <c r="O76">
        <f t="shared" si="7"/>
        <v>9845</v>
      </c>
      <c r="P76">
        <f t="shared" si="7"/>
        <v>-520</v>
      </c>
      <c r="Q76">
        <f t="shared" si="7"/>
        <v>6445</v>
      </c>
      <c r="R76">
        <f t="shared" si="7"/>
        <v>4250</v>
      </c>
    </row>
    <row r="77" spans="1:37" x14ac:dyDescent="0.3">
      <c r="C77">
        <f t="shared" ref="C77:R77" si="8">C76*C3</f>
        <v>1254000</v>
      </c>
      <c r="D77">
        <f t="shared" si="8"/>
        <v>0</v>
      </c>
      <c r="E77">
        <f t="shared" si="8"/>
        <v>-35700</v>
      </c>
      <c r="F77">
        <f t="shared" si="8"/>
        <v>-15300</v>
      </c>
      <c r="G77">
        <f t="shared" si="8"/>
        <v>0</v>
      </c>
      <c r="H77">
        <f t="shared" si="8"/>
        <v>11970</v>
      </c>
      <c r="I77">
        <f t="shared" si="8"/>
        <v>5225</v>
      </c>
      <c r="J77">
        <f t="shared" si="8"/>
        <v>7120</v>
      </c>
      <c r="K77">
        <f t="shared" si="8"/>
        <v>2640</v>
      </c>
      <c r="L77">
        <f t="shared" si="8"/>
        <v>18165</v>
      </c>
      <c r="M77">
        <f t="shared" si="8"/>
        <v>1880</v>
      </c>
      <c r="N77">
        <f t="shared" si="8"/>
        <v>63950</v>
      </c>
      <c r="O77">
        <f t="shared" si="8"/>
        <v>0</v>
      </c>
      <c r="P77">
        <f t="shared" si="8"/>
        <v>-1040</v>
      </c>
      <c r="Q77">
        <f t="shared" si="8"/>
        <v>0</v>
      </c>
      <c r="R77">
        <f t="shared" si="8"/>
        <v>17000</v>
      </c>
      <c r="X77" s="245"/>
      <c r="Y77" s="245"/>
      <c r="Z77" s="245"/>
      <c r="AA77" s="245"/>
      <c r="AB77" s="245"/>
    </row>
    <row r="78" spans="1:37" x14ac:dyDescent="0.3">
      <c r="X78" s="245"/>
      <c r="Y78" s="245"/>
      <c r="Z78" s="245"/>
      <c r="AA78" s="245"/>
      <c r="AB78" s="245"/>
    </row>
    <row r="79" spans="1:37" ht="26.25" x14ac:dyDescent="0.3">
      <c r="P79" s="257">
        <f>SUM(C77:R77)</f>
        <v>1329910</v>
      </c>
      <c r="Q79" s="258"/>
    </row>
  </sheetData>
  <mergeCells count="31">
    <mergeCell ref="U70:W72"/>
    <mergeCell ref="Y70:AB73"/>
    <mergeCell ref="P71:Q72"/>
    <mergeCell ref="X77:AB78"/>
    <mergeCell ref="P79:Q79"/>
    <mergeCell ref="P67:Q67"/>
    <mergeCell ref="U67:W67"/>
    <mergeCell ref="Y67:AB67"/>
    <mergeCell ref="C69:D69"/>
    <mergeCell ref="P69:Q69"/>
    <mergeCell ref="U69:W69"/>
    <mergeCell ref="Y69:AB69"/>
    <mergeCell ref="A64:B64"/>
    <mergeCell ref="U64:W65"/>
    <mergeCell ref="Y64:AB65"/>
    <mergeCell ref="AD64:AH65"/>
    <mergeCell ref="AJ64:AK65"/>
    <mergeCell ref="A65:B65"/>
    <mergeCell ref="Y52:AB52"/>
    <mergeCell ref="AD52:AH52"/>
    <mergeCell ref="AJ52:AK52"/>
    <mergeCell ref="A53:A62"/>
    <mergeCell ref="Y62:AB62"/>
    <mergeCell ref="AD62:AH62"/>
    <mergeCell ref="AJ62:AK62"/>
    <mergeCell ref="A1:B2"/>
    <mergeCell ref="C1:D1"/>
    <mergeCell ref="E1:F1"/>
    <mergeCell ref="A4:A22"/>
    <mergeCell ref="A23:A43"/>
    <mergeCell ref="A44:A52"/>
  </mergeCells>
  <phoneticPr fontId="42" type="noConversion"/>
  <conditionalFormatting sqref="B7:B11">
    <cfRule type="duplicateValues" dxfId="125" priority="2"/>
  </conditionalFormatting>
  <conditionalFormatting sqref="B44:B51">
    <cfRule type="duplicateValues" dxfId="124" priority="3"/>
  </conditionalFormatting>
  <conditionalFormatting sqref="B12">
    <cfRule type="duplicateValues" dxfId="123" priority="1"/>
  </conditionalFormatting>
  <conditionalFormatting sqref="B4:B6 B13:B21">
    <cfRule type="expression" dxfId="122" priority="5" stopIfTrue="1">
      <formula>AND(COUNTIF($B$4:$B$6, B4)+COUNTIF($B$13:$B$21, B4)&gt;1,NOT(ISBLANK(B4)))</formula>
    </cfRule>
  </conditionalFormatting>
  <conditionalFormatting sqref="B53:B61">
    <cfRule type="duplicateValues" dxfId="121" priority="6"/>
  </conditionalFormatting>
  <conditionalFormatting sqref="B23:B42">
    <cfRule type="duplicateValues" dxfId="120" priority="11"/>
  </conditionalFormatting>
  <printOptions horizontalCentered="1" verticalCentered="1"/>
  <pageMargins left="0" right="0" top="7.874015748031496E-2" bottom="7.874015748031496E-2" header="0" footer="0"/>
  <pageSetup paperSize="9" scale="23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T17"/>
  <sheetViews>
    <sheetView zoomScale="70" zoomScaleNormal="70" workbookViewId="0">
      <pane ySplit="3" topLeftCell="A4" activePane="bottomLeft" state="frozen"/>
      <selection activeCell="Z5" sqref="Z5"/>
      <selection pane="bottomLeft" activeCell="Z5" sqref="Z5"/>
    </sheetView>
  </sheetViews>
  <sheetFormatPr defaultRowHeight="16.5" x14ac:dyDescent="0.3"/>
  <cols>
    <col min="1" max="1" width="32.875" customWidth="1"/>
    <col min="2" max="6" width="10" customWidth="1"/>
    <col min="7" max="7" width="5.75" customWidth="1"/>
    <col min="8" max="8" width="18.5" customWidth="1"/>
    <col min="9" max="20" width="10.875" customWidth="1"/>
  </cols>
  <sheetData>
    <row r="1" spans="1:20" ht="113.25" customHeight="1" x14ac:dyDescent="0.3">
      <c r="A1" s="222" t="s">
        <v>185</v>
      </c>
      <c r="B1" s="223"/>
      <c r="C1" s="267" t="s">
        <v>97</v>
      </c>
      <c r="D1" s="268"/>
      <c r="E1" s="228" t="s">
        <v>98</v>
      </c>
      <c r="F1" s="228"/>
      <c r="G1" s="8"/>
      <c r="H1" s="269" t="s">
        <v>18</v>
      </c>
      <c r="I1" s="72" t="s">
        <v>20</v>
      </c>
      <c r="J1" s="153" t="s">
        <v>21</v>
      </c>
      <c r="K1" s="5" t="s">
        <v>101</v>
      </c>
      <c r="L1" s="153" t="s">
        <v>100</v>
      </c>
      <c r="M1" s="5" t="s">
        <v>96</v>
      </c>
      <c r="N1" s="153" t="s">
        <v>183</v>
      </c>
      <c r="O1" s="5" t="s">
        <v>114</v>
      </c>
      <c r="P1" s="153" t="s">
        <v>115</v>
      </c>
      <c r="Q1" s="5" t="s">
        <v>190</v>
      </c>
      <c r="R1" s="153" t="s">
        <v>105</v>
      </c>
      <c r="S1" s="5" t="s">
        <v>106</v>
      </c>
      <c r="T1" s="155" t="s">
        <v>191</v>
      </c>
    </row>
    <row r="2" spans="1:20" ht="43.5" customHeight="1" x14ac:dyDescent="0.3">
      <c r="A2" s="224"/>
      <c r="B2" s="225"/>
      <c r="C2" s="73" t="s">
        <v>2</v>
      </c>
      <c r="D2" s="73" t="s">
        <v>22</v>
      </c>
      <c r="E2" s="1" t="s">
        <v>2</v>
      </c>
      <c r="F2" s="1" t="s">
        <v>1</v>
      </c>
      <c r="G2" s="9"/>
      <c r="H2" s="270"/>
      <c r="I2" s="6" t="s">
        <v>3</v>
      </c>
      <c r="J2" s="1" t="s">
        <v>1</v>
      </c>
      <c r="K2" s="6" t="s">
        <v>3</v>
      </c>
      <c r="L2" s="1" t="s">
        <v>1</v>
      </c>
      <c r="M2" s="6" t="s">
        <v>3</v>
      </c>
      <c r="N2" s="1" t="s">
        <v>1</v>
      </c>
      <c r="O2" s="6" t="s">
        <v>3</v>
      </c>
      <c r="P2" s="1" t="s">
        <v>1</v>
      </c>
      <c r="Q2" s="6" t="s">
        <v>3</v>
      </c>
      <c r="R2" s="1" t="s">
        <v>1</v>
      </c>
      <c r="S2" s="6" t="s">
        <v>3</v>
      </c>
      <c r="T2" s="1" t="s">
        <v>1</v>
      </c>
    </row>
    <row r="3" spans="1:20" ht="39" customHeight="1" thickBot="1" x14ac:dyDescent="0.35">
      <c r="A3" s="271" t="s">
        <v>10</v>
      </c>
      <c r="B3" s="272"/>
      <c r="C3" s="44">
        <f>SUM(C4:C19)</f>
        <v>115</v>
      </c>
      <c r="D3" s="44">
        <f>SUM(D4:D19)</f>
        <v>0</v>
      </c>
      <c r="E3" s="44">
        <f>SUM(E4:E19)</f>
        <v>21</v>
      </c>
      <c r="F3" s="44">
        <f>SUM(F4:F19)</f>
        <v>90</v>
      </c>
      <c r="G3" s="154"/>
      <c r="H3" s="13" t="s">
        <v>10</v>
      </c>
      <c r="I3" s="44">
        <f>SUM(I4:I14)</f>
        <v>9</v>
      </c>
      <c r="J3" s="44">
        <f t="shared" ref="J3:T3" si="0">SUM(J4:J14)</f>
        <v>5</v>
      </c>
      <c r="K3" s="44">
        <f t="shared" si="0"/>
        <v>4</v>
      </c>
      <c r="L3" s="44">
        <f t="shared" si="0"/>
        <v>12</v>
      </c>
      <c r="M3" s="44">
        <f t="shared" si="0"/>
        <v>7</v>
      </c>
      <c r="N3" s="44">
        <f t="shared" si="0"/>
        <v>2</v>
      </c>
      <c r="O3" s="44">
        <f t="shared" si="0"/>
        <v>10</v>
      </c>
      <c r="P3" s="44">
        <f t="shared" si="0"/>
        <v>0</v>
      </c>
      <c r="Q3" s="44">
        <f t="shared" si="0"/>
        <v>2</v>
      </c>
      <c r="R3" s="44">
        <f t="shared" si="0"/>
        <v>0</v>
      </c>
      <c r="S3" s="44">
        <f t="shared" si="0"/>
        <v>4</v>
      </c>
      <c r="T3" s="44">
        <f t="shared" si="0"/>
        <v>0</v>
      </c>
    </row>
    <row r="4" spans="1:20" ht="82.7" customHeight="1" thickTop="1" x14ac:dyDescent="0.3">
      <c r="A4" s="273" t="s">
        <v>15</v>
      </c>
      <c r="B4" s="274"/>
      <c r="C4" s="57">
        <f>'학교별03.27'!C22</f>
        <v>31</v>
      </c>
      <c r="D4" s="57">
        <f>'학교별03.27'!D22</f>
        <v>0</v>
      </c>
      <c r="E4" s="58">
        <f>'학교별03.27'!E22</f>
        <v>0</v>
      </c>
      <c r="F4" s="59">
        <f>'학교별03.27'!F22</f>
        <v>58</v>
      </c>
      <c r="G4" s="154"/>
      <c r="H4" s="49" t="s">
        <v>15</v>
      </c>
      <c r="I4" s="47">
        <f>'학교별03.27'!H22</f>
        <v>2</v>
      </c>
      <c r="J4" s="45">
        <f>'학교별03.27'!I22</f>
        <v>0</v>
      </c>
      <c r="K4" s="47">
        <f>'학교별03.27'!J22</f>
        <v>2</v>
      </c>
      <c r="L4" s="45">
        <f>'학교별03.27'!K22</f>
        <v>4</v>
      </c>
      <c r="M4" s="47">
        <f>'학교별03.27'!L22</f>
        <v>3</v>
      </c>
      <c r="N4" s="45">
        <f>'학교별03.27'!M22</f>
        <v>0</v>
      </c>
      <c r="O4" s="47">
        <f>'학교별03.27'!N22</f>
        <v>2</v>
      </c>
      <c r="P4" s="45">
        <f>'학교별03.27'!O22</f>
        <v>0</v>
      </c>
      <c r="Q4" s="47">
        <f>'학교별03.27'!P22</f>
        <v>0</v>
      </c>
      <c r="R4" s="45">
        <f>'학교별03.27'!Q22</f>
        <v>0</v>
      </c>
      <c r="S4" s="47">
        <f>'학교별03.27'!R22</f>
        <v>2</v>
      </c>
      <c r="T4" s="87">
        <f>'학교별03.27'!S22</f>
        <v>0</v>
      </c>
    </row>
    <row r="5" spans="1:20" ht="82.7" customHeight="1" thickBot="1" x14ac:dyDescent="0.35">
      <c r="A5" s="275"/>
      <c r="B5" s="276"/>
      <c r="C5" s="79"/>
      <c r="D5" s="60"/>
      <c r="E5" s="62"/>
      <c r="F5" s="61"/>
      <c r="G5" s="154"/>
      <c r="H5" s="40"/>
      <c r="I5" s="83"/>
      <c r="J5" s="81"/>
      <c r="K5" s="95"/>
      <c r="L5" s="81"/>
      <c r="M5" s="84"/>
      <c r="N5" s="81"/>
      <c r="O5" s="83"/>
      <c r="P5" s="42"/>
      <c r="Q5" s="41"/>
      <c r="R5" s="42"/>
      <c r="S5" s="83"/>
      <c r="T5" s="88"/>
    </row>
    <row r="6" spans="1:20" ht="18" thickTop="1" thickBot="1" x14ac:dyDescent="0.35">
      <c r="H6" s="33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138"/>
    </row>
    <row r="7" spans="1:20" ht="82.7" customHeight="1" thickTop="1" x14ac:dyDescent="0.3">
      <c r="A7" s="277" t="s">
        <v>26</v>
      </c>
      <c r="B7" s="278"/>
      <c r="C7" s="47">
        <f>'학교별03.27'!C43</f>
        <v>40</v>
      </c>
      <c r="D7" s="47">
        <f>'학교별03.27'!D43</f>
        <v>0</v>
      </c>
      <c r="E7" s="45">
        <f>'학교별03.27'!E43</f>
        <v>13</v>
      </c>
      <c r="F7" s="45">
        <f>'학교별03.27'!F43</f>
        <v>20</v>
      </c>
      <c r="G7" s="37"/>
      <c r="H7" s="55" t="s">
        <v>17</v>
      </c>
      <c r="I7" s="48">
        <f>'학교별03.27'!H43</f>
        <v>0</v>
      </c>
      <c r="J7" s="46">
        <f>'학교별03.27'!I43</f>
        <v>5</v>
      </c>
      <c r="K7" s="48">
        <f>'학교별03.27'!J43</f>
        <v>0</v>
      </c>
      <c r="L7" s="46">
        <f>'학교별03.27'!K43</f>
        <v>0</v>
      </c>
      <c r="M7" s="48">
        <f>'학교별03.27'!L43</f>
        <v>2</v>
      </c>
      <c r="N7" s="46">
        <f>'학교별03.27'!M43</f>
        <v>0</v>
      </c>
      <c r="O7" s="48">
        <f>'학교별03.27'!N43</f>
        <v>0</v>
      </c>
      <c r="P7" s="46">
        <f>'학교별03.27'!O43</f>
        <v>0</v>
      </c>
      <c r="Q7" s="48">
        <f>'학교별03.27'!P43</f>
        <v>0</v>
      </c>
      <c r="R7" s="46">
        <f>'학교별03.27'!Q43</f>
        <v>0</v>
      </c>
      <c r="S7" s="48">
        <f>'학교별03.27'!R43</f>
        <v>0</v>
      </c>
      <c r="T7" s="90">
        <f>'학교별03.27'!S43</f>
        <v>0</v>
      </c>
    </row>
    <row r="8" spans="1:20" ht="82.7" customHeight="1" thickBot="1" x14ac:dyDescent="0.35">
      <c r="A8" s="261"/>
      <c r="B8" s="262"/>
      <c r="C8" s="75"/>
      <c r="D8" s="96"/>
      <c r="E8" s="78"/>
      <c r="F8" s="38"/>
      <c r="G8" s="39"/>
      <c r="H8" s="154"/>
      <c r="I8" s="41"/>
      <c r="J8" s="42"/>
      <c r="K8" s="41"/>
      <c r="L8" s="42"/>
      <c r="M8" s="41"/>
      <c r="N8" s="42"/>
      <c r="O8" s="41"/>
      <c r="P8" s="42"/>
      <c r="Q8" s="41"/>
      <c r="R8" s="98"/>
      <c r="S8" s="41"/>
      <c r="T8" s="88"/>
    </row>
    <row r="9" spans="1:20" ht="18" thickTop="1" thickBot="1" x14ac:dyDescent="0.35">
      <c r="H9" s="33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138"/>
    </row>
    <row r="10" spans="1:20" ht="82.7" customHeight="1" thickTop="1" x14ac:dyDescent="0.3">
      <c r="A10" s="263" t="s">
        <v>16</v>
      </c>
      <c r="B10" s="264"/>
      <c r="C10" s="65">
        <f>'학교별03.27'!C52</f>
        <v>38</v>
      </c>
      <c r="D10" s="65">
        <f>'학교별03.27'!D52</f>
        <v>0</v>
      </c>
      <c r="E10" s="66">
        <f>'학교별03.27'!E52</f>
        <v>8</v>
      </c>
      <c r="F10" s="67">
        <f>'학교별03.27'!F52</f>
        <v>5</v>
      </c>
      <c r="G10" s="154"/>
      <c r="H10" s="136" t="s">
        <v>25</v>
      </c>
      <c r="I10" s="127">
        <f>'학교별03.27'!H52</f>
        <v>7</v>
      </c>
      <c r="J10" s="128">
        <f>'학교별03.27'!I52</f>
        <v>0</v>
      </c>
      <c r="K10" s="127">
        <f>'학교별03.27'!J52</f>
        <v>2</v>
      </c>
      <c r="L10" s="128">
        <f>'학교별03.27'!K52</f>
        <v>7</v>
      </c>
      <c r="M10" s="127">
        <f>'학교별03.27'!L52</f>
        <v>0</v>
      </c>
      <c r="N10" s="128">
        <f>'학교별03.27'!M52</f>
        <v>2</v>
      </c>
      <c r="O10" s="127">
        <f>'학교별03.27'!N52</f>
        <v>0</v>
      </c>
      <c r="P10" s="128">
        <f>'학교별03.27'!O52</f>
        <v>0</v>
      </c>
      <c r="Q10" s="127">
        <f>'학교별03.27'!P52</f>
        <v>0</v>
      </c>
      <c r="R10" s="128">
        <f>'학교별03.27'!Q52</f>
        <v>0</v>
      </c>
      <c r="S10" s="127">
        <f>'학교별03.27'!R52</f>
        <v>1</v>
      </c>
      <c r="T10" s="137">
        <f>'학교별03.27'!S52</f>
        <v>0</v>
      </c>
    </row>
    <row r="11" spans="1:20" ht="82.7" customHeight="1" thickBot="1" x14ac:dyDescent="0.35">
      <c r="A11" s="265"/>
      <c r="B11" s="266"/>
      <c r="C11" s="68"/>
      <c r="D11" s="69"/>
      <c r="E11" s="144"/>
      <c r="F11" s="71"/>
      <c r="H11" s="33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138"/>
    </row>
    <row r="12" spans="1:20" ht="18" thickTop="1" thickBot="1" x14ac:dyDescent="0.35">
      <c r="H12" s="33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138"/>
    </row>
    <row r="13" spans="1:20" ht="82.7" customHeight="1" thickTop="1" x14ac:dyDescent="0.3">
      <c r="A13" s="282" t="s">
        <v>175</v>
      </c>
      <c r="B13" s="283"/>
      <c r="C13" s="129">
        <f>'학교별03.27'!C62</f>
        <v>11</v>
      </c>
      <c r="D13" s="129">
        <f>'학교별03.27'!D62</f>
        <v>0</v>
      </c>
      <c r="E13" s="130">
        <f>'학교별03.27'!E62</f>
        <v>0</v>
      </c>
      <c r="F13" s="131">
        <f>'학교별03.27'!F62</f>
        <v>7</v>
      </c>
      <c r="G13" s="154"/>
      <c r="H13" s="136" t="s">
        <v>174</v>
      </c>
      <c r="I13" s="127">
        <f>'학교별03.27'!H62</f>
        <v>0</v>
      </c>
      <c r="J13" s="128">
        <f>'학교별03.27'!I62</f>
        <v>0</v>
      </c>
      <c r="K13" s="127">
        <f>'학교별03.27'!J62</f>
        <v>0</v>
      </c>
      <c r="L13" s="128">
        <f>'학교별03.27'!K62</f>
        <v>1</v>
      </c>
      <c r="M13" s="127">
        <f>'학교별03.27'!L62</f>
        <v>2</v>
      </c>
      <c r="N13" s="128">
        <f>'학교별03.27'!M62</f>
        <v>0</v>
      </c>
      <c r="O13" s="127">
        <f>'학교별03.27'!N62</f>
        <v>8</v>
      </c>
      <c r="P13" s="128">
        <f>'학교별03.27'!O62</f>
        <v>0</v>
      </c>
      <c r="Q13" s="127">
        <f>'학교별03.27'!P62</f>
        <v>2</v>
      </c>
      <c r="R13" s="128">
        <f>'학교별03.27'!Q62</f>
        <v>0</v>
      </c>
      <c r="S13" s="127">
        <f>'학교별03.27'!R62</f>
        <v>1</v>
      </c>
      <c r="T13" s="137">
        <f>'학교별03.27'!S62</f>
        <v>0</v>
      </c>
    </row>
    <row r="14" spans="1:20" ht="82.7" customHeight="1" thickBot="1" x14ac:dyDescent="0.35">
      <c r="A14" s="280" t="s">
        <v>186</v>
      </c>
      <c r="B14" s="281"/>
      <c r="C14" s="132">
        <v>-5</v>
      </c>
      <c r="D14" s="133"/>
      <c r="E14" s="134"/>
      <c r="F14" s="135"/>
      <c r="H14" s="64"/>
      <c r="I14" s="14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152"/>
    </row>
    <row r="15" spans="1:20" ht="17.25" thickTop="1" x14ac:dyDescent="0.3"/>
    <row r="17" spans="8:8" x14ac:dyDescent="0.3">
      <c r="H17" t="s">
        <v>83</v>
      </c>
    </row>
  </sheetData>
  <mergeCells count="13">
    <mergeCell ref="A13:B13"/>
    <mergeCell ref="A14:B14"/>
    <mergeCell ref="A5:B5"/>
    <mergeCell ref="A7:B7"/>
    <mergeCell ref="A8:B8"/>
    <mergeCell ref="A10:B10"/>
    <mergeCell ref="A11:B11"/>
    <mergeCell ref="A1:B2"/>
    <mergeCell ref="C1:D1"/>
    <mergeCell ref="E1:F1"/>
    <mergeCell ref="H1:H2"/>
    <mergeCell ref="A3:B3"/>
    <mergeCell ref="A4:B4"/>
  </mergeCells>
  <phoneticPr fontId="42" type="noConversion"/>
  <conditionalFormatting sqref="A4:A5">
    <cfRule type="duplicateValues" dxfId="119" priority="3"/>
  </conditionalFormatting>
  <conditionalFormatting sqref="A7:A8">
    <cfRule type="duplicateValues" dxfId="118" priority="4"/>
  </conditionalFormatting>
  <conditionalFormatting sqref="A13">
    <cfRule type="duplicateValues" dxfId="117" priority="1"/>
  </conditionalFormatting>
  <conditionalFormatting sqref="A10">
    <cfRule type="duplicateValues" dxfId="116" priority="10"/>
  </conditionalFormatting>
  <printOptions horizontalCentered="1" verticalCentered="1"/>
  <pageMargins left="0" right="0" top="7.874015748031496E-2" bottom="7.874015748031496E-2" header="0" footer="0"/>
  <pageSetup paperSize="9" scale="56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79"/>
  <sheetViews>
    <sheetView zoomScale="70" zoomScaleNormal="70" workbookViewId="0">
      <pane ySplit="3" topLeftCell="A10" activePane="bottomLeft" state="frozen"/>
      <selection activeCell="H7" sqref="H7"/>
      <selection pane="bottomLeft" activeCell="H7" sqref="H7"/>
    </sheetView>
  </sheetViews>
  <sheetFormatPr defaultRowHeight="16.5" x14ac:dyDescent="0.3"/>
  <cols>
    <col min="1" max="1" width="9" customWidth="1"/>
    <col min="2" max="2" width="33.75" customWidth="1"/>
    <col min="3" max="3" width="10.75" customWidth="1"/>
    <col min="4" max="4" width="10" customWidth="1"/>
    <col min="5" max="5" width="10.5" customWidth="1"/>
    <col min="6" max="6" width="10" customWidth="1"/>
    <col min="7" max="7" width="4.125" customWidth="1"/>
    <col min="8" max="19" width="10.875" customWidth="1"/>
    <col min="20" max="20" width="5.5" customWidth="1"/>
    <col min="21" max="21" width="10.875" bestFit="1" customWidth="1"/>
  </cols>
  <sheetData>
    <row r="1" spans="1:23" ht="113.25" customHeight="1" x14ac:dyDescent="0.3">
      <c r="A1" s="222" t="s">
        <v>192</v>
      </c>
      <c r="B1" s="223"/>
      <c r="C1" s="226" t="s">
        <v>0</v>
      </c>
      <c r="D1" s="227"/>
      <c r="E1" s="228" t="s">
        <v>19</v>
      </c>
      <c r="F1" s="228"/>
      <c r="G1" s="8"/>
      <c r="H1" s="72" t="s">
        <v>20</v>
      </c>
      <c r="I1" s="156" t="s">
        <v>21</v>
      </c>
      <c r="J1" s="5" t="s">
        <v>7</v>
      </c>
      <c r="K1" s="156" t="s">
        <v>4</v>
      </c>
      <c r="L1" s="5" t="s">
        <v>6</v>
      </c>
      <c r="M1" s="156" t="s">
        <v>5</v>
      </c>
      <c r="N1" s="5" t="s">
        <v>9</v>
      </c>
      <c r="O1" s="156" t="s">
        <v>119</v>
      </c>
      <c r="P1" s="5" t="s">
        <v>8</v>
      </c>
      <c r="Q1" s="156" t="s">
        <v>12</v>
      </c>
      <c r="R1" s="5" t="s">
        <v>95</v>
      </c>
      <c r="S1" s="156" t="s">
        <v>11</v>
      </c>
    </row>
    <row r="2" spans="1:23" ht="43.5" customHeight="1" x14ac:dyDescent="0.3">
      <c r="A2" s="224"/>
      <c r="B2" s="225"/>
      <c r="C2" s="73" t="s">
        <v>2</v>
      </c>
      <c r="D2" s="21" t="s">
        <v>1</v>
      </c>
      <c r="E2" s="1" t="s">
        <v>2</v>
      </c>
      <c r="F2" s="1" t="s">
        <v>1</v>
      </c>
      <c r="G2" s="9"/>
      <c r="H2" s="6" t="s">
        <v>3</v>
      </c>
      <c r="I2" s="1" t="s">
        <v>1</v>
      </c>
      <c r="J2" s="6" t="s">
        <v>3</v>
      </c>
      <c r="K2" s="1" t="s">
        <v>1</v>
      </c>
      <c r="L2" s="6" t="s">
        <v>3</v>
      </c>
      <c r="M2" s="1" t="s">
        <v>1</v>
      </c>
      <c r="N2" s="6" t="s">
        <v>3</v>
      </c>
      <c r="O2" s="1" t="s">
        <v>1</v>
      </c>
      <c r="P2" s="6" t="s">
        <v>3</v>
      </c>
      <c r="Q2" s="1" t="s">
        <v>1</v>
      </c>
      <c r="R2" s="6" t="s">
        <v>3</v>
      </c>
      <c r="S2" s="1" t="s">
        <v>1</v>
      </c>
    </row>
    <row r="3" spans="1:23" ht="26.25" x14ac:dyDescent="0.3">
      <c r="A3" s="97" t="s">
        <v>14</v>
      </c>
      <c r="B3" s="12" t="s">
        <v>10</v>
      </c>
      <c r="C3" s="29">
        <f>C22+C43+C52+C62</f>
        <v>104</v>
      </c>
      <c r="D3" s="29">
        <f>D22+D43+D52+D62</f>
        <v>0</v>
      </c>
      <c r="E3" s="29">
        <f>E22+E43+E52+E62</f>
        <v>9</v>
      </c>
      <c r="F3" s="2">
        <f>F22+F43+F52+F62</f>
        <v>50</v>
      </c>
      <c r="G3" s="157"/>
      <c r="H3" s="2">
        <f t="shared" ref="H3:S3" si="0">H22+H43+H52+H62</f>
        <v>0</v>
      </c>
      <c r="I3" s="2">
        <f t="shared" si="0"/>
        <v>0</v>
      </c>
      <c r="J3" s="2">
        <f t="shared" si="0"/>
        <v>1</v>
      </c>
      <c r="K3" s="2">
        <f t="shared" si="0"/>
        <v>3</v>
      </c>
      <c r="L3" s="2">
        <f t="shared" si="0"/>
        <v>10</v>
      </c>
      <c r="M3" s="2">
        <f t="shared" si="0"/>
        <v>3</v>
      </c>
      <c r="N3" s="2">
        <f t="shared" si="0"/>
        <v>6</v>
      </c>
      <c r="O3" s="2">
        <f t="shared" si="0"/>
        <v>0</v>
      </c>
      <c r="P3" s="2">
        <f t="shared" si="0"/>
        <v>3</v>
      </c>
      <c r="Q3" s="2">
        <f t="shared" si="0"/>
        <v>0</v>
      </c>
      <c r="R3" s="2">
        <f t="shared" si="0"/>
        <v>6</v>
      </c>
      <c r="S3" s="2">
        <f t="shared" si="0"/>
        <v>0</v>
      </c>
      <c r="T3" s="4">
        <f>D3*10</f>
        <v>0</v>
      </c>
      <c r="U3">
        <f>F3*10+E3</f>
        <v>509</v>
      </c>
      <c r="V3" s="4">
        <f>SUM(H3:Q3)</f>
        <v>26</v>
      </c>
      <c r="W3" s="11">
        <f>SUM(T3:V3)</f>
        <v>535</v>
      </c>
    </row>
    <row r="4" spans="1:23" ht="24" customHeight="1" x14ac:dyDescent="0.3">
      <c r="A4" s="229" t="s">
        <v>34</v>
      </c>
      <c r="B4" s="3" t="s">
        <v>160</v>
      </c>
      <c r="C4" s="7"/>
      <c r="D4" s="7"/>
      <c r="E4" s="50"/>
      <c r="F4" s="50"/>
      <c r="G4" s="157"/>
      <c r="H4" s="7"/>
      <c r="I4" s="50"/>
      <c r="J4" s="10"/>
      <c r="K4" s="50"/>
      <c r="L4" s="7"/>
      <c r="M4" s="50"/>
      <c r="N4" s="10"/>
      <c r="O4" s="50"/>
      <c r="P4" s="7"/>
      <c r="Q4" s="50"/>
      <c r="R4" s="7"/>
      <c r="S4" s="50"/>
    </row>
    <row r="5" spans="1:23" ht="24" customHeight="1" x14ac:dyDescent="0.3">
      <c r="A5" s="230"/>
      <c r="B5" s="3" t="s">
        <v>150</v>
      </c>
      <c r="C5" s="7">
        <v>2</v>
      </c>
      <c r="D5" s="7"/>
      <c r="E5" s="50"/>
      <c r="F5" s="50">
        <v>4</v>
      </c>
      <c r="G5" s="157"/>
      <c r="H5" s="7"/>
      <c r="I5" s="50"/>
      <c r="J5" s="10"/>
      <c r="K5" s="50"/>
      <c r="L5" s="7"/>
      <c r="M5" s="50"/>
      <c r="N5" s="10">
        <v>1</v>
      </c>
      <c r="O5" s="50"/>
      <c r="P5" s="7">
        <v>1</v>
      </c>
      <c r="Q5" s="50"/>
      <c r="R5" s="7"/>
      <c r="S5" s="50"/>
    </row>
    <row r="6" spans="1:23" ht="24" customHeight="1" x14ac:dyDescent="0.3">
      <c r="A6" s="230"/>
      <c r="B6" s="3" t="s">
        <v>149</v>
      </c>
      <c r="C6" s="7">
        <v>3</v>
      </c>
      <c r="D6" s="7"/>
      <c r="E6" s="50"/>
      <c r="F6" s="50">
        <v>8</v>
      </c>
      <c r="G6" s="157"/>
      <c r="H6" s="7"/>
      <c r="I6" s="50"/>
      <c r="J6" s="10"/>
      <c r="K6" s="50"/>
      <c r="L6" s="7"/>
      <c r="M6" s="50"/>
      <c r="N6" s="10">
        <v>1</v>
      </c>
      <c r="O6" s="50"/>
      <c r="P6" s="7"/>
      <c r="Q6" s="50"/>
      <c r="R6" s="7"/>
      <c r="S6" s="50"/>
    </row>
    <row r="7" spans="1:23" ht="24" customHeight="1" x14ac:dyDescent="0.3">
      <c r="A7" s="230"/>
      <c r="B7" s="3" t="s">
        <v>156</v>
      </c>
      <c r="C7" s="7">
        <v>5</v>
      </c>
      <c r="D7" s="7"/>
      <c r="E7" s="50"/>
      <c r="F7" s="50"/>
      <c r="G7" s="157"/>
      <c r="H7" s="7"/>
      <c r="I7" s="50"/>
      <c r="J7" s="10"/>
      <c r="K7" s="50"/>
      <c r="L7" s="7"/>
      <c r="M7" s="50">
        <v>1</v>
      </c>
      <c r="N7" s="10"/>
      <c r="O7" s="50"/>
      <c r="P7" s="7"/>
      <c r="Q7" s="50"/>
      <c r="R7" s="7"/>
      <c r="S7" s="50"/>
    </row>
    <row r="8" spans="1:23" ht="24" customHeight="1" x14ac:dyDescent="0.3">
      <c r="A8" s="230"/>
      <c r="B8" s="3" t="s">
        <v>148</v>
      </c>
      <c r="C8" s="77"/>
      <c r="D8" s="7"/>
      <c r="E8" s="50"/>
      <c r="F8" s="50"/>
      <c r="G8" s="63"/>
      <c r="H8" s="7"/>
      <c r="I8" s="50"/>
      <c r="J8" s="10"/>
      <c r="K8" s="50"/>
      <c r="L8" s="7"/>
      <c r="M8" s="50"/>
      <c r="N8" s="10"/>
      <c r="O8" s="50"/>
      <c r="P8" s="7"/>
      <c r="Q8" s="50"/>
      <c r="R8" s="7"/>
      <c r="S8" s="50"/>
    </row>
    <row r="9" spans="1:23" ht="24" customHeight="1" x14ac:dyDescent="0.3">
      <c r="A9" s="230"/>
      <c r="B9" s="3" t="s">
        <v>153</v>
      </c>
      <c r="C9" s="7"/>
      <c r="D9" s="7"/>
      <c r="E9" s="50"/>
      <c r="F9" s="50">
        <v>2</v>
      </c>
      <c r="G9" s="157"/>
      <c r="H9" s="7"/>
      <c r="I9" s="50"/>
      <c r="J9" s="10">
        <v>1</v>
      </c>
      <c r="K9" s="50"/>
      <c r="L9" s="7"/>
      <c r="M9" s="50"/>
      <c r="N9" s="10"/>
      <c r="O9" s="50"/>
      <c r="P9" s="7"/>
      <c r="Q9" s="50"/>
      <c r="R9" s="7"/>
      <c r="S9" s="50"/>
    </row>
    <row r="10" spans="1:23" ht="24" customHeight="1" x14ac:dyDescent="0.3">
      <c r="A10" s="230"/>
      <c r="B10" s="3" t="s">
        <v>158</v>
      </c>
      <c r="C10" s="7">
        <v>9</v>
      </c>
      <c r="D10" s="7"/>
      <c r="E10" s="50"/>
      <c r="F10" s="50">
        <v>10</v>
      </c>
      <c r="G10" s="157"/>
      <c r="H10" s="7"/>
      <c r="I10" s="50"/>
      <c r="J10" s="10"/>
      <c r="K10" s="50"/>
      <c r="L10" s="7"/>
      <c r="M10" s="50">
        <v>1</v>
      </c>
      <c r="N10" s="10"/>
      <c r="O10" s="50"/>
      <c r="P10" s="7"/>
      <c r="Q10" s="50"/>
      <c r="R10" s="7"/>
      <c r="S10" s="50"/>
    </row>
    <row r="11" spans="1:23" ht="24" customHeight="1" x14ac:dyDescent="0.3">
      <c r="A11" s="230"/>
      <c r="B11" s="3" t="s">
        <v>152</v>
      </c>
      <c r="C11" s="7">
        <v>3</v>
      </c>
      <c r="D11" s="7"/>
      <c r="E11" s="50"/>
      <c r="F11" s="50">
        <v>5</v>
      </c>
      <c r="G11" s="157"/>
      <c r="H11" s="7"/>
      <c r="I11" s="50"/>
      <c r="J11" s="10"/>
      <c r="K11" s="50"/>
      <c r="L11" s="7"/>
      <c r="M11" s="50"/>
      <c r="N11" s="10"/>
      <c r="O11" s="50"/>
      <c r="P11" s="7"/>
      <c r="Q11" s="50"/>
      <c r="R11" s="7"/>
      <c r="S11" s="50"/>
    </row>
    <row r="12" spans="1:23" ht="24" customHeight="1" x14ac:dyDescent="0.3">
      <c r="A12" s="230"/>
      <c r="B12" s="3" t="s">
        <v>161</v>
      </c>
      <c r="C12" s="7"/>
      <c r="D12" s="77"/>
      <c r="E12" s="76"/>
      <c r="F12" s="50"/>
      <c r="G12" s="80"/>
      <c r="H12" s="7"/>
      <c r="I12" s="76"/>
      <c r="J12" s="7"/>
      <c r="K12" s="50"/>
      <c r="L12" s="7"/>
      <c r="M12" s="50"/>
      <c r="N12" s="10"/>
      <c r="O12" s="50"/>
      <c r="P12" s="7"/>
      <c r="Q12" s="76"/>
      <c r="R12" s="10"/>
      <c r="S12" s="76"/>
    </row>
    <row r="13" spans="1:23" ht="24" customHeight="1" x14ac:dyDescent="0.3">
      <c r="A13" s="230"/>
      <c r="B13" s="3" t="s">
        <v>154</v>
      </c>
      <c r="C13" s="7">
        <v>2</v>
      </c>
      <c r="D13" s="7"/>
      <c r="E13" s="50"/>
      <c r="F13" s="50">
        <v>8</v>
      </c>
      <c r="G13" s="157"/>
      <c r="H13" s="7"/>
      <c r="I13" s="50"/>
      <c r="J13" s="10"/>
      <c r="K13" s="50"/>
      <c r="L13" s="7">
        <v>1</v>
      </c>
      <c r="M13" s="50"/>
      <c r="N13" s="10"/>
      <c r="O13" s="50"/>
      <c r="P13" s="7"/>
      <c r="Q13" s="50"/>
      <c r="R13" s="7">
        <v>1</v>
      </c>
      <c r="S13" s="50"/>
    </row>
    <row r="14" spans="1:23" ht="24" customHeight="1" x14ac:dyDescent="0.3">
      <c r="A14" s="230"/>
      <c r="B14" s="100" t="s">
        <v>164</v>
      </c>
      <c r="C14" s="7">
        <v>50</v>
      </c>
      <c r="D14" s="7"/>
      <c r="E14" s="50">
        <v>5</v>
      </c>
      <c r="F14" s="50"/>
      <c r="G14" s="157"/>
      <c r="H14" s="7"/>
      <c r="I14" s="50"/>
      <c r="J14" s="10"/>
      <c r="K14" s="50"/>
      <c r="L14" s="7"/>
      <c r="M14" s="50"/>
      <c r="N14" s="10"/>
      <c r="O14" s="50"/>
      <c r="P14" s="7"/>
      <c r="Q14" s="50"/>
      <c r="R14" s="7"/>
      <c r="S14" s="50"/>
    </row>
    <row r="15" spans="1:23" ht="24" customHeight="1" x14ac:dyDescent="0.3">
      <c r="A15" s="230"/>
      <c r="B15" s="3" t="s">
        <v>159</v>
      </c>
      <c r="C15" s="7"/>
      <c r="D15" s="7"/>
      <c r="E15" s="50"/>
      <c r="F15" s="50"/>
      <c r="G15" s="157"/>
      <c r="H15" s="7"/>
      <c r="I15" s="50"/>
      <c r="J15" s="10"/>
      <c r="K15" s="50"/>
      <c r="L15" s="7"/>
      <c r="M15" s="50"/>
      <c r="N15" s="10"/>
      <c r="O15" s="50"/>
      <c r="P15" s="7"/>
      <c r="Q15" s="50"/>
      <c r="R15" s="7"/>
      <c r="S15" s="50"/>
    </row>
    <row r="16" spans="1:23" ht="24" customHeight="1" x14ac:dyDescent="0.3">
      <c r="A16" s="230"/>
      <c r="B16" s="3" t="s">
        <v>147</v>
      </c>
      <c r="C16" s="7">
        <v>8</v>
      </c>
      <c r="D16" s="7"/>
      <c r="E16" s="50"/>
      <c r="F16" s="50"/>
      <c r="G16" s="157"/>
      <c r="H16" s="7"/>
      <c r="I16" s="50"/>
      <c r="J16" s="10"/>
      <c r="K16" s="50"/>
      <c r="L16" s="7"/>
      <c r="M16" s="50"/>
      <c r="N16" s="10"/>
      <c r="O16" s="50"/>
      <c r="P16" s="7"/>
      <c r="Q16" s="50"/>
      <c r="R16" s="7"/>
      <c r="S16" s="50"/>
    </row>
    <row r="17" spans="1:25" ht="24" customHeight="1" x14ac:dyDescent="0.3">
      <c r="A17" s="230"/>
      <c r="B17" s="3" t="s">
        <v>163</v>
      </c>
      <c r="C17" s="7"/>
      <c r="D17" s="7"/>
      <c r="E17" s="50"/>
      <c r="F17" s="50"/>
      <c r="G17" s="157"/>
      <c r="H17" s="7"/>
      <c r="I17" s="50"/>
      <c r="J17" s="10"/>
      <c r="K17" s="50"/>
      <c r="L17" s="7"/>
      <c r="M17" s="50"/>
      <c r="N17" s="10"/>
      <c r="O17" s="50"/>
      <c r="P17" s="7"/>
      <c r="Q17" s="50"/>
      <c r="R17" s="7"/>
      <c r="S17" s="50"/>
    </row>
    <row r="18" spans="1:25" ht="24" customHeight="1" x14ac:dyDescent="0.3">
      <c r="A18" s="230"/>
      <c r="B18" s="3" t="s">
        <v>162</v>
      </c>
      <c r="C18" s="7">
        <v>11</v>
      </c>
      <c r="D18" s="7"/>
      <c r="E18" s="50"/>
      <c r="F18" s="50"/>
      <c r="G18" s="157"/>
      <c r="H18" s="7"/>
      <c r="I18" s="50"/>
      <c r="J18" s="10"/>
      <c r="K18" s="50"/>
      <c r="L18" s="7"/>
      <c r="M18" s="50"/>
      <c r="N18" s="10"/>
      <c r="O18" s="50"/>
      <c r="P18" s="7"/>
      <c r="Q18" s="50"/>
      <c r="R18" s="7"/>
      <c r="S18" s="50"/>
    </row>
    <row r="19" spans="1:25" ht="24" customHeight="1" x14ac:dyDescent="0.3">
      <c r="A19" s="230"/>
      <c r="B19" s="3" t="s">
        <v>155</v>
      </c>
      <c r="C19" s="7">
        <v>2</v>
      </c>
      <c r="D19" s="7"/>
      <c r="E19" s="50"/>
      <c r="F19" s="50">
        <v>5</v>
      </c>
      <c r="G19" s="157"/>
      <c r="H19" s="7"/>
      <c r="I19" s="50"/>
      <c r="J19" s="10"/>
      <c r="K19" s="50"/>
      <c r="L19" s="7">
        <v>1</v>
      </c>
      <c r="M19" s="50"/>
      <c r="N19" s="10"/>
      <c r="O19" s="50"/>
      <c r="P19" s="7"/>
      <c r="Q19" s="50"/>
      <c r="R19" s="7">
        <v>1</v>
      </c>
      <c r="S19" s="50"/>
    </row>
    <row r="20" spans="1:25" ht="24" customHeight="1" x14ac:dyDescent="0.3">
      <c r="A20" s="230"/>
      <c r="B20" s="3" t="s">
        <v>157</v>
      </c>
      <c r="C20" s="7"/>
      <c r="D20" s="7"/>
      <c r="E20" s="50"/>
      <c r="F20" s="50">
        <v>3</v>
      </c>
      <c r="G20" s="157"/>
      <c r="H20" s="7"/>
      <c r="I20" s="50"/>
      <c r="J20" s="10"/>
      <c r="K20" s="50"/>
      <c r="L20" s="7"/>
      <c r="M20" s="50"/>
      <c r="N20" s="10"/>
      <c r="O20" s="50"/>
      <c r="P20" s="7"/>
      <c r="Q20" s="50"/>
      <c r="R20" s="7"/>
      <c r="S20" s="50"/>
    </row>
    <row r="21" spans="1:25" ht="24" customHeight="1" x14ac:dyDescent="0.3">
      <c r="A21" s="230"/>
      <c r="B21" s="3" t="s">
        <v>151</v>
      </c>
      <c r="C21" s="7"/>
      <c r="D21" s="7"/>
      <c r="E21" s="50"/>
      <c r="F21" s="50">
        <v>5</v>
      </c>
      <c r="G21" s="157"/>
      <c r="H21" s="7"/>
      <c r="I21" s="50"/>
      <c r="J21" s="10"/>
      <c r="K21" s="50"/>
      <c r="L21" s="7"/>
      <c r="M21" s="50"/>
      <c r="N21" s="10"/>
      <c r="O21" s="50"/>
      <c r="P21" s="7"/>
      <c r="Q21" s="50"/>
      <c r="R21" s="7"/>
      <c r="S21" s="50"/>
    </row>
    <row r="22" spans="1:25" ht="27" thickBot="1" x14ac:dyDescent="0.35">
      <c r="A22" s="231"/>
      <c r="B22" s="31"/>
      <c r="C22" s="31">
        <f>SUM(C4:C21)</f>
        <v>95</v>
      </c>
      <c r="D22" s="31">
        <f>SUM(D4:D21)</f>
        <v>0</v>
      </c>
      <c r="E22" s="31">
        <f>SUM(E4:E21)</f>
        <v>5</v>
      </c>
      <c r="F22" s="31">
        <f>SUM(F4:F21)</f>
        <v>50</v>
      </c>
      <c r="G22" s="157"/>
      <c r="H22" s="2">
        <f t="shared" ref="H22:S22" si="1">SUM(H4:H21)</f>
        <v>0</v>
      </c>
      <c r="I22" s="2">
        <f t="shared" si="1"/>
        <v>0</v>
      </c>
      <c r="J22" s="2">
        <f t="shared" si="1"/>
        <v>1</v>
      </c>
      <c r="K22" s="2">
        <f t="shared" si="1"/>
        <v>0</v>
      </c>
      <c r="L22" s="2">
        <f t="shared" si="1"/>
        <v>2</v>
      </c>
      <c r="M22" s="2">
        <f t="shared" si="1"/>
        <v>2</v>
      </c>
      <c r="N22" s="2">
        <f t="shared" si="1"/>
        <v>2</v>
      </c>
      <c r="O22" s="2">
        <f t="shared" si="1"/>
        <v>0</v>
      </c>
      <c r="P22" s="2">
        <f t="shared" si="1"/>
        <v>1</v>
      </c>
      <c r="Q22" s="2">
        <f t="shared" si="1"/>
        <v>0</v>
      </c>
      <c r="R22" s="2">
        <f t="shared" si="1"/>
        <v>2</v>
      </c>
      <c r="S22" s="2">
        <f t="shared" si="1"/>
        <v>0</v>
      </c>
      <c r="U22" s="35"/>
      <c r="V22" s="18"/>
      <c r="W22" s="18"/>
    </row>
    <row r="23" spans="1:25" ht="24" customHeight="1" thickTop="1" x14ac:dyDescent="0.3">
      <c r="A23" s="286" t="s">
        <v>27</v>
      </c>
      <c r="B23" s="23" t="s">
        <v>187</v>
      </c>
      <c r="C23" s="28"/>
      <c r="D23" s="28"/>
      <c r="E23" s="15"/>
      <c r="F23" s="16"/>
      <c r="G23" s="25"/>
      <c r="H23" s="43"/>
      <c r="I23" s="50"/>
      <c r="J23" s="10"/>
      <c r="K23" s="50"/>
      <c r="L23" s="7"/>
      <c r="M23" s="50"/>
      <c r="N23" s="7"/>
      <c r="O23" s="50"/>
      <c r="P23" s="7"/>
      <c r="Q23" s="50"/>
      <c r="R23" s="7"/>
      <c r="S23" s="50"/>
      <c r="U23" s="18"/>
      <c r="V23" s="18"/>
      <c r="W23" s="18"/>
      <c r="X23" s="18"/>
      <c r="Y23" s="18"/>
    </row>
    <row r="24" spans="1:25" ht="24" customHeight="1" x14ac:dyDescent="0.3">
      <c r="A24" s="287"/>
      <c r="B24" s="24" t="s">
        <v>188</v>
      </c>
      <c r="C24" s="32"/>
      <c r="D24" s="32"/>
      <c r="E24" s="54"/>
      <c r="F24" s="22"/>
      <c r="G24" s="25"/>
      <c r="H24" s="7"/>
      <c r="I24" s="50"/>
      <c r="J24" s="10"/>
      <c r="K24" s="50"/>
      <c r="L24" s="7"/>
      <c r="M24" s="50"/>
      <c r="N24" s="7"/>
      <c r="O24" s="50"/>
      <c r="P24" s="7"/>
      <c r="Q24" s="50"/>
      <c r="R24" s="7"/>
      <c r="S24" s="50"/>
      <c r="U24" s="18"/>
      <c r="V24" s="18"/>
      <c r="W24" s="18"/>
      <c r="X24" s="18"/>
      <c r="Y24" s="18"/>
    </row>
    <row r="25" spans="1:25" ht="24" customHeight="1" x14ac:dyDescent="0.3">
      <c r="A25" s="287"/>
      <c r="B25" s="24" t="s">
        <v>128</v>
      </c>
      <c r="C25" s="32"/>
      <c r="D25" s="32"/>
      <c r="E25" s="54"/>
      <c r="F25" s="22"/>
      <c r="G25" s="25"/>
      <c r="H25" s="43"/>
      <c r="I25" s="50"/>
      <c r="J25" s="10"/>
      <c r="K25" s="50"/>
      <c r="L25" s="7"/>
      <c r="M25" s="50"/>
      <c r="N25" s="7"/>
      <c r="O25" s="50"/>
      <c r="P25" s="7"/>
      <c r="Q25" s="50"/>
      <c r="R25" s="7"/>
      <c r="S25" s="50"/>
      <c r="U25" s="18"/>
      <c r="V25" s="18"/>
      <c r="W25" s="18"/>
      <c r="X25" s="18"/>
      <c r="Y25" s="18"/>
    </row>
    <row r="26" spans="1:25" ht="24" customHeight="1" x14ac:dyDescent="0.3">
      <c r="A26" s="287"/>
      <c r="B26" s="24" t="s">
        <v>127</v>
      </c>
      <c r="C26" s="32">
        <v>2</v>
      </c>
      <c r="D26" s="32"/>
      <c r="E26" s="54">
        <v>1</v>
      </c>
      <c r="F26" s="22"/>
      <c r="G26" s="25"/>
      <c r="H26" s="43"/>
      <c r="I26" s="50"/>
      <c r="J26" s="10"/>
      <c r="K26" s="50"/>
      <c r="L26" s="7"/>
      <c r="M26" s="50"/>
      <c r="N26" s="7">
        <v>1</v>
      </c>
      <c r="O26" s="50"/>
      <c r="P26" s="7"/>
      <c r="Q26" s="50"/>
      <c r="R26" s="7"/>
      <c r="S26" s="50"/>
      <c r="U26" s="18"/>
      <c r="V26" s="18"/>
      <c r="W26" s="18"/>
      <c r="X26" s="18"/>
      <c r="Y26" s="18"/>
    </row>
    <row r="27" spans="1:25" ht="24" customHeight="1" x14ac:dyDescent="0.3">
      <c r="A27" s="287"/>
      <c r="B27" s="24" t="s">
        <v>189</v>
      </c>
      <c r="C27" s="32"/>
      <c r="D27" s="32"/>
      <c r="E27" s="54"/>
      <c r="F27" s="22"/>
      <c r="G27" s="25"/>
      <c r="H27" s="10"/>
      <c r="I27" s="50"/>
      <c r="J27" s="10"/>
      <c r="K27" s="50"/>
      <c r="L27" s="7"/>
      <c r="M27" s="50"/>
      <c r="N27" s="7"/>
      <c r="O27" s="50"/>
      <c r="P27" s="7"/>
      <c r="Q27" s="50"/>
      <c r="R27" s="7"/>
      <c r="S27" s="50"/>
      <c r="U27" s="18"/>
      <c r="V27" s="18"/>
      <c r="W27" s="18"/>
      <c r="X27" s="18"/>
      <c r="Y27" s="18"/>
    </row>
    <row r="28" spans="1:25" ht="24" customHeight="1" x14ac:dyDescent="0.3">
      <c r="A28" s="287"/>
      <c r="B28" s="24" t="s">
        <v>140</v>
      </c>
      <c r="C28" s="32"/>
      <c r="D28" s="32"/>
      <c r="E28" s="54"/>
      <c r="F28" s="22"/>
      <c r="G28" s="25"/>
      <c r="H28" s="10"/>
      <c r="I28" s="50"/>
      <c r="J28" s="10"/>
      <c r="K28" s="50"/>
      <c r="L28" s="7"/>
      <c r="M28" s="50"/>
      <c r="N28" s="7"/>
      <c r="O28" s="50"/>
      <c r="P28" s="7"/>
      <c r="Q28" s="76"/>
      <c r="R28" s="7"/>
      <c r="S28" s="50"/>
      <c r="U28" s="18"/>
      <c r="V28" s="18"/>
      <c r="W28" s="18"/>
      <c r="X28" s="18"/>
      <c r="Y28" s="18"/>
    </row>
    <row r="29" spans="1:25" ht="24" customHeight="1" x14ac:dyDescent="0.3">
      <c r="A29" s="287"/>
      <c r="B29" s="24" t="s">
        <v>129</v>
      </c>
      <c r="C29" s="32"/>
      <c r="D29" s="32"/>
      <c r="E29" s="54"/>
      <c r="F29" s="22"/>
      <c r="G29" s="25"/>
      <c r="H29" s="43"/>
      <c r="I29" s="50"/>
      <c r="J29" s="10"/>
      <c r="K29" s="50"/>
      <c r="L29" s="7"/>
      <c r="M29" s="50"/>
      <c r="N29" s="7"/>
      <c r="O29" s="50"/>
      <c r="P29" s="7"/>
      <c r="Q29" s="50"/>
      <c r="R29" s="7"/>
      <c r="S29" s="50"/>
      <c r="U29" s="18"/>
      <c r="V29" s="18"/>
      <c r="W29" s="18"/>
      <c r="X29" s="18"/>
      <c r="Y29" s="18"/>
    </row>
    <row r="30" spans="1:25" ht="24" customHeight="1" x14ac:dyDescent="0.3">
      <c r="A30" s="287"/>
      <c r="B30" s="24" t="s">
        <v>145</v>
      </c>
      <c r="C30" s="32"/>
      <c r="D30" s="32"/>
      <c r="E30" s="54"/>
      <c r="F30" s="22"/>
      <c r="G30" s="25"/>
      <c r="H30" s="43"/>
      <c r="I30" s="50"/>
      <c r="J30" s="10"/>
      <c r="K30" s="50"/>
      <c r="L30" s="7"/>
      <c r="M30" s="50"/>
      <c r="N30" s="7">
        <v>1</v>
      </c>
      <c r="O30" s="50"/>
      <c r="P30" s="7"/>
      <c r="Q30" s="50"/>
      <c r="R30" s="7"/>
      <c r="S30" s="50"/>
      <c r="U30" s="18"/>
      <c r="V30" s="18"/>
      <c r="W30" s="18"/>
      <c r="X30" s="18"/>
      <c r="Y30" s="18"/>
    </row>
    <row r="31" spans="1:25" ht="24" customHeight="1" x14ac:dyDescent="0.3">
      <c r="A31" s="287"/>
      <c r="B31" s="24" t="s">
        <v>130</v>
      </c>
      <c r="C31" s="32">
        <v>2</v>
      </c>
      <c r="D31" s="32"/>
      <c r="E31" s="54">
        <v>1</v>
      </c>
      <c r="F31" s="22"/>
      <c r="G31" s="25"/>
      <c r="H31" s="43"/>
      <c r="I31" s="50"/>
      <c r="J31" s="10"/>
      <c r="K31" s="50"/>
      <c r="L31" s="7"/>
      <c r="M31" s="50"/>
      <c r="N31" s="7"/>
      <c r="O31" s="50"/>
      <c r="P31" s="7"/>
      <c r="Q31" s="50"/>
      <c r="R31" s="7"/>
      <c r="S31" s="50"/>
      <c r="U31" s="18"/>
      <c r="V31" s="18"/>
      <c r="W31" s="18"/>
      <c r="X31" s="18"/>
      <c r="Y31" s="18"/>
    </row>
    <row r="32" spans="1:25" ht="24" customHeight="1" x14ac:dyDescent="0.3">
      <c r="A32" s="287"/>
      <c r="B32" s="24" t="s">
        <v>131</v>
      </c>
      <c r="C32" s="32"/>
      <c r="D32" s="32"/>
      <c r="E32" s="54"/>
      <c r="F32" s="22"/>
      <c r="G32" s="25"/>
      <c r="H32" s="43"/>
      <c r="I32" s="50"/>
      <c r="J32" s="10"/>
      <c r="K32" s="50"/>
      <c r="L32" s="7"/>
      <c r="M32" s="50"/>
      <c r="N32" s="7"/>
      <c r="O32" s="50"/>
      <c r="P32" s="7"/>
      <c r="Q32" s="50"/>
      <c r="R32" s="7"/>
      <c r="S32" s="50"/>
      <c r="U32" s="18"/>
      <c r="V32" s="18"/>
      <c r="W32" s="18"/>
      <c r="X32" s="18"/>
      <c r="Y32" s="18"/>
    </row>
    <row r="33" spans="1:25" ht="24" customHeight="1" x14ac:dyDescent="0.3">
      <c r="A33" s="287"/>
      <c r="B33" s="24" t="s">
        <v>132</v>
      </c>
      <c r="C33" s="32">
        <v>2</v>
      </c>
      <c r="D33" s="32"/>
      <c r="E33" s="54"/>
      <c r="F33" s="22"/>
      <c r="G33" s="25"/>
      <c r="H33" s="43"/>
      <c r="I33" s="50"/>
      <c r="J33" s="10"/>
      <c r="K33" s="50"/>
      <c r="L33" s="7"/>
      <c r="M33" s="50"/>
      <c r="N33" s="7"/>
      <c r="O33" s="50"/>
      <c r="P33" s="7"/>
      <c r="Q33" s="50"/>
      <c r="R33" s="7"/>
      <c r="S33" s="50"/>
      <c r="U33" s="18"/>
      <c r="V33" s="18"/>
      <c r="W33" s="18"/>
      <c r="X33" s="18"/>
      <c r="Y33" s="18"/>
    </row>
    <row r="34" spans="1:25" ht="24" customHeight="1" x14ac:dyDescent="0.3">
      <c r="A34" s="287"/>
      <c r="B34" s="24" t="s">
        <v>133</v>
      </c>
      <c r="C34" s="32"/>
      <c r="D34" s="32"/>
      <c r="E34" s="54"/>
      <c r="F34" s="22"/>
      <c r="G34" s="25"/>
      <c r="H34" s="7"/>
      <c r="I34" s="50"/>
      <c r="J34" s="10"/>
      <c r="K34" s="50"/>
      <c r="L34" s="7"/>
      <c r="M34" s="50"/>
      <c r="N34" s="7"/>
      <c r="O34" s="50"/>
      <c r="P34" s="7"/>
      <c r="Q34" s="50"/>
      <c r="R34" s="7"/>
      <c r="S34" s="50"/>
      <c r="U34" s="18"/>
      <c r="V34" s="18"/>
      <c r="W34" s="18"/>
      <c r="X34" s="18"/>
      <c r="Y34" s="18"/>
    </row>
    <row r="35" spans="1:25" ht="24" customHeight="1" x14ac:dyDescent="0.3">
      <c r="A35" s="287"/>
      <c r="B35" s="24" t="s">
        <v>135</v>
      </c>
      <c r="C35" s="32"/>
      <c r="D35" s="32"/>
      <c r="E35" s="54"/>
      <c r="F35" s="22"/>
      <c r="G35" s="25"/>
      <c r="H35" s="7"/>
      <c r="I35" s="50"/>
      <c r="J35" s="10"/>
      <c r="K35" s="50"/>
      <c r="L35" s="7"/>
      <c r="M35" s="50"/>
      <c r="N35" s="7"/>
      <c r="O35" s="50"/>
      <c r="P35" s="7"/>
      <c r="Q35" s="50"/>
      <c r="R35" s="7"/>
      <c r="S35" s="50"/>
      <c r="U35" s="18"/>
      <c r="V35" s="18"/>
      <c r="W35" s="18"/>
      <c r="X35" s="18"/>
      <c r="Y35" s="18"/>
    </row>
    <row r="36" spans="1:25" ht="24" customHeight="1" x14ac:dyDescent="0.3">
      <c r="A36" s="287"/>
      <c r="B36" s="24" t="s">
        <v>141</v>
      </c>
      <c r="C36" s="32"/>
      <c r="D36" s="56"/>
      <c r="E36" s="54"/>
      <c r="F36" s="22"/>
      <c r="G36" s="25"/>
      <c r="H36" s="43"/>
      <c r="I36" s="50"/>
      <c r="J36" s="10"/>
      <c r="K36" s="50"/>
      <c r="L36" s="7"/>
      <c r="M36" s="50"/>
      <c r="N36" s="7"/>
      <c r="O36" s="50"/>
      <c r="P36" s="7"/>
      <c r="Q36" s="76"/>
      <c r="R36" s="7"/>
      <c r="S36" s="50"/>
      <c r="U36" s="18"/>
      <c r="V36" s="18"/>
      <c r="W36" s="18"/>
      <c r="X36" s="18"/>
      <c r="Y36" s="18"/>
    </row>
    <row r="37" spans="1:25" ht="24" customHeight="1" x14ac:dyDescent="0.3">
      <c r="A37" s="287"/>
      <c r="B37" s="24" t="s">
        <v>142</v>
      </c>
      <c r="C37" s="32"/>
      <c r="D37" s="32"/>
      <c r="E37" s="54">
        <v>1</v>
      </c>
      <c r="F37" s="22"/>
      <c r="G37" s="25"/>
      <c r="H37" s="43"/>
      <c r="I37" s="50"/>
      <c r="J37" s="10"/>
      <c r="K37" s="50"/>
      <c r="L37" s="7"/>
      <c r="M37" s="50"/>
      <c r="N37" s="7"/>
      <c r="O37" s="50"/>
      <c r="P37" s="7"/>
      <c r="Q37" s="50"/>
      <c r="R37" s="7"/>
      <c r="S37" s="50"/>
      <c r="U37" s="18"/>
      <c r="V37" s="18"/>
      <c r="W37" s="18"/>
      <c r="X37" s="18"/>
      <c r="Y37" s="18"/>
    </row>
    <row r="38" spans="1:25" ht="24" customHeight="1" x14ac:dyDescent="0.3">
      <c r="A38" s="287"/>
      <c r="B38" s="24" t="s">
        <v>144</v>
      </c>
      <c r="C38" s="32"/>
      <c r="D38" s="32"/>
      <c r="E38" s="101"/>
      <c r="F38" s="22"/>
      <c r="G38" s="25"/>
      <c r="H38" s="43"/>
      <c r="I38" s="50"/>
      <c r="J38" s="10"/>
      <c r="K38" s="50"/>
      <c r="L38" s="7"/>
      <c r="M38" s="50"/>
      <c r="N38" s="7"/>
      <c r="O38" s="50"/>
      <c r="P38" s="7"/>
      <c r="Q38" s="50"/>
      <c r="R38" s="7"/>
      <c r="S38" s="50"/>
      <c r="U38" s="18"/>
      <c r="V38" s="18"/>
      <c r="W38" s="18"/>
      <c r="X38" s="18"/>
      <c r="Y38" s="18"/>
    </row>
    <row r="39" spans="1:25" ht="24" customHeight="1" x14ac:dyDescent="0.3">
      <c r="A39" s="287"/>
      <c r="B39" s="24" t="s">
        <v>146</v>
      </c>
      <c r="C39" s="32"/>
      <c r="D39" s="32"/>
      <c r="E39" s="54"/>
      <c r="F39" s="22"/>
      <c r="G39" s="25"/>
      <c r="H39" s="43"/>
      <c r="I39" s="50"/>
      <c r="J39" s="10"/>
      <c r="K39" s="50"/>
      <c r="L39" s="7"/>
      <c r="M39" s="50"/>
      <c r="N39" s="7"/>
      <c r="O39" s="50"/>
      <c r="P39" s="7"/>
      <c r="Q39" s="50"/>
      <c r="R39" s="7"/>
      <c r="S39" s="50"/>
      <c r="U39" s="18"/>
      <c r="V39" s="18"/>
      <c r="W39" s="18"/>
      <c r="X39" s="18"/>
      <c r="Y39" s="18"/>
    </row>
    <row r="40" spans="1:25" ht="24" customHeight="1" x14ac:dyDescent="0.3">
      <c r="A40" s="287"/>
      <c r="B40" s="24" t="s">
        <v>136</v>
      </c>
      <c r="C40" s="32"/>
      <c r="D40" s="32"/>
      <c r="E40" s="54"/>
      <c r="F40" s="22"/>
      <c r="G40" s="25"/>
      <c r="H40" s="43"/>
      <c r="I40" s="50"/>
      <c r="J40" s="10"/>
      <c r="K40" s="50"/>
      <c r="L40" s="7"/>
      <c r="M40" s="50"/>
      <c r="N40" s="7"/>
      <c r="O40" s="50"/>
      <c r="P40" s="7"/>
      <c r="Q40" s="50"/>
      <c r="R40" s="7"/>
      <c r="S40" s="50"/>
      <c r="U40" s="18"/>
      <c r="V40" s="18"/>
      <c r="W40" s="18"/>
      <c r="X40" s="18"/>
      <c r="Y40" s="18"/>
    </row>
    <row r="41" spans="1:25" ht="24" customHeight="1" x14ac:dyDescent="0.3">
      <c r="A41" s="287"/>
      <c r="B41" s="24" t="s">
        <v>139</v>
      </c>
      <c r="C41" s="32"/>
      <c r="D41" s="32"/>
      <c r="E41" s="54"/>
      <c r="F41" s="22"/>
      <c r="G41" s="25"/>
      <c r="H41" s="10"/>
      <c r="I41" s="50"/>
      <c r="J41" s="10"/>
      <c r="K41" s="50"/>
      <c r="L41" s="7"/>
      <c r="M41" s="50"/>
      <c r="N41" s="7"/>
      <c r="O41" s="50"/>
      <c r="P41" s="7"/>
      <c r="Q41" s="50"/>
      <c r="R41" s="7"/>
      <c r="S41" s="50"/>
      <c r="U41" s="18"/>
      <c r="V41" s="18"/>
      <c r="W41" s="18"/>
      <c r="X41" s="18"/>
      <c r="Y41" s="18"/>
    </row>
    <row r="42" spans="1:25" ht="24" customHeight="1" x14ac:dyDescent="0.3">
      <c r="A42" s="287"/>
      <c r="B42" s="24" t="s">
        <v>137</v>
      </c>
      <c r="C42" s="32">
        <v>3</v>
      </c>
      <c r="D42" s="32"/>
      <c r="E42" s="54">
        <v>1</v>
      </c>
      <c r="F42" s="22"/>
      <c r="G42" s="25"/>
      <c r="H42" s="7"/>
      <c r="I42" s="50"/>
      <c r="J42" s="10"/>
      <c r="K42" s="50"/>
      <c r="L42" s="7"/>
      <c r="M42" s="50"/>
      <c r="N42" s="7"/>
      <c r="O42" s="50"/>
      <c r="P42" s="7"/>
      <c r="Q42" s="50"/>
      <c r="R42" s="7"/>
      <c r="S42" s="50"/>
      <c r="U42" s="18"/>
      <c r="V42" s="18"/>
      <c r="W42" s="18"/>
      <c r="X42" s="18"/>
      <c r="Y42" s="18"/>
    </row>
    <row r="43" spans="1:25" ht="27" thickBot="1" x14ac:dyDescent="0.35">
      <c r="A43" s="288"/>
      <c r="B43" s="26"/>
      <c r="C43" s="27">
        <f>SUM(C23:C42)</f>
        <v>9</v>
      </c>
      <c r="D43" s="27">
        <f>SUM(D23:D42)</f>
        <v>0</v>
      </c>
      <c r="E43" s="27">
        <f>SUM(E23:E42)</f>
        <v>4</v>
      </c>
      <c r="F43" s="125">
        <f>SUM(F23:F42)</f>
        <v>0</v>
      </c>
      <c r="G43" s="157"/>
      <c r="H43" s="2">
        <f t="shared" ref="H43:S43" si="2">SUM(H23:H42)</f>
        <v>0</v>
      </c>
      <c r="I43" s="2">
        <f t="shared" si="2"/>
        <v>0</v>
      </c>
      <c r="J43" s="2">
        <f t="shared" si="2"/>
        <v>0</v>
      </c>
      <c r="K43" s="2">
        <f t="shared" si="2"/>
        <v>0</v>
      </c>
      <c r="L43" s="2">
        <f t="shared" si="2"/>
        <v>0</v>
      </c>
      <c r="M43" s="2">
        <f t="shared" si="2"/>
        <v>0</v>
      </c>
      <c r="N43" s="2">
        <f t="shared" si="2"/>
        <v>2</v>
      </c>
      <c r="O43" s="2">
        <f t="shared" si="2"/>
        <v>0</v>
      </c>
      <c r="P43" s="2">
        <f t="shared" si="2"/>
        <v>0</v>
      </c>
      <c r="Q43" s="2">
        <f t="shared" si="2"/>
        <v>0</v>
      </c>
      <c r="R43" s="2">
        <f t="shared" si="2"/>
        <v>0</v>
      </c>
      <c r="S43" s="2">
        <f t="shared" si="2"/>
        <v>0</v>
      </c>
    </row>
    <row r="44" spans="1:25" ht="24" customHeight="1" thickTop="1" x14ac:dyDescent="0.3">
      <c r="A44" s="252" t="s">
        <v>13</v>
      </c>
      <c r="B44" s="3" t="s">
        <v>28</v>
      </c>
      <c r="C44" s="7"/>
      <c r="D44" s="7"/>
      <c r="E44" s="50"/>
      <c r="F44" s="50"/>
      <c r="G44" s="157"/>
      <c r="H44" s="7"/>
      <c r="I44" s="50"/>
      <c r="J44" s="10"/>
      <c r="K44" s="50"/>
      <c r="L44" s="7"/>
      <c r="M44" s="50"/>
      <c r="N44" s="7"/>
      <c r="O44" s="50"/>
      <c r="P44" s="7"/>
      <c r="Q44" s="50"/>
      <c r="R44" s="7"/>
      <c r="S44" s="50"/>
    </row>
    <row r="45" spans="1:25" ht="24" customHeight="1" x14ac:dyDescent="0.3">
      <c r="A45" s="252"/>
      <c r="B45" s="3" t="s">
        <v>29</v>
      </c>
      <c r="C45" s="77"/>
      <c r="D45" s="7"/>
      <c r="E45" s="50"/>
      <c r="F45" s="50"/>
      <c r="G45" s="157"/>
      <c r="H45" s="7"/>
      <c r="I45" s="50"/>
      <c r="J45" s="10"/>
      <c r="K45" s="50"/>
      <c r="L45" s="7"/>
      <c r="M45" s="50"/>
      <c r="N45" s="7"/>
      <c r="O45" s="50"/>
      <c r="P45" s="7"/>
      <c r="Q45" s="50"/>
      <c r="R45" s="7"/>
      <c r="S45" s="50"/>
    </row>
    <row r="46" spans="1:25" ht="24" customHeight="1" x14ac:dyDescent="0.3">
      <c r="A46" s="252"/>
      <c r="B46" s="3" t="s">
        <v>125</v>
      </c>
      <c r="C46" s="7"/>
      <c r="D46" s="7"/>
      <c r="E46" s="50"/>
      <c r="F46" s="50"/>
      <c r="G46" s="157"/>
      <c r="H46" s="7"/>
      <c r="I46" s="50"/>
      <c r="J46" s="10"/>
      <c r="K46" s="50"/>
      <c r="L46" s="7">
        <v>1</v>
      </c>
      <c r="M46" s="50"/>
      <c r="N46" s="7"/>
      <c r="O46" s="50"/>
      <c r="P46" s="7"/>
      <c r="Q46" s="50"/>
      <c r="R46" s="7">
        <v>1</v>
      </c>
      <c r="S46" s="50"/>
    </row>
    <row r="47" spans="1:25" ht="24" customHeight="1" x14ac:dyDescent="0.3">
      <c r="A47" s="252"/>
      <c r="B47" s="3" t="s">
        <v>121</v>
      </c>
      <c r="C47" s="7"/>
      <c r="D47" s="7"/>
      <c r="E47" s="50"/>
      <c r="F47" s="50"/>
      <c r="G47" s="157"/>
      <c r="H47" s="7"/>
      <c r="I47" s="50"/>
      <c r="J47" s="10"/>
      <c r="K47" s="50">
        <v>1</v>
      </c>
      <c r="L47" s="7"/>
      <c r="M47" s="50"/>
      <c r="N47" s="7"/>
      <c r="O47" s="50"/>
      <c r="P47" s="7"/>
      <c r="Q47" s="50"/>
      <c r="R47" s="7"/>
      <c r="S47" s="50"/>
    </row>
    <row r="48" spans="1:25" ht="24" customHeight="1" x14ac:dyDescent="0.3">
      <c r="A48" s="252"/>
      <c r="B48" s="3" t="s">
        <v>122</v>
      </c>
      <c r="C48" s="7"/>
      <c r="D48" s="7"/>
      <c r="E48" s="50"/>
      <c r="F48" s="50"/>
      <c r="G48" s="157"/>
      <c r="H48" s="7"/>
      <c r="I48" s="50"/>
      <c r="J48" s="10"/>
      <c r="K48" s="50"/>
      <c r="L48" s="7"/>
      <c r="M48" s="50"/>
      <c r="N48" s="7"/>
      <c r="O48" s="50"/>
      <c r="P48" s="7"/>
      <c r="Q48" s="50"/>
      <c r="R48" s="7"/>
      <c r="S48" s="50"/>
    </row>
    <row r="49" spans="1:37" ht="24" customHeight="1" x14ac:dyDescent="0.3">
      <c r="A49" s="252"/>
      <c r="B49" s="3" t="s">
        <v>123</v>
      </c>
      <c r="C49" s="7"/>
      <c r="D49" s="7"/>
      <c r="E49" s="50"/>
      <c r="F49" s="50"/>
      <c r="G49" s="157"/>
      <c r="H49" s="7"/>
      <c r="I49" s="50"/>
      <c r="J49" s="10"/>
      <c r="K49" s="50"/>
      <c r="L49" s="7"/>
      <c r="M49" s="50"/>
      <c r="N49" s="7"/>
      <c r="O49" s="50"/>
      <c r="P49" s="7"/>
      <c r="Q49" s="50"/>
      <c r="R49" s="7"/>
      <c r="S49" s="50"/>
    </row>
    <row r="50" spans="1:37" ht="24" customHeight="1" x14ac:dyDescent="0.3">
      <c r="A50" s="252"/>
      <c r="B50" s="100" t="s">
        <v>126</v>
      </c>
      <c r="C50" s="7"/>
      <c r="D50" s="7"/>
      <c r="E50" s="50"/>
      <c r="F50" s="50"/>
      <c r="G50" s="157"/>
      <c r="H50" s="7"/>
      <c r="I50" s="50"/>
      <c r="J50" s="10"/>
      <c r="K50" s="50"/>
      <c r="L50" s="7"/>
      <c r="M50" s="50"/>
      <c r="N50" s="7"/>
      <c r="O50" s="50"/>
      <c r="P50" s="7"/>
      <c r="Q50" s="50"/>
      <c r="R50" s="7"/>
      <c r="S50" s="50"/>
    </row>
    <row r="51" spans="1:37" ht="24" customHeight="1" x14ac:dyDescent="0.3">
      <c r="A51" s="252"/>
      <c r="B51" s="100" t="s">
        <v>124</v>
      </c>
      <c r="C51" s="7"/>
      <c r="D51" s="7"/>
      <c r="E51" s="50"/>
      <c r="F51" s="50"/>
      <c r="G51" s="157"/>
      <c r="H51" s="7"/>
      <c r="I51" s="50"/>
      <c r="J51" s="10"/>
      <c r="K51" s="50"/>
      <c r="L51" s="7">
        <v>2</v>
      </c>
      <c r="M51" s="50">
        <v>1</v>
      </c>
      <c r="N51" s="7"/>
      <c r="O51" s="50"/>
      <c r="P51" s="7"/>
      <c r="Q51" s="50"/>
      <c r="R51" s="7"/>
      <c r="S51" s="50"/>
    </row>
    <row r="52" spans="1:37" ht="26.25" x14ac:dyDescent="0.3">
      <c r="A52" s="279"/>
      <c r="B52" s="122"/>
      <c r="C52" s="123">
        <f>SUM(C44:C51)</f>
        <v>0</v>
      </c>
      <c r="D52" s="123">
        <f>SUM(D44:D51)</f>
        <v>0</v>
      </c>
      <c r="E52" s="123">
        <f>SUM(E44:E51)</f>
        <v>0</v>
      </c>
      <c r="F52" s="123">
        <f>SUM(F44:F51)</f>
        <v>0</v>
      </c>
      <c r="G52" s="157"/>
      <c r="H52" s="2">
        <f t="shared" ref="H52:S52" si="3">SUM(H44:H51)</f>
        <v>0</v>
      </c>
      <c r="I52" s="123">
        <f t="shared" si="3"/>
        <v>0</v>
      </c>
      <c r="J52" s="123">
        <f t="shared" si="3"/>
        <v>0</v>
      </c>
      <c r="K52" s="123">
        <f t="shared" si="3"/>
        <v>1</v>
      </c>
      <c r="L52" s="123">
        <f t="shared" si="3"/>
        <v>3</v>
      </c>
      <c r="M52" s="123">
        <f t="shared" si="3"/>
        <v>1</v>
      </c>
      <c r="N52" s="123">
        <f t="shared" si="3"/>
        <v>0</v>
      </c>
      <c r="O52" s="123">
        <f t="shared" si="3"/>
        <v>0</v>
      </c>
      <c r="P52" s="123">
        <f t="shared" si="3"/>
        <v>0</v>
      </c>
      <c r="Q52" s="123">
        <f t="shared" si="3"/>
        <v>0</v>
      </c>
      <c r="R52" s="123">
        <f t="shared" si="3"/>
        <v>1</v>
      </c>
      <c r="S52" s="123">
        <f t="shared" si="3"/>
        <v>0</v>
      </c>
      <c r="Y52" s="254"/>
      <c r="Z52" s="254"/>
      <c r="AA52" s="254"/>
      <c r="AB52" s="254"/>
      <c r="AD52" s="234"/>
      <c r="AE52" s="234"/>
      <c r="AF52" s="234"/>
      <c r="AG52" s="234"/>
      <c r="AH52" s="234"/>
      <c r="AJ52" s="234"/>
      <c r="AK52" s="234"/>
    </row>
    <row r="53" spans="1:37" ht="24" customHeight="1" x14ac:dyDescent="0.3">
      <c r="A53" s="253" t="s">
        <v>118</v>
      </c>
      <c r="B53" s="3" t="s">
        <v>171</v>
      </c>
      <c r="C53" s="7"/>
      <c r="D53" s="7"/>
      <c r="E53" s="50"/>
      <c r="F53" s="50"/>
      <c r="G53" s="157"/>
      <c r="H53" s="7"/>
      <c r="I53" s="50"/>
      <c r="J53" s="10"/>
      <c r="K53" s="50"/>
      <c r="L53" s="7"/>
      <c r="M53" s="50"/>
      <c r="N53" s="7"/>
      <c r="O53" s="50"/>
      <c r="P53" s="7"/>
      <c r="Q53" s="50"/>
      <c r="R53" s="7"/>
      <c r="S53" s="50"/>
    </row>
    <row r="54" spans="1:37" ht="24" customHeight="1" x14ac:dyDescent="0.3">
      <c r="A54" s="253"/>
      <c r="B54" s="3" t="s">
        <v>168</v>
      </c>
      <c r="C54" s="7"/>
      <c r="D54" s="7"/>
      <c r="E54" s="50"/>
      <c r="F54" s="50"/>
      <c r="G54" s="157"/>
      <c r="H54" s="7"/>
      <c r="I54" s="50"/>
      <c r="J54" s="10"/>
      <c r="K54" s="50"/>
      <c r="L54" s="7">
        <v>1</v>
      </c>
      <c r="M54" s="50"/>
      <c r="N54" s="7"/>
      <c r="O54" s="50"/>
      <c r="P54" s="7"/>
      <c r="Q54" s="50"/>
      <c r="R54" s="7"/>
      <c r="S54" s="50"/>
    </row>
    <row r="55" spans="1:37" ht="24" customHeight="1" x14ac:dyDescent="0.3">
      <c r="A55" s="253"/>
      <c r="B55" s="3" t="s">
        <v>170</v>
      </c>
      <c r="C55" s="7"/>
      <c r="D55" s="7"/>
      <c r="E55" s="50"/>
      <c r="F55" s="50"/>
      <c r="G55" s="157"/>
      <c r="H55" s="7"/>
      <c r="I55" s="50"/>
      <c r="J55" s="10"/>
      <c r="L55" s="7"/>
      <c r="M55" s="50"/>
      <c r="N55" s="7"/>
      <c r="O55" s="50"/>
      <c r="P55" s="7"/>
      <c r="Q55" s="50"/>
      <c r="R55" s="7"/>
      <c r="S55" s="50"/>
    </row>
    <row r="56" spans="1:37" ht="24" customHeight="1" x14ac:dyDescent="0.3">
      <c r="A56" s="253"/>
      <c r="B56" s="100" t="s">
        <v>166</v>
      </c>
      <c r="C56" s="7"/>
      <c r="D56" s="7"/>
      <c r="E56" s="50"/>
      <c r="F56" s="50"/>
      <c r="G56" s="157"/>
      <c r="H56" s="7"/>
      <c r="I56" s="50"/>
      <c r="J56" s="10"/>
      <c r="K56" s="50"/>
      <c r="L56" s="7">
        <v>2</v>
      </c>
      <c r="M56" s="50"/>
      <c r="N56" s="7">
        <v>2</v>
      </c>
      <c r="O56" s="50"/>
      <c r="P56" s="7"/>
      <c r="Q56" s="50"/>
      <c r="R56" s="7"/>
      <c r="S56" s="50"/>
    </row>
    <row r="57" spans="1:37" ht="24" customHeight="1" x14ac:dyDescent="0.3">
      <c r="A57" s="253"/>
      <c r="B57" s="100" t="s">
        <v>167</v>
      </c>
      <c r="C57" s="7"/>
      <c r="D57" s="7"/>
      <c r="E57" s="50"/>
      <c r="F57" s="50"/>
      <c r="G57" s="157"/>
      <c r="H57" s="7"/>
      <c r="I57" s="50"/>
      <c r="J57" s="10"/>
      <c r="K57" s="50"/>
      <c r="L57" s="7"/>
      <c r="M57" s="50"/>
      <c r="N57" s="7"/>
      <c r="O57" s="50"/>
      <c r="P57" s="7">
        <v>1</v>
      </c>
      <c r="Q57" s="50"/>
      <c r="R57" s="7"/>
      <c r="S57" s="50"/>
    </row>
    <row r="58" spans="1:37" ht="24" customHeight="1" x14ac:dyDescent="0.3">
      <c r="A58" s="253"/>
      <c r="B58" s="100" t="s">
        <v>172</v>
      </c>
      <c r="C58" s="7"/>
      <c r="D58" s="7"/>
      <c r="E58" s="50"/>
      <c r="F58" s="50"/>
      <c r="G58" s="157"/>
      <c r="H58" s="7"/>
      <c r="I58" s="50"/>
      <c r="J58" s="10"/>
      <c r="K58" s="50">
        <v>2</v>
      </c>
      <c r="L58" s="7">
        <v>2</v>
      </c>
      <c r="M58" s="50"/>
      <c r="N58" s="7"/>
      <c r="O58" s="50"/>
      <c r="P58" s="7"/>
      <c r="Q58" s="50"/>
      <c r="R58" s="7">
        <v>2</v>
      </c>
      <c r="S58" s="50"/>
    </row>
    <row r="59" spans="1:37" ht="24" customHeight="1" x14ac:dyDescent="0.3">
      <c r="A59" s="253"/>
      <c r="B59" s="100" t="s">
        <v>165</v>
      </c>
      <c r="C59" s="7"/>
      <c r="D59" s="7"/>
      <c r="E59" s="50"/>
      <c r="F59" s="50"/>
      <c r="G59" s="157"/>
      <c r="H59" s="7"/>
      <c r="I59" s="50"/>
      <c r="J59" s="10"/>
      <c r="K59" s="50"/>
      <c r="L59" s="7"/>
      <c r="M59" s="50"/>
      <c r="N59" s="7"/>
      <c r="O59" s="50"/>
      <c r="P59" s="7"/>
      <c r="Q59" s="50"/>
      <c r="R59" s="7">
        <v>1</v>
      </c>
      <c r="S59" s="50"/>
    </row>
    <row r="60" spans="1:37" ht="24" customHeight="1" x14ac:dyDescent="0.3">
      <c r="A60" s="253"/>
      <c r="B60" s="3" t="s">
        <v>173</v>
      </c>
      <c r="C60" s="7"/>
      <c r="D60" s="7"/>
      <c r="E60" s="50"/>
      <c r="F60" s="50"/>
      <c r="G60" s="157"/>
      <c r="H60" s="7"/>
      <c r="I60" s="50"/>
      <c r="J60" s="10"/>
      <c r="K60" s="50"/>
      <c r="L60" s="7"/>
      <c r="M60" s="50"/>
      <c r="N60" s="7"/>
      <c r="O60" s="50"/>
      <c r="P60" s="7">
        <v>1</v>
      </c>
      <c r="Q60" s="50"/>
      <c r="R60" s="7"/>
      <c r="S60" s="50"/>
    </row>
    <row r="61" spans="1:37" ht="24" customHeight="1" x14ac:dyDescent="0.3">
      <c r="A61" s="253"/>
      <c r="B61" s="3" t="s">
        <v>169</v>
      </c>
      <c r="C61" s="7"/>
      <c r="D61" s="7"/>
      <c r="E61" s="50"/>
      <c r="F61" s="50"/>
      <c r="G61" s="157"/>
      <c r="H61" s="7"/>
      <c r="I61" s="50"/>
      <c r="J61" s="10"/>
      <c r="K61" s="50"/>
      <c r="L61" s="7"/>
      <c r="M61" s="50"/>
      <c r="N61" s="7"/>
      <c r="O61" s="50"/>
      <c r="P61" s="7"/>
      <c r="Q61" s="50"/>
      <c r="R61" s="7"/>
      <c r="S61" s="50"/>
    </row>
    <row r="62" spans="1:37" ht="26.25" x14ac:dyDescent="0.3">
      <c r="A62" s="253"/>
      <c r="B62" s="2"/>
      <c r="C62" s="2">
        <f>SUM(C53:C61)</f>
        <v>0</v>
      </c>
      <c r="D62" s="2">
        <f>SUM(D53:D61)</f>
        <v>0</v>
      </c>
      <c r="E62" s="2">
        <f>SUM(E53:E61)</f>
        <v>0</v>
      </c>
      <c r="F62" s="2">
        <f>SUM(F53:F61)</f>
        <v>0</v>
      </c>
      <c r="G62" s="157"/>
      <c r="H62" s="2">
        <f t="shared" ref="H62:S62" si="4">SUM(H53:H61)</f>
        <v>0</v>
      </c>
      <c r="I62" s="2">
        <f t="shared" si="4"/>
        <v>0</v>
      </c>
      <c r="J62" s="2">
        <f t="shared" si="4"/>
        <v>0</v>
      </c>
      <c r="K62" s="2">
        <f t="shared" si="4"/>
        <v>2</v>
      </c>
      <c r="L62" s="2">
        <f t="shared" si="4"/>
        <v>5</v>
      </c>
      <c r="M62" s="2">
        <f t="shared" si="4"/>
        <v>0</v>
      </c>
      <c r="N62" s="2">
        <f t="shared" si="4"/>
        <v>2</v>
      </c>
      <c r="O62" s="2">
        <f t="shared" si="4"/>
        <v>0</v>
      </c>
      <c r="P62" s="2">
        <f t="shared" si="4"/>
        <v>2</v>
      </c>
      <c r="Q62" s="2">
        <f t="shared" si="4"/>
        <v>0</v>
      </c>
      <c r="R62" s="2">
        <f t="shared" si="4"/>
        <v>3</v>
      </c>
      <c r="S62" s="2">
        <f t="shared" si="4"/>
        <v>0</v>
      </c>
      <c r="Y62" s="254"/>
      <c r="Z62" s="254"/>
      <c r="AA62" s="254"/>
      <c r="AB62" s="254"/>
      <c r="AD62" s="234"/>
      <c r="AE62" s="234"/>
      <c r="AF62" s="234"/>
      <c r="AG62" s="234"/>
      <c r="AH62" s="234"/>
      <c r="AJ62" s="234"/>
      <c r="AK62" s="234"/>
    </row>
    <row r="64" spans="1:37" ht="19.5" customHeight="1" x14ac:dyDescent="0.35">
      <c r="A64" s="235" t="s">
        <v>23</v>
      </c>
      <c r="B64" s="235"/>
      <c r="C64" s="126">
        <v>47000</v>
      </c>
      <c r="D64" s="126">
        <v>4700</v>
      </c>
      <c r="E64" s="126">
        <v>58000</v>
      </c>
      <c r="F64" s="126">
        <v>5800</v>
      </c>
      <c r="H64" s="126">
        <v>5800</v>
      </c>
      <c r="I64" s="126">
        <v>4700</v>
      </c>
      <c r="J64" s="20">
        <v>6800</v>
      </c>
      <c r="K64" s="20">
        <v>5200</v>
      </c>
      <c r="L64" s="20">
        <v>20700</v>
      </c>
      <c r="M64" s="20">
        <v>6400</v>
      </c>
      <c r="N64" s="20">
        <v>18700</v>
      </c>
      <c r="O64" s="126">
        <v>25700</v>
      </c>
      <c r="P64" s="126">
        <v>8800</v>
      </c>
      <c r="Q64" s="20">
        <v>21700</v>
      </c>
      <c r="R64" s="20">
        <v>15000</v>
      </c>
      <c r="S64" s="20">
        <v>18000</v>
      </c>
      <c r="U64" s="236">
        <f>P67*0.85</f>
        <v>5250620</v>
      </c>
      <c r="V64" s="237"/>
      <c r="W64" s="238"/>
      <c r="Y64" s="242">
        <f>P69-P67</f>
        <v>0</v>
      </c>
      <c r="Z64" s="243"/>
      <c r="AA64" s="243"/>
      <c r="AB64" s="243"/>
      <c r="AD64" s="234"/>
      <c r="AE64" s="234"/>
      <c r="AF64" s="234"/>
      <c r="AG64" s="234"/>
      <c r="AH64" s="234"/>
      <c r="AJ64" s="234"/>
      <c r="AK64" s="234"/>
    </row>
    <row r="65" spans="1:37" ht="19.5" customHeight="1" x14ac:dyDescent="0.35">
      <c r="A65" s="235" t="s">
        <v>24</v>
      </c>
      <c r="B65" s="235"/>
      <c r="C65" s="20">
        <f>C64*C3</f>
        <v>4888000</v>
      </c>
      <c r="D65" s="20">
        <f>D64*D3</f>
        <v>0</v>
      </c>
      <c r="E65" s="20">
        <f>E64*E3</f>
        <v>522000</v>
      </c>
      <c r="F65" s="20">
        <f>F64*F3</f>
        <v>290000</v>
      </c>
      <c r="H65" s="20">
        <f t="shared" ref="H65:S65" si="5">H64*H3</f>
        <v>0</v>
      </c>
      <c r="I65" s="20">
        <f t="shared" si="5"/>
        <v>0</v>
      </c>
      <c r="J65" s="20">
        <f t="shared" si="5"/>
        <v>6800</v>
      </c>
      <c r="K65" s="20">
        <f t="shared" si="5"/>
        <v>15600</v>
      </c>
      <c r="L65" s="20">
        <f t="shared" si="5"/>
        <v>207000</v>
      </c>
      <c r="M65" s="20">
        <f t="shared" si="5"/>
        <v>19200</v>
      </c>
      <c r="N65" s="20">
        <f t="shared" si="5"/>
        <v>112200</v>
      </c>
      <c r="O65" s="20">
        <f t="shared" si="5"/>
        <v>0</v>
      </c>
      <c r="P65" s="20">
        <f t="shared" si="5"/>
        <v>26400</v>
      </c>
      <c r="Q65" s="20">
        <f t="shared" si="5"/>
        <v>0</v>
      </c>
      <c r="R65" s="20">
        <f t="shared" si="5"/>
        <v>90000</v>
      </c>
      <c r="S65" s="20">
        <f t="shared" si="5"/>
        <v>0</v>
      </c>
      <c r="U65" s="239"/>
      <c r="V65" s="240"/>
      <c r="W65" s="241"/>
      <c r="Y65" s="243"/>
      <c r="Z65" s="243"/>
      <c r="AA65" s="243"/>
      <c r="AB65" s="243"/>
      <c r="AD65" s="234"/>
      <c r="AE65" s="234"/>
      <c r="AF65" s="234"/>
      <c r="AG65" s="234"/>
      <c r="AH65" s="234"/>
      <c r="AJ65" s="234"/>
      <c r="AK65" s="234"/>
    </row>
    <row r="67" spans="1:37" ht="26.25" x14ac:dyDescent="0.3">
      <c r="P67" s="259">
        <f>SUM(C65:S65)</f>
        <v>6177200</v>
      </c>
      <c r="Q67" s="260"/>
      <c r="U67" s="247"/>
      <c r="V67" s="248"/>
      <c r="W67" s="248"/>
      <c r="Y67" s="249"/>
      <c r="Z67" s="250"/>
      <c r="AA67" s="250"/>
      <c r="AB67" s="251"/>
    </row>
    <row r="69" spans="1:37" ht="26.25" x14ac:dyDescent="0.3">
      <c r="C69" s="244"/>
      <c r="D69" s="245"/>
      <c r="P69" s="246">
        <v>6177200</v>
      </c>
      <c r="Q69" s="246"/>
      <c r="U69" s="247">
        <f>P69*0.85</f>
        <v>5250620</v>
      </c>
      <c r="V69" s="248"/>
      <c r="W69" s="248"/>
      <c r="Y69" s="249"/>
      <c r="Z69" s="250"/>
      <c r="AA69" s="250"/>
      <c r="AB69" s="251"/>
    </row>
    <row r="70" spans="1:37" x14ac:dyDescent="0.3">
      <c r="Q70" s="18"/>
      <c r="S70" s="18"/>
      <c r="U70" s="245"/>
      <c r="V70" s="245"/>
      <c r="W70" s="245"/>
      <c r="Y70" s="255"/>
      <c r="Z70" s="256"/>
      <c r="AA70" s="256"/>
      <c r="AB70" s="256"/>
    </row>
    <row r="71" spans="1:37" x14ac:dyDescent="0.3">
      <c r="P71" s="244"/>
      <c r="Q71" s="245"/>
      <c r="U71" s="245"/>
      <c r="V71" s="245"/>
      <c r="W71" s="245"/>
      <c r="Y71" s="245"/>
      <c r="Z71" s="245"/>
      <c r="AA71" s="245"/>
      <c r="AB71" s="245"/>
    </row>
    <row r="72" spans="1:37" x14ac:dyDescent="0.3">
      <c r="P72" s="245"/>
      <c r="Q72" s="245"/>
      <c r="U72" s="245"/>
      <c r="V72" s="245"/>
      <c r="W72" s="245"/>
      <c r="Y72" s="245"/>
      <c r="Z72" s="245"/>
      <c r="AA72" s="245"/>
      <c r="AB72" s="245"/>
    </row>
    <row r="73" spans="1:37" x14ac:dyDescent="0.3">
      <c r="P73" s="18"/>
      <c r="Q73" s="18"/>
      <c r="S73" s="18"/>
      <c r="Y73" s="245"/>
      <c r="Z73" s="245"/>
      <c r="AA73" s="245"/>
      <c r="AB73" s="245"/>
    </row>
    <row r="74" spans="1:37" x14ac:dyDescent="0.3">
      <c r="C74">
        <f>C64*0.85</f>
        <v>39950</v>
      </c>
      <c r="D74">
        <f t="shared" ref="D74:R74" si="6">D64*0.85</f>
        <v>3995</v>
      </c>
      <c r="E74">
        <f t="shared" si="6"/>
        <v>49300</v>
      </c>
      <c r="F74">
        <f t="shared" si="6"/>
        <v>4930</v>
      </c>
      <c r="H74">
        <f t="shared" si="6"/>
        <v>4930</v>
      </c>
      <c r="I74">
        <f t="shared" si="6"/>
        <v>3995</v>
      </c>
      <c r="J74">
        <f t="shared" si="6"/>
        <v>5780</v>
      </c>
      <c r="K74">
        <f t="shared" si="6"/>
        <v>4420</v>
      </c>
      <c r="L74">
        <f t="shared" si="6"/>
        <v>17595</v>
      </c>
      <c r="M74">
        <f t="shared" si="6"/>
        <v>5440</v>
      </c>
      <c r="N74">
        <f t="shared" si="6"/>
        <v>15895</v>
      </c>
      <c r="O74">
        <f t="shared" si="6"/>
        <v>21845</v>
      </c>
      <c r="P74">
        <f t="shared" si="6"/>
        <v>7480</v>
      </c>
      <c r="Q74">
        <f t="shared" si="6"/>
        <v>18445</v>
      </c>
      <c r="R74">
        <f t="shared" si="6"/>
        <v>12750</v>
      </c>
      <c r="S74">
        <f>S64*0.85</f>
        <v>15300</v>
      </c>
    </row>
    <row r="75" spans="1:37" x14ac:dyDescent="0.3">
      <c r="C75">
        <v>29500</v>
      </c>
      <c r="D75">
        <v>2950</v>
      </c>
      <c r="E75">
        <v>51000</v>
      </c>
      <c r="F75">
        <v>5100</v>
      </c>
      <c r="H75">
        <v>3600</v>
      </c>
      <c r="I75">
        <v>2950</v>
      </c>
      <c r="J75">
        <v>4000</v>
      </c>
      <c r="K75">
        <v>4200</v>
      </c>
      <c r="L75">
        <v>15000</v>
      </c>
      <c r="M75">
        <v>4500</v>
      </c>
      <c r="N75">
        <v>9500</v>
      </c>
      <c r="O75">
        <v>12000</v>
      </c>
      <c r="P75">
        <v>8000</v>
      </c>
      <c r="Q75">
        <v>12000</v>
      </c>
      <c r="R75">
        <v>8500</v>
      </c>
    </row>
    <row r="76" spans="1:37" x14ac:dyDescent="0.3">
      <c r="C76">
        <f>C74-C75</f>
        <v>10450</v>
      </c>
      <c r="D76">
        <f t="shared" ref="D76:R76" si="7">D74-D75</f>
        <v>1045</v>
      </c>
      <c r="E76">
        <f t="shared" si="7"/>
        <v>-1700</v>
      </c>
      <c r="F76">
        <f t="shared" si="7"/>
        <v>-170</v>
      </c>
      <c r="H76">
        <f t="shared" si="7"/>
        <v>1330</v>
      </c>
      <c r="I76">
        <f t="shared" si="7"/>
        <v>1045</v>
      </c>
      <c r="J76">
        <f t="shared" si="7"/>
        <v>1780</v>
      </c>
      <c r="K76">
        <f t="shared" si="7"/>
        <v>220</v>
      </c>
      <c r="L76">
        <f t="shared" si="7"/>
        <v>2595</v>
      </c>
      <c r="M76">
        <f t="shared" si="7"/>
        <v>940</v>
      </c>
      <c r="N76">
        <f t="shared" si="7"/>
        <v>6395</v>
      </c>
      <c r="O76">
        <f t="shared" si="7"/>
        <v>9845</v>
      </c>
      <c r="P76">
        <f t="shared" si="7"/>
        <v>-520</v>
      </c>
      <c r="Q76">
        <f t="shared" si="7"/>
        <v>6445</v>
      </c>
      <c r="R76">
        <f t="shared" si="7"/>
        <v>4250</v>
      </c>
    </row>
    <row r="77" spans="1:37" x14ac:dyDescent="0.3">
      <c r="C77">
        <f t="shared" ref="C77:R77" si="8">C76*C3</f>
        <v>1086800</v>
      </c>
      <c r="D77">
        <f t="shared" si="8"/>
        <v>0</v>
      </c>
      <c r="E77">
        <f t="shared" si="8"/>
        <v>-15300</v>
      </c>
      <c r="F77">
        <f t="shared" si="8"/>
        <v>-8500</v>
      </c>
      <c r="G77">
        <f t="shared" si="8"/>
        <v>0</v>
      </c>
      <c r="H77">
        <f t="shared" si="8"/>
        <v>0</v>
      </c>
      <c r="I77">
        <f t="shared" si="8"/>
        <v>0</v>
      </c>
      <c r="J77">
        <f t="shared" si="8"/>
        <v>1780</v>
      </c>
      <c r="K77">
        <f t="shared" si="8"/>
        <v>660</v>
      </c>
      <c r="L77">
        <f t="shared" si="8"/>
        <v>25950</v>
      </c>
      <c r="M77">
        <f t="shared" si="8"/>
        <v>2820</v>
      </c>
      <c r="N77">
        <f t="shared" si="8"/>
        <v>38370</v>
      </c>
      <c r="O77">
        <f t="shared" si="8"/>
        <v>0</v>
      </c>
      <c r="P77">
        <f t="shared" si="8"/>
        <v>-1560</v>
      </c>
      <c r="Q77">
        <f t="shared" si="8"/>
        <v>0</v>
      </c>
      <c r="R77">
        <f t="shared" si="8"/>
        <v>25500</v>
      </c>
      <c r="X77" s="245"/>
      <c r="Y77" s="245"/>
      <c r="Z77" s="245"/>
      <c r="AA77" s="245"/>
      <c r="AB77" s="245"/>
    </row>
    <row r="78" spans="1:37" x14ac:dyDescent="0.3">
      <c r="X78" s="245"/>
      <c r="Y78" s="245"/>
      <c r="Z78" s="245"/>
      <c r="AA78" s="245"/>
      <c r="AB78" s="245"/>
    </row>
    <row r="79" spans="1:37" ht="26.25" x14ac:dyDescent="0.3">
      <c r="P79" s="257">
        <f>SUM(C77:R77)</f>
        <v>1156520</v>
      </c>
      <c r="Q79" s="258"/>
    </row>
  </sheetData>
  <mergeCells count="31">
    <mergeCell ref="U70:W72"/>
    <mergeCell ref="Y70:AB73"/>
    <mergeCell ref="P71:Q72"/>
    <mergeCell ref="X77:AB78"/>
    <mergeCell ref="P79:Q79"/>
    <mergeCell ref="P67:Q67"/>
    <mergeCell ref="U67:W67"/>
    <mergeCell ref="Y67:AB67"/>
    <mergeCell ref="C69:D69"/>
    <mergeCell ref="P69:Q69"/>
    <mergeCell ref="U69:W69"/>
    <mergeCell ref="Y69:AB69"/>
    <mergeCell ref="A64:B64"/>
    <mergeCell ref="U64:W65"/>
    <mergeCell ref="Y64:AB65"/>
    <mergeCell ref="AD64:AH65"/>
    <mergeCell ref="AJ64:AK65"/>
    <mergeCell ref="A65:B65"/>
    <mergeCell ref="Y52:AB52"/>
    <mergeCell ref="AD52:AH52"/>
    <mergeCell ref="AJ52:AK52"/>
    <mergeCell ref="A53:A62"/>
    <mergeCell ref="Y62:AB62"/>
    <mergeCell ref="AD62:AH62"/>
    <mergeCell ref="AJ62:AK62"/>
    <mergeCell ref="A1:B2"/>
    <mergeCell ref="C1:D1"/>
    <mergeCell ref="E1:F1"/>
    <mergeCell ref="A4:A22"/>
    <mergeCell ref="A23:A43"/>
    <mergeCell ref="A44:A52"/>
  </mergeCells>
  <phoneticPr fontId="43" type="noConversion"/>
  <conditionalFormatting sqref="B7:B11">
    <cfRule type="duplicateValues" dxfId="115" priority="2"/>
  </conditionalFormatting>
  <conditionalFormatting sqref="B44:B51">
    <cfRule type="duplicateValues" dxfId="114" priority="3"/>
  </conditionalFormatting>
  <conditionalFormatting sqref="B12">
    <cfRule type="duplicateValues" dxfId="113" priority="1"/>
  </conditionalFormatting>
  <conditionalFormatting sqref="B4:B6 B13:B21">
    <cfRule type="expression" dxfId="112" priority="4" stopIfTrue="1">
      <formula>AND(COUNTIF($B$4:$B$6, B4)+COUNTIF($B$13:$B$21, B4)&gt;1,NOT(ISBLANK(B4)))</formula>
    </cfRule>
  </conditionalFormatting>
  <conditionalFormatting sqref="B53:B61">
    <cfRule type="duplicateValues" dxfId="111" priority="5"/>
  </conditionalFormatting>
  <conditionalFormatting sqref="B23:B42">
    <cfRule type="duplicateValues" dxfId="110" priority="6"/>
  </conditionalFormatting>
  <printOptions horizontalCentered="1" verticalCentered="1"/>
  <pageMargins left="0" right="0" top="7.874015748031496E-2" bottom="7.874015748031496E-2" header="0" footer="0"/>
  <pageSetup paperSize="9" scale="23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T17"/>
  <sheetViews>
    <sheetView zoomScale="70" zoomScaleNormal="70" workbookViewId="0">
      <pane ySplit="3" topLeftCell="A4" activePane="bottomLeft" state="frozen"/>
      <selection activeCell="H7" sqref="H7"/>
      <selection pane="bottomLeft" activeCell="H7" sqref="H7"/>
    </sheetView>
  </sheetViews>
  <sheetFormatPr defaultRowHeight="16.5" x14ac:dyDescent="0.3"/>
  <cols>
    <col min="1" max="1" width="32.875" customWidth="1"/>
    <col min="2" max="6" width="10" customWidth="1"/>
    <col min="7" max="7" width="5.75" customWidth="1"/>
    <col min="8" max="8" width="18.5" customWidth="1"/>
    <col min="9" max="20" width="10.875" customWidth="1"/>
  </cols>
  <sheetData>
    <row r="1" spans="1:20" ht="113.25" customHeight="1" x14ac:dyDescent="0.3">
      <c r="A1" s="222" t="s">
        <v>192</v>
      </c>
      <c r="B1" s="223"/>
      <c r="C1" s="267" t="s">
        <v>97</v>
      </c>
      <c r="D1" s="268"/>
      <c r="E1" s="228" t="s">
        <v>98</v>
      </c>
      <c r="F1" s="228"/>
      <c r="G1" s="8"/>
      <c r="H1" s="269" t="s">
        <v>18</v>
      </c>
      <c r="I1" s="72" t="s">
        <v>20</v>
      </c>
      <c r="J1" s="156" t="s">
        <v>21</v>
      </c>
      <c r="K1" s="5" t="s">
        <v>101</v>
      </c>
      <c r="L1" s="156" t="s">
        <v>100</v>
      </c>
      <c r="M1" s="5" t="s">
        <v>96</v>
      </c>
      <c r="N1" s="156" t="s">
        <v>183</v>
      </c>
      <c r="O1" s="5" t="s">
        <v>114</v>
      </c>
      <c r="P1" s="156" t="s">
        <v>115</v>
      </c>
      <c r="Q1" s="5" t="s">
        <v>190</v>
      </c>
      <c r="R1" s="156" t="s">
        <v>105</v>
      </c>
      <c r="S1" s="5" t="s">
        <v>106</v>
      </c>
      <c r="T1" s="156" t="s">
        <v>191</v>
      </c>
    </row>
    <row r="2" spans="1:20" ht="43.5" customHeight="1" x14ac:dyDescent="0.3">
      <c r="A2" s="224"/>
      <c r="B2" s="225"/>
      <c r="C2" s="73" t="s">
        <v>2</v>
      </c>
      <c r="D2" s="73" t="s">
        <v>22</v>
      </c>
      <c r="E2" s="1" t="s">
        <v>2</v>
      </c>
      <c r="F2" s="1" t="s">
        <v>1</v>
      </c>
      <c r="G2" s="9"/>
      <c r="H2" s="270"/>
      <c r="I2" s="6" t="s">
        <v>3</v>
      </c>
      <c r="J2" s="1" t="s">
        <v>1</v>
      </c>
      <c r="K2" s="6" t="s">
        <v>3</v>
      </c>
      <c r="L2" s="1" t="s">
        <v>1</v>
      </c>
      <c r="M2" s="6" t="s">
        <v>3</v>
      </c>
      <c r="N2" s="1" t="s">
        <v>1</v>
      </c>
      <c r="O2" s="6" t="s">
        <v>3</v>
      </c>
      <c r="P2" s="1" t="s">
        <v>1</v>
      </c>
      <c r="Q2" s="6" t="s">
        <v>3</v>
      </c>
      <c r="R2" s="1" t="s">
        <v>1</v>
      </c>
      <c r="S2" s="6" t="s">
        <v>3</v>
      </c>
      <c r="T2" s="1" t="s">
        <v>1</v>
      </c>
    </row>
    <row r="3" spans="1:20" ht="39" customHeight="1" thickBot="1" x14ac:dyDescent="0.35">
      <c r="A3" s="271" t="s">
        <v>10</v>
      </c>
      <c r="B3" s="272"/>
      <c r="C3" s="44">
        <f>SUM(C4:C19)</f>
        <v>54</v>
      </c>
      <c r="D3" s="44">
        <f>SUM(D4:D19)</f>
        <v>0</v>
      </c>
      <c r="E3" s="44">
        <f>SUM(E4:E19)</f>
        <v>9</v>
      </c>
      <c r="F3" s="44">
        <f>SUM(F4:F19)</f>
        <v>50</v>
      </c>
      <c r="G3" s="157"/>
      <c r="H3" s="13" t="s">
        <v>10</v>
      </c>
      <c r="I3" s="44">
        <f>SUM(I4:I14)</f>
        <v>0</v>
      </c>
      <c r="J3" s="44">
        <f t="shared" ref="J3:T3" si="0">SUM(J4:J14)</f>
        <v>0</v>
      </c>
      <c r="K3" s="44">
        <f t="shared" si="0"/>
        <v>1</v>
      </c>
      <c r="L3" s="44">
        <f t="shared" si="0"/>
        <v>3</v>
      </c>
      <c r="M3" s="44">
        <f t="shared" si="0"/>
        <v>10</v>
      </c>
      <c r="N3" s="44">
        <f t="shared" si="0"/>
        <v>3</v>
      </c>
      <c r="O3" s="44">
        <f t="shared" si="0"/>
        <v>6</v>
      </c>
      <c r="P3" s="44">
        <f t="shared" si="0"/>
        <v>0</v>
      </c>
      <c r="Q3" s="44">
        <f t="shared" si="0"/>
        <v>3</v>
      </c>
      <c r="R3" s="44">
        <f t="shared" si="0"/>
        <v>0</v>
      </c>
      <c r="S3" s="44">
        <f t="shared" si="0"/>
        <v>6</v>
      </c>
      <c r="T3" s="44">
        <f t="shared" si="0"/>
        <v>0</v>
      </c>
    </row>
    <row r="4" spans="1:20" ht="82.7" customHeight="1" thickTop="1" x14ac:dyDescent="0.3">
      <c r="A4" s="273" t="s">
        <v>15</v>
      </c>
      <c r="B4" s="274"/>
      <c r="C4" s="57">
        <f>'학교별04.03'!C22</f>
        <v>95</v>
      </c>
      <c r="D4" s="57">
        <f>'학교별04.03'!D22</f>
        <v>0</v>
      </c>
      <c r="E4" s="58">
        <f>'학교별04.03'!E22</f>
        <v>5</v>
      </c>
      <c r="F4" s="59">
        <f>'학교별04.03'!F22</f>
        <v>50</v>
      </c>
      <c r="G4" s="157"/>
      <c r="H4" s="49" t="s">
        <v>15</v>
      </c>
      <c r="I4" s="47">
        <f>'학교별04.03'!H22</f>
        <v>0</v>
      </c>
      <c r="J4" s="45">
        <f>'학교별04.03'!I22</f>
        <v>0</v>
      </c>
      <c r="K4" s="47">
        <f>'학교별04.03'!J22</f>
        <v>1</v>
      </c>
      <c r="L4" s="45">
        <f>'학교별04.03'!K22</f>
        <v>0</v>
      </c>
      <c r="M4" s="47">
        <f>'학교별04.03'!L22</f>
        <v>2</v>
      </c>
      <c r="N4" s="45">
        <f>'학교별04.03'!M22</f>
        <v>2</v>
      </c>
      <c r="O4" s="47">
        <f>'학교별04.03'!N22</f>
        <v>2</v>
      </c>
      <c r="P4" s="45">
        <f>'학교별04.03'!O22</f>
        <v>0</v>
      </c>
      <c r="Q4" s="47">
        <f>'학교별04.03'!P22</f>
        <v>1</v>
      </c>
      <c r="R4" s="45">
        <f>'학교별04.03'!Q22</f>
        <v>0</v>
      </c>
      <c r="S4" s="47">
        <f>'학교별04.03'!R22</f>
        <v>2</v>
      </c>
      <c r="T4" s="87">
        <f>'학교별04.03'!S22</f>
        <v>0</v>
      </c>
    </row>
    <row r="5" spans="1:20" ht="82.7" customHeight="1" thickBot="1" x14ac:dyDescent="0.35">
      <c r="A5" s="275" t="s">
        <v>193</v>
      </c>
      <c r="B5" s="276"/>
      <c r="C5" s="79">
        <v>-50</v>
      </c>
      <c r="D5" s="60"/>
      <c r="E5" s="62"/>
      <c r="F5" s="61"/>
      <c r="G5" s="157"/>
      <c r="H5" s="40"/>
      <c r="I5" s="83"/>
      <c r="J5" s="81"/>
      <c r="K5" s="95"/>
      <c r="L5" s="81"/>
      <c r="M5" s="84"/>
      <c r="N5" s="81"/>
      <c r="O5" s="83"/>
      <c r="P5" s="42"/>
      <c r="Q5" s="41"/>
      <c r="R5" s="42"/>
      <c r="S5" s="83"/>
      <c r="T5" s="88"/>
    </row>
    <row r="6" spans="1:20" ht="18" thickTop="1" thickBot="1" x14ac:dyDescent="0.35">
      <c r="H6" s="33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138"/>
    </row>
    <row r="7" spans="1:20" ht="82.7" customHeight="1" thickTop="1" x14ac:dyDescent="0.3">
      <c r="A7" s="277" t="s">
        <v>26</v>
      </c>
      <c r="B7" s="278"/>
      <c r="C7" s="47">
        <f>'학교별04.03'!C43</f>
        <v>9</v>
      </c>
      <c r="D7" s="47">
        <f>'학교별04.03'!D43</f>
        <v>0</v>
      </c>
      <c r="E7" s="45">
        <f>'학교별04.03'!E43</f>
        <v>4</v>
      </c>
      <c r="F7" s="45">
        <f>'학교별04.03'!F43</f>
        <v>0</v>
      </c>
      <c r="G7" s="37"/>
      <c r="H7" s="55" t="s">
        <v>17</v>
      </c>
      <c r="I7" s="48">
        <f>'학교별04.03'!H43</f>
        <v>0</v>
      </c>
      <c r="J7" s="46">
        <f>'학교별04.03'!I43</f>
        <v>0</v>
      </c>
      <c r="K7" s="48">
        <f>'학교별04.03'!J43</f>
        <v>0</v>
      </c>
      <c r="L7" s="46">
        <f>'학교별04.03'!K43</f>
        <v>0</v>
      </c>
      <c r="M7" s="48">
        <f>'학교별04.03'!L43</f>
        <v>0</v>
      </c>
      <c r="N7" s="46">
        <f>'학교별04.03'!M43</f>
        <v>0</v>
      </c>
      <c r="O7" s="48">
        <f>'학교별04.03'!N43</f>
        <v>2</v>
      </c>
      <c r="P7" s="46">
        <f>'학교별04.03'!O43</f>
        <v>0</v>
      </c>
      <c r="Q7" s="48">
        <f>'학교별04.03'!P43</f>
        <v>0</v>
      </c>
      <c r="R7" s="46">
        <f>'학교별04.03'!Q43</f>
        <v>0</v>
      </c>
      <c r="S7" s="48">
        <f>'학교별04.03'!R43</f>
        <v>0</v>
      </c>
      <c r="T7" s="90">
        <f>'학교별04.03'!S43</f>
        <v>0</v>
      </c>
    </row>
    <row r="8" spans="1:20" ht="82.7" customHeight="1" thickBot="1" x14ac:dyDescent="0.35">
      <c r="A8" s="261"/>
      <c r="B8" s="262"/>
      <c r="C8" s="75"/>
      <c r="D8" s="96"/>
      <c r="E8" s="78"/>
      <c r="F8" s="38"/>
      <c r="G8" s="39"/>
      <c r="H8" s="157"/>
      <c r="I8" s="41"/>
      <c r="J8" s="42"/>
      <c r="K8" s="41"/>
      <c r="L8" s="42"/>
      <c r="M8" s="41"/>
      <c r="N8" s="42"/>
      <c r="O8" s="41"/>
      <c r="P8" s="42"/>
      <c r="Q8" s="41"/>
      <c r="R8" s="98"/>
      <c r="S8" s="41"/>
      <c r="T8" s="88"/>
    </row>
    <row r="9" spans="1:20" ht="18" thickTop="1" thickBot="1" x14ac:dyDescent="0.35">
      <c r="H9" s="33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138"/>
    </row>
    <row r="10" spans="1:20" ht="82.7" customHeight="1" thickTop="1" x14ac:dyDescent="0.3">
      <c r="A10" s="263" t="s">
        <v>16</v>
      </c>
      <c r="B10" s="264"/>
      <c r="C10" s="65">
        <f>'학교별04.03'!C52</f>
        <v>0</v>
      </c>
      <c r="D10" s="65">
        <f>'학교별04.03'!D52</f>
        <v>0</v>
      </c>
      <c r="E10" s="66">
        <f>'학교별04.03'!E52</f>
        <v>0</v>
      </c>
      <c r="F10" s="67">
        <f>'학교별04.03'!F52</f>
        <v>0</v>
      </c>
      <c r="G10" s="157"/>
      <c r="H10" s="136" t="s">
        <v>25</v>
      </c>
      <c r="I10" s="127">
        <f>'학교별04.03'!H52</f>
        <v>0</v>
      </c>
      <c r="J10" s="128">
        <f>'학교별04.03'!I52</f>
        <v>0</v>
      </c>
      <c r="K10" s="127">
        <f>'학교별04.03'!J52</f>
        <v>0</v>
      </c>
      <c r="L10" s="128">
        <f>'학교별04.03'!K52</f>
        <v>1</v>
      </c>
      <c r="M10" s="127">
        <f>'학교별04.03'!L52</f>
        <v>3</v>
      </c>
      <c r="N10" s="128">
        <f>'학교별04.03'!M52</f>
        <v>1</v>
      </c>
      <c r="O10" s="127">
        <f>'학교별04.03'!N52</f>
        <v>0</v>
      </c>
      <c r="P10" s="128">
        <f>'학교별04.03'!O52</f>
        <v>0</v>
      </c>
      <c r="Q10" s="127">
        <f>'학교별04.03'!P52</f>
        <v>0</v>
      </c>
      <c r="R10" s="128">
        <f>'학교별04.03'!Q52</f>
        <v>0</v>
      </c>
      <c r="S10" s="127">
        <f>'학교별04.03'!R52</f>
        <v>1</v>
      </c>
      <c r="T10" s="137">
        <f>'학교별04.03'!S52</f>
        <v>0</v>
      </c>
    </row>
    <row r="11" spans="1:20" ht="82.7" customHeight="1" thickBot="1" x14ac:dyDescent="0.35">
      <c r="A11" s="265"/>
      <c r="B11" s="266"/>
      <c r="C11" s="68"/>
      <c r="D11" s="69"/>
      <c r="E11" s="144"/>
      <c r="F11" s="71"/>
      <c r="H11" s="33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138"/>
    </row>
    <row r="12" spans="1:20" ht="18" thickTop="1" thickBot="1" x14ac:dyDescent="0.35">
      <c r="H12" s="33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138"/>
    </row>
    <row r="13" spans="1:20" ht="82.7" customHeight="1" thickTop="1" x14ac:dyDescent="0.3">
      <c r="A13" s="282" t="s">
        <v>175</v>
      </c>
      <c r="B13" s="283"/>
      <c r="C13" s="129">
        <f>'학교별04.03'!C62</f>
        <v>0</v>
      </c>
      <c r="D13" s="129">
        <f>'학교별04.03'!D62</f>
        <v>0</v>
      </c>
      <c r="E13" s="130">
        <f>'학교별04.03'!E62</f>
        <v>0</v>
      </c>
      <c r="F13" s="131">
        <f>'학교별04.03'!F62</f>
        <v>0</v>
      </c>
      <c r="G13" s="157"/>
      <c r="H13" s="136" t="s">
        <v>174</v>
      </c>
      <c r="I13" s="127">
        <f>'학교별04.03'!H62</f>
        <v>0</v>
      </c>
      <c r="J13" s="128">
        <f>'학교별04.03'!I62</f>
        <v>0</v>
      </c>
      <c r="K13" s="127">
        <f>'학교별04.03'!J62</f>
        <v>0</v>
      </c>
      <c r="L13" s="128">
        <f>'학교별04.03'!K62</f>
        <v>2</v>
      </c>
      <c r="M13" s="127">
        <f>'학교별04.03'!L62</f>
        <v>5</v>
      </c>
      <c r="N13" s="128">
        <f>'학교별04.03'!M62</f>
        <v>0</v>
      </c>
      <c r="O13" s="127">
        <f>'학교별04.03'!N62</f>
        <v>2</v>
      </c>
      <c r="P13" s="128">
        <f>'학교별04.03'!O62</f>
        <v>0</v>
      </c>
      <c r="Q13" s="127">
        <f>'학교별04.03'!P62</f>
        <v>2</v>
      </c>
      <c r="R13" s="128">
        <f>'학교별04.03'!Q62</f>
        <v>0</v>
      </c>
      <c r="S13" s="127">
        <f>'학교별04.03'!R62</f>
        <v>3</v>
      </c>
      <c r="T13" s="137">
        <f>'학교별04.03'!S62</f>
        <v>0</v>
      </c>
    </row>
    <row r="14" spans="1:20" ht="82.7" customHeight="1" thickBot="1" x14ac:dyDescent="0.35">
      <c r="A14" s="280"/>
      <c r="B14" s="281"/>
      <c r="C14" s="132"/>
      <c r="D14" s="133"/>
      <c r="E14" s="134"/>
      <c r="F14" s="135"/>
      <c r="H14" s="64"/>
      <c r="I14" s="14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152"/>
    </row>
    <row r="15" spans="1:20" ht="17.25" thickTop="1" x14ac:dyDescent="0.3"/>
    <row r="17" spans="8:8" x14ac:dyDescent="0.3">
      <c r="H17" t="s">
        <v>83</v>
      </c>
    </row>
  </sheetData>
  <mergeCells count="13">
    <mergeCell ref="A14:B14"/>
    <mergeCell ref="A5:B5"/>
    <mergeCell ref="A7:B7"/>
    <mergeCell ref="A8:B8"/>
    <mergeCell ref="A10:B10"/>
    <mergeCell ref="A11:B11"/>
    <mergeCell ref="A13:B13"/>
    <mergeCell ref="A1:B2"/>
    <mergeCell ref="C1:D1"/>
    <mergeCell ref="E1:F1"/>
    <mergeCell ref="H1:H2"/>
    <mergeCell ref="A3:B3"/>
    <mergeCell ref="A4:B4"/>
  </mergeCells>
  <phoneticPr fontId="43" type="noConversion"/>
  <conditionalFormatting sqref="A4:A5">
    <cfRule type="duplicateValues" dxfId="109" priority="2"/>
  </conditionalFormatting>
  <conditionalFormatting sqref="A7:A8">
    <cfRule type="duplicateValues" dxfId="108" priority="3"/>
  </conditionalFormatting>
  <conditionalFormatting sqref="A13">
    <cfRule type="duplicateValues" dxfId="107" priority="1"/>
  </conditionalFormatting>
  <conditionalFormatting sqref="A10">
    <cfRule type="duplicateValues" dxfId="106" priority="4"/>
  </conditionalFormatting>
  <printOptions horizontalCentered="1" verticalCentered="1"/>
  <pageMargins left="0" right="0" top="7.874015748031496E-2" bottom="7.874015748031496E-2" header="0" footer="0"/>
  <pageSetup paperSize="9" scale="56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79"/>
  <sheetViews>
    <sheetView zoomScale="70" zoomScaleNormal="70" workbookViewId="0">
      <pane ySplit="3" topLeftCell="A10" activePane="bottomLeft" state="frozen"/>
      <selection activeCell="K58" sqref="K58"/>
      <selection pane="bottomLeft" activeCell="K58" sqref="K58"/>
    </sheetView>
  </sheetViews>
  <sheetFormatPr defaultRowHeight="16.5" x14ac:dyDescent="0.3"/>
  <cols>
    <col min="1" max="1" width="9" customWidth="1"/>
    <col min="2" max="2" width="33.75" customWidth="1"/>
    <col min="3" max="3" width="10.75" customWidth="1"/>
    <col min="4" max="4" width="10" customWidth="1"/>
    <col min="5" max="5" width="10.5" customWidth="1"/>
    <col min="6" max="6" width="10" customWidth="1"/>
    <col min="7" max="7" width="4.125" customWidth="1"/>
    <col min="8" max="19" width="10.875" customWidth="1"/>
    <col min="20" max="20" width="5.5" customWidth="1"/>
    <col min="21" max="21" width="10.875" bestFit="1" customWidth="1"/>
  </cols>
  <sheetData>
    <row r="1" spans="1:23" ht="113.25" customHeight="1" x14ac:dyDescent="0.3">
      <c r="A1" s="222" t="s">
        <v>194</v>
      </c>
      <c r="B1" s="223"/>
      <c r="C1" s="226" t="s">
        <v>0</v>
      </c>
      <c r="D1" s="227"/>
      <c r="E1" s="228" t="s">
        <v>19</v>
      </c>
      <c r="F1" s="228"/>
      <c r="G1" s="8"/>
      <c r="H1" s="72" t="s">
        <v>20</v>
      </c>
      <c r="I1" s="158" t="s">
        <v>21</v>
      </c>
      <c r="J1" s="5" t="s">
        <v>7</v>
      </c>
      <c r="K1" s="158" t="s">
        <v>4</v>
      </c>
      <c r="L1" s="5" t="s">
        <v>6</v>
      </c>
      <c r="M1" s="158" t="s">
        <v>5</v>
      </c>
      <c r="N1" s="5" t="s">
        <v>9</v>
      </c>
      <c r="O1" s="158" t="s">
        <v>119</v>
      </c>
      <c r="P1" s="5" t="s">
        <v>8</v>
      </c>
      <c r="Q1" s="158" t="s">
        <v>12</v>
      </c>
      <c r="R1" s="5" t="s">
        <v>95</v>
      </c>
      <c r="S1" s="158" t="s">
        <v>11</v>
      </c>
    </row>
    <row r="2" spans="1:23" ht="43.5" customHeight="1" x14ac:dyDescent="0.3">
      <c r="A2" s="224"/>
      <c r="B2" s="225"/>
      <c r="C2" s="73" t="s">
        <v>2</v>
      </c>
      <c r="D2" s="21" t="s">
        <v>1</v>
      </c>
      <c r="E2" s="1" t="s">
        <v>2</v>
      </c>
      <c r="F2" s="1" t="s">
        <v>1</v>
      </c>
      <c r="G2" s="9"/>
      <c r="H2" s="6" t="s">
        <v>3</v>
      </c>
      <c r="I2" s="1" t="s">
        <v>1</v>
      </c>
      <c r="J2" s="6" t="s">
        <v>3</v>
      </c>
      <c r="K2" s="1" t="s">
        <v>1</v>
      </c>
      <c r="L2" s="6" t="s">
        <v>3</v>
      </c>
      <c r="M2" s="1" t="s">
        <v>1</v>
      </c>
      <c r="N2" s="6" t="s">
        <v>3</v>
      </c>
      <c r="O2" s="1" t="s">
        <v>1</v>
      </c>
      <c r="P2" s="6" t="s">
        <v>3</v>
      </c>
      <c r="Q2" s="1" t="s">
        <v>1</v>
      </c>
      <c r="R2" s="6" t="s">
        <v>3</v>
      </c>
      <c r="S2" s="1" t="s">
        <v>1</v>
      </c>
    </row>
    <row r="3" spans="1:23" ht="26.25" x14ac:dyDescent="0.3">
      <c r="A3" s="97" t="s">
        <v>14</v>
      </c>
      <c r="B3" s="12" t="s">
        <v>10</v>
      </c>
      <c r="C3" s="29">
        <f>C22+C43+C52+C62</f>
        <v>89</v>
      </c>
      <c r="D3" s="29">
        <f>D22+D43+D52+D62</f>
        <v>0</v>
      </c>
      <c r="E3" s="29">
        <f>E22+E43+E52+E62</f>
        <v>12</v>
      </c>
      <c r="F3" s="2">
        <f>F22+F43+F52+F62</f>
        <v>34</v>
      </c>
      <c r="G3" s="159"/>
      <c r="H3" s="2">
        <f t="shared" ref="H3:S3" si="0">H22+H43+H52+H62</f>
        <v>3</v>
      </c>
      <c r="I3" s="2">
        <f t="shared" si="0"/>
        <v>0</v>
      </c>
      <c r="J3" s="2">
        <f t="shared" si="0"/>
        <v>3</v>
      </c>
      <c r="K3" s="2">
        <f t="shared" si="0"/>
        <v>8</v>
      </c>
      <c r="L3" s="2">
        <f t="shared" si="0"/>
        <v>12</v>
      </c>
      <c r="M3" s="2">
        <f t="shared" si="0"/>
        <v>3</v>
      </c>
      <c r="N3" s="2">
        <f t="shared" si="0"/>
        <v>0</v>
      </c>
      <c r="O3" s="2">
        <f t="shared" si="0"/>
        <v>1</v>
      </c>
      <c r="P3" s="2">
        <f t="shared" si="0"/>
        <v>3</v>
      </c>
      <c r="Q3" s="2">
        <f t="shared" si="0"/>
        <v>0</v>
      </c>
      <c r="R3" s="2">
        <f t="shared" si="0"/>
        <v>6</v>
      </c>
      <c r="S3" s="2">
        <f t="shared" si="0"/>
        <v>0</v>
      </c>
      <c r="T3" s="4">
        <f>D3*10</f>
        <v>0</v>
      </c>
      <c r="U3">
        <f>F3*10+E3</f>
        <v>352</v>
      </c>
      <c r="V3" s="4">
        <f>SUM(H3:Q3)</f>
        <v>33</v>
      </c>
      <c r="W3" s="11">
        <f>SUM(T3:V3)</f>
        <v>385</v>
      </c>
    </row>
    <row r="4" spans="1:23" ht="24" customHeight="1" x14ac:dyDescent="0.3">
      <c r="A4" s="229" t="s">
        <v>34</v>
      </c>
      <c r="B4" s="3" t="s">
        <v>160</v>
      </c>
      <c r="C4" s="7"/>
      <c r="D4" s="7"/>
      <c r="E4" s="50"/>
      <c r="F4" s="50"/>
      <c r="G4" s="159"/>
      <c r="H4" s="7"/>
      <c r="I4" s="50"/>
      <c r="J4" s="10"/>
      <c r="K4" s="50"/>
      <c r="L4" s="7"/>
      <c r="M4" s="50"/>
      <c r="N4" s="10"/>
      <c r="O4" s="50"/>
      <c r="P4" s="7"/>
      <c r="Q4" s="50"/>
      <c r="R4" s="7"/>
      <c r="S4" s="50"/>
    </row>
    <row r="5" spans="1:23" ht="24" customHeight="1" x14ac:dyDescent="0.3">
      <c r="A5" s="230"/>
      <c r="B5" s="3" t="s">
        <v>150</v>
      </c>
      <c r="C5" s="7">
        <v>2</v>
      </c>
      <c r="D5" s="7"/>
      <c r="E5" s="50"/>
      <c r="F5" s="50">
        <v>5</v>
      </c>
      <c r="G5" s="159"/>
      <c r="H5" s="7"/>
      <c r="I5" s="50"/>
      <c r="J5" s="10"/>
      <c r="K5" s="50">
        <v>1</v>
      </c>
      <c r="L5" s="7">
        <v>1</v>
      </c>
      <c r="M5" s="50"/>
      <c r="N5" s="10"/>
      <c r="O5" s="50"/>
      <c r="P5" s="7"/>
      <c r="Q5" s="50"/>
      <c r="R5" s="7"/>
      <c r="S5" s="50"/>
    </row>
    <row r="6" spans="1:23" ht="24" customHeight="1" x14ac:dyDescent="0.3">
      <c r="A6" s="230"/>
      <c r="B6" s="3" t="s">
        <v>149</v>
      </c>
      <c r="C6" s="7">
        <v>3</v>
      </c>
      <c r="D6" s="7"/>
      <c r="E6" s="50"/>
      <c r="F6" s="50">
        <v>8</v>
      </c>
      <c r="G6" s="159"/>
      <c r="H6" s="7"/>
      <c r="I6" s="50"/>
      <c r="J6" s="10"/>
      <c r="K6" s="50"/>
      <c r="L6" s="7"/>
      <c r="M6" s="50"/>
      <c r="N6" s="10"/>
      <c r="O6" s="50"/>
      <c r="P6" s="7"/>
      <c r="Q6" s="50"/>
      <c r="R6" s="7"/>
      <c r="S6" s="50"/>
    </row>
    <row r="7" spans="1:23" ht="24" customHeight="1" x14ac:dyDescent="0.3">
      <c r="A7" s="230"/>
      <c r="B7" s="3" t="s">
        <v>156</v>
      </c>
      <c r="C7" s="7"/>
      <c r="D7" s="7"/>
      <c r="E7" s="50"/>
      <c r="F7" s="50"/>
      <c r="G7" s="159"/>
      <c r="H7" s="7"/>
      <c r="I7" s="50"/>
      <c r="J7" s="10"/>
      <c r="K7" s="50"/>
      <c r="L7" s="7"/>
      <c r="M7" s="50"/>
      <c r="N7" s="10"/>
      <c r="O7" s="50"/>
      <c r="P7" s="7"/>
      <c r="Q7" s="50"/>
      <c r="R7" s="7"/>
      <c r="S7" s="50"/>
    </row>
    <row r="8" spans="1:23" ht="24" customHeight="1" x14ac:dyDescent="0.3">
      <c r="A8" s="230"/>
      <c r="B8" s="3" t="s">
        <v>148</v>
      </c>
      <c r="C8" s="77"/>
      <c r="D8" s="7"/>
      <c r="E8" s="50"/>
      <c r="F8" s="50"/>
      <c r="G8" s="63"/>
      <c r="H8" s="7"/>
      <c r="I8" s="50"/>
      <c r="J8" s="10"/>
      <c r="K8" s="50"/>
      <c r="L8" s="7"/>
      <c r="M8" s="50"/>
      <c r="N8" s="10"/>
      <c r="O8" s="50"/>
      <c r="P8" s="7"/>
      <c r="Q8" s="50"/>
      <c r="R8" s="7"/>
      <c r="S8" s="50"/>
    </row>
    <row r="9" spans="1:23" ht="24" customHeight="1" x14ac:dyDescent="0.3">
      <c r="A9" s="230"/>
      <c r="B9" s="3" t="s">
        <v>153</v>
      </c>
      <c r="C9" s="7"/>
      <c r="D9" s="7"/>
      <c r="E9" s="50"/>
      <c r="F9" s="50">
        <v>1</v>
      </c>
      <c r="G9" s="159"/>
      <c r="H9" s="7"/>
      <c r="I9" s="50"/>
      <c r="J9" s="10"/>
      <c r="K9" s="50"/>
      <c r="L9" s="7"/>
      <c r="M9" s="50">
        <v>1</v>
      </c>
      <c r="N9" s="10"/>
      <c r="O9" s="50"/>
      <c r="P9" s="7"/>
      <c r="Q9" s="50"/>
      <c r="R9" s="7"/>
      <c r="S9" s="50"/>
    </row>
    <row r="10" spans="1:23" ht="24" customHeight="1" x14ac:dyDescent="0.3">
      <c r="A10" s="230"/>
      <c r="B10" s="3" t="s">
        <v>158</v>
      </c>
      <c r="C10" s="7"/>
      <c r="D10" s="7"/>
      <c r="E10" s="50"/>
      <c r="F10" s="50"/>
      <c r="G10" s="159"/>
      <c r="H10" s="7"/>
      <c r="I10" s="50"/>
      <c r="J10" s="10"/>
      <c r="K10" s="50"/>
      <c r="L10" s="7"/>
      <c r="M10" s="50"/>
      <c r="N10" s="10"/>
      <c r="O10" s="50"/>
      <c r="P10" s="7"/>
      <c r="Q10" s="50"/>
      <c r="R10" s="7"/>
      <c r="S10" s="50"/>
    </row>
    <row r="11" spans="1:23" ht="24" customHeight="1" x14ac:dyDescent="0.3">
      <c r="A11" s="230"/>
      <c r="B11" s="3" t="s">
        <v>152</v>
      </c>
      <c r="C11" s="7"/>
      <c r="D11" s="7"/>
      <c r="E11" s="50"/>
      <c r="F11" s="50"/>
      <c r="G11" s="159"/>
      <c r="H11" s="7"/>
      <c r="I11" s="50"/>
      <c r="J11" s="10"/>
      <c r="K11" s="50"/>
      <c r="L11" s="7"/>
      <c r="M11" s="50"/>
      <c r="N11" s="10"/>
      <c r="O11" s="50">
        <v>1</v>
      </c>
      <c r="P11" s="7"/>
      <c r="Q11" s="50"/>
      <c r="R11" s="7"/>
      <c r="S11" s="50"/>
    </row>
    <row r="12" spans="1:23" ht="24" customHeight="1" x14ac:dyDescent="0.3">
      <c r="A12" s="230"/>
      <c r="B12" s="3" t="s">
        <v>161</v>
      </c>
      <c r="C12" s="7"/>
      <c r="D12" s="77"/>
      <c r="E12" s="76"/>
      <c r="F12" s="50"/>
      <c r="G12" s="80"/>
      <c r="H12" s="7"/>
      <c r="I12" s="76"/>
      <c r="J12" s="7"/>
      <c r="K12" s="50"/>
      <c r="L12" s="7"/>
      <c r="M12" s="50"/>
      <c r="N12" s="10"/>
      <c r="O12" s="50"/>
      <c r="P12" s="7"/>
      <c r="Q12" s="76"/>
      <c r="R12" s="10"/>
      <c r="S12" s="76"/>
    </row>
    <row r="13" spans="1:23" ht="24" customHeight="1" x14ac:dyDescent="0.3">
      <c r="A13" s="230"/>
      <c r="B13" s="3" t="s">
        <v>154</v>
      </c>
      <c r="C13" s="7">
        <v>2</v>
      </c>
      <c r="D13" s="7"/>
      <c r="E13" s="50"/>
      <c r="F13" s="50">
        <v>8</v>
      </c>
      <c r="G13" s="159"/>
      <c r="H13" s="7"/>
      <c r="I13" s="50"/>
      <c r="J13" s="10"/>
      <c r="K13" s="50"/>
      <c r="L13" s="7"/>
      <c r="M13" s="50"/>
      <c r="N13" s="10"/>
      <c r="O13" s="50"/>
      <c r="P13" s="7"/>
      <c r="Q13" s="50"/>
      <c r="R13" s="7"/>
      <c r="S13" s="50"/>
    </row>
    <row r="14" spans="1:23" ht="24" customHeight="1" x14ac:dyDescent="0.3">
      <c r="A14" s="230"/>
      <c r="B14" s="100" t="s">
        <v>164</v>
      </c>
      <c r="C14" s="7">
        <v>50</v>
      </c>
      <c r="D14" s="7"/>
      <c r="E14" s="50">
        <v>5</v>
      </c>
      <c r="F14" s="50"/>
      <c r="G14" s="159"/>
      <c r="H14" s="7"/>
      <c r="I14" s="50"/>
      <c r="J14" s="10"/>
      <c r="K14" s="50"/>
      <c r="L14" s="7"/>
      <c r="M14" s="50"/>
      <c r="N14" s="10"/>
      <c r="O14" s="50"/>
      <c r="P14" s="7"/>
      <c r="Q14" s="50"/>
      <c r="R14" s="7"/>
      <c r="S14" s="50"/>
    </row>
    <row r="15" spans="1:23" ht="24" customHeight="1" x14ac:dyDescent="0.3">
      <c r="A15" s="230"/>
      <c r="B15" s="3" t="s">
        <v>159</v>
      </c>
      <c r="C15" s="7"/>
      <c r="D15" s="7"/>
      <c r="E15" s="50"/>
      <c r="F15" s="50"/>
      <c r="G15" s="159"/>
      <c r="H15" s="7"/>
      <c r="I15" s="50"/>
      <c r="J15" s="10"/>
      <c r="K15" s="50"/>
      <c r="L15" s="7">
        <v>1</v>
      </c>
      <c r="M15" s="50"/>
      <c r="N15" s="10"/>
      <c r="O15" s="50"/>
      <c r="P15" s="7"/>
      <c r="Q15" s="50"/>
      <c r="R15" s="7"/>
      <c r="S15" s="50"/>
    </row>
    <row r="16" spans="1:23" ht="24" customHeight="1" x14ac:dyDescent="0.3">
      <c r="A16" s="230"/>
      <c r="B16" s="3" t="s">
        <v>147</v>
      </c>
      <c r="C16" s="7"/>
      <c r="D16" s="7"/>
      <c r="E16" s="50"/>
      <c r="F16" s="50"/>
      <c r="G16" s="159"/>
      <c r="H16" s="7"/>
      <c r="I16" s="50"/>
      <c r="J16" s="10"/>
      <c r="K16" s="50"/>
      <c r="L16" s="7">
        <v>1</v>
      </c>
      <c r="M16" s="50"/>
      <c r="N16" s="10"/>
      <c r="O16" s="50"/>
      <c r="P16" s="7"/>
      <c r="Q16" s="50"/>
      <c r="R16" s="7"/>
      <c r="S16" s="50"/>
    </row>
    <row r="17" spans="1:25" ht="24" customHeight="1" x14ac:dyDescent="0.3">
      <c r="A17" s="230"/>
      <c r="B17" s="3" t="s">
        <v>163</v>
      </c>
      <c r="C17" s="7"/>
      <c r="D17" s="7"/>
      <c r="E17" s="50"/>
      <c r="F17" s="50"/>
      <c r="G17" s="159"/>
      <c r="H17" s="7"/>
      <c r="I17" s="50"/>
      <c r="J17" s="10"/>
      <c r="K17" s="50"/>
      <c r="L17" s="7"/>
      <c r="M17" s="50"/>
      <c r="N17" s="10"/>
      <c r="O17" s="50"/>
      <c r="P17" s="7"/>
      <c r="Q17" s="50"/>
      <c r="R17" s="7"/>
      <c r="S17" s="50"/>
    </row>
    <row r="18" spans="1:25" ht="24" customHeight="1" x14ac:dyDescent="0.3">
      <c r="A18" s="230"/>
      <c r="B18" s="3" t="s">
        <v>162</v>
      </c>
      <c r="C18" s="7">
        <v>11</v>
      </c>
      <c r="D18" s="7"/>
      <c r="E18" s="50">
        <v>3</v>
      </c>
      <c r="F18" s="50"/>
      <c r="G18" s="159"/>
      <c r="H18" s="7"/>
      <c r="I18" s="50"/>
      <c r="J18" s="10"/>
      <c r="K18" s="50"/>
      <c r="L18" s="7"/>
      <c r="M18" s="50"/>
      <c r="N18" s="10"/>
      <c r="O18" s="50"/>
      <c r="P18" s="7"/>
      <c r="Q18" s="50"/>
      <c r="R18" s="7"/>
      <c r="S18" s="50"/>
    </row>
    <row r="19" spans="1:25" ht="24" customHeight="1" x14ac:dyDescent="0.3">
      <c r="A19" s="230"/>
      <c r="B19" s="3" t="s">
        <v>155</v>
      </c>
      <c r="C19" s="7"/>
      <c r="D19" s="7"/>
      <c r="E19" s="50"/>
      <c r="F19" s="50">
        <v>5</v>
      </c>
      <c r="G19" s="159"/>
      <c r="H19" s="7"/>
      <c r="I19" s="50"/>
      <c r="J19" s="10"/>
      <c r="K19" s="50"/>
      <c r="L19" s="7"/>
      <c r="M19" s="50"/>
      <c r="N19" s="10"/>
      <c r="O19" s="50"/>
      <c r="P19" s="7"/>
      <c r="Q19" s="50"/>
      <c r="R19" s="7"/>
      <c r="S19" s="50"/>
    </row>
    <row r="20" spans="1:25" ht="24" customHeight="1" x14ac:dyDescent="0.3">
      <c r="A20" s="230"/>
      <c r="B20" s="3" t="s">
        <v>157</v>
      </c>
      <c r="C20" s="7"/>
      <c r="D20" s="7"/>
      <c r="E20" s="50"/>
      <c r="F20" s="50">
        <v>2</v>
      </c>
      <c r="G20" s="159"/>
      <c r="H20" s="7"/>
      <c r="I20" s="50"/>
      <c r="J20" s="10"/>
      <c r="K20" s="50"/>
      <c r="L20" s="7"/>
      <c r="M20" s="50"/>
      <c r="N20" s="10"/>
      <c r="O20" s="50"/>
      <c r="P20" s="7"/>
      <c r="Q20" s="50"/>
      <c r="R20" s="7"/>
      <c r="S20" s="50"/>
    </row>
    <row r="21" spans="1:25" ht="24" customHeight="1" x14ac:dyDescent="0.3">
      <c r="A21" s="230"/>
      <c r="B21" s="3" t="s">
        <v>151</v>
      </c>
      <c r="C21" s="7">
        <v>3</v>
      </c>
      <c r="D21" s="7"/>
      <c r="E21" s="50"/>
      <c r="F21" s="50">
        <v>5</v>
      </c>
      <c r="G21" s="159"/>
      <c r="H21" s="7"/>
      <c r="I21" s="50"/>
      <c r="J21" s="10"/>
      <c r="K21" s="50"/>
      <c r="L21" s="7"/>
      <c r="M21" s="50"/>
      <c r="N21" s="10"/>
      <c r="O21" s="50"/>
      <c r="P21" s="7"/>
      <c r="Q21" s="50"/>
      <c r="R21" s="7">
        <v>1</v>
      </c>
      <c r="S21" s="50"/>
    </row>
    <row r="22" spans="1:25" ht="27" thickBot="1" x14ac:dyDescent="0.35">
      <c r="A22" s="231"/>
      <c r="B22" s="31"/>
      <c r="C22" s="31">
        <f>SUM(C4:C21)</f>
        <v>71</v>
      </c>
      <c r="D22" s="31">
        <f>SUM(D4:D21)</f>
        <v>0</v>
      </c>
      <c r="E22" s="31">
        <f>SUM(E4:E21)</f>
        <v>8</v>
      </c>
      <c r="F22" s="31">
        <f>SUM(F4:F21)</f>
        <v>34</v>
      </c>
      <c r="G22" s="159"/>
      <c r="H22" s="2">
        <f t="shared" ref="H22:S22" si="1">SUM(H4:H21)</f>
        <v>0</v>
      </c>
      <c r="I22" s="2">
        <f t="shared" si="1"/>
        <v>0</v>
      </c>
      <c r="J22" s="2">
        <f t="shared" si="1"/>
        <v>0</v>
      </c>
      <c r="K22" s="2">
        <f t="shared" si="1"/>
        <v>1</v>
      </c>
      <c r="L22" s="2">
        <f t="shared" si="1"/>
        <v>3</v>
      </c>
      <c r="M22" s="2">
        <f t="shared" si="1"/>
        <v>1</v>
      </c>
      <c r="N22" s="2">
        <f t="shared" si="1"/>
        <v>0</v>
      </c>
      <c r="O22" s="2">
        <f t="shared" si="1"/>
        <v>1</v>
      </c>
      <c r="P22" s="2">
        <f t="shared" si="1"/>
        <v>0</v>
      </c>
      <c r="Q22" s="2">
        <f t="shared" si="1"/>
        <v>0</v>
      </c>
      <c r="R22" s="2">
        <f t="shared" si="1"/>
        <v>1</v>
      </c>
      <c r="S22" s="2">
        <f t="shared" si="1"/>
        <v>0</v>
      </c>
      <c r="U22" s="35"/>
      <c r="V22" s="18"/>
      <c r="W22" s="18"/>
    </row>
    <row r="23" spans="1:25" ht="24" customHeight="1" thickTop="1" x14ac:dyDescent="0.3">
      <c r="A23" s="286" t="s">
        <v>27</v>
      </c>
      <c r="B23" s="23" t="s">
        <v>187</v>
      </c>
      <c r="C23" s="28">
        <v>2</v>
      </c>
      <c r="D23" s="28"/>
      <c r="E23" s="15"/>
      <c r="F23" s="16"/>
      <c r="G23" s="25"/>
      <c r="H23" s="43"/>
      <c r="I23" s="50"/>
      <c r="J23" s="10"/>
      <c r="K23" s="50"/>
      <c r="L23" s="7"/>
      <c r="M23" s="50"/>
      <c r="N23" s="7"/>
      <c r="O23" s="50"/>
      <c r="P23" s="7"/>
      <c r="Q23" s="50"/>
      <c r="R23" s="7"/>
      <c r="S23" s="50"/>
      <c r="U23" s="18"/>
      <c r="V23" s="18"/>
      <c r="W23" s="18"/>
      <c r="X23" s="18"/>
      <c r="Y23" s="18"/>
    </row>
    <row r="24" spans="1:25" ht="24" customHeight="1" x14ac:dyDescent="0.3">
      <c r="A24" s="287"/>
      <c r="B24" s="24" t="s">
        <v>188</v>
      </c>
      <c r="C24" s="32"/>
      <c r="D24" s="32"/>
      <c r="E24" s="54"/>
      <c r="F24" s="22"/>
      <c r="G24" s="25"/>
      <c r="H24" s="7"/>
      <c r="I24" s="50"/>
      <c r="J24" s="10"/>
      <c r="K24" s="50"/>
      <c r="L24" s="7"/>
      <c r="M24" s="50"/>
      <c r="N24" s="7"/>
      <c r="O24" s="50"/>
      <c r="P24" s="7"/>
      <c r="Q24" s="50"/>
      <c r="R24" s="7"/>
      <c r="S24" s="50"/>
      <c r="U24" s="18"/>
      <c r="V24" s="18"/>
      <c r="W24" s="18"/>
      <c r="X24" s="18"/>
      <c r="Y24" s="18"/>
    </row>
    <row r="25" spans="1:25" ht="24" customHeight="1" x14ac:dyDescent="0.3">
      <c r="A25" s="287"/>
      <c r="B25" s="24" t="s">
        <v>128</v>
      </c>
      <c r="C25" s="32"/>
      <c r="D25" s="32"/>
      <c r="E25" s="54"/>
      <c r="F25" s="22"/>
      <c r="G25" s="25"/>
      <c r="H25" s="43"/>
      <c r="I25" s="50"/>
      <c r="J25" s="10"/>
      <c r="K25" s="50"/>
      <c r="L25" s="7"/>
      <c r="M25" s="50"/>
      <c r="N25" s="7"/>
      <c r="O25" s="50"/>
      <c r="P25" s="7"/>
      <c r="Q25" s="50"/>
      <c r="R25" s="7"/>
      <c r="S25" s="50"/>
      <c r="U25" s="18"/>
      <c r="V25" s="18"/>
      <c r="W25" s="18"/>
      <c r="X25" s="18"/>
      <c r="Y25" s="18"/>
    </row>
    <row r="26" spans="1:25" ht="24" customHeight="1" x14ac:dyDescent="0.3">
      <c r="A26" s="287"/>
      <c r="B26" s="24" t="s">
        <v>127</v>
      </c>
      <c r="C26" s="32">
        <v>2</v>
      </c>
      <c r="D26" s="32"/>
      <c r="E26" s="54"/>
      <c r="F26" s="22"/>
      <c r="G26" s="25"/>
      <c r="H26" s="43"/>
      <c r="I26" s="50"/>
      <c r="J26" s="10">
        <v>1</v>
      </c>
      <c r="K26" s="50"/>
      <c r="L26" s="7">
        <v>1</v>
      </c>
      <c r="M26" s="50"/>
      <c r="N26" s="7"/>
      <c r="O26" s="50"/>
      <c r="P26" s="7"/>
      <c r="Q26" s="50"/>
      <c r="R26" s="7"/>
      <c r="S26" s="50"/>
      <c r="U26" s="18"/>
      <c r="V26" s="18"/>
      <c r="W26" s="18"/>
      <c r="X26" s="18"/>
      <c r="Y26" s="18"/>
    </row>
    <row r="27" spans="1:25" ht="24" customHeight="1" x14ac:dyDescent="0.3">
      <c r="A27" s="287"/>
      <c r="B27" s="24" t="s">
        <v>189</v>
      </c>
      <c r="C27" s="32">
        <v>2</v>
      </c>
      <c r="D27" s="32"/>
      <c r="E27" s="54">
        <v>1</v>
      </c>
      <c r="F27" s="22"/>
      <c r="G27" s="25"/>
      <c r="H27" s="10"/>
      <c r="I27" s="50"/>
      <c r="J27" s="10"/>
      <c r="K27" s="50"/>
      <c r="L27" s="7"/>
      <c r="M27" s="50"/>
      <c r="N27" s="7"/>
      <c r="O27" s="50"/>
      <c r="P27" s="7"/>
      <c r="Q27" s="50"/>
      <c r="R27" s="7"/>
      <c r="S27" s="50"/>
      <c r="U27" s="18"/>
      <c r="V27" s="18"/>
      <c r="W27" s="18"/>
      <c r="X27" s="18"/>
      <c r="Y27" s="18"/>
    </row>
    <row r="28" spans="1:25" ht="24" customHeight="1" x14ac:dyDescent="0.3">
      <c r="A28" s="287"/>
      <c r="B28" s="24" t="s">
        <v>140</v>
      </c>
      <c r="C28" s="32"/>
      <c r="D28" s="32"/>
      <c r="E28" s="54"/>
      <c r="F28" s="22"/>
      <c r="G28" s="25"/>
      <c r="H28" s="10"/>
      <c r="I28" s="50"/>
      <c r="J28" s="10"/>
      <c r="K28" s="50"/>
      <c r="L28" s="7"/>
      <c r="M28" s="50"/>
      <c r="N28" s="7"/>
      <c r="O28" s="50"/>
      <c r="P28" s="7"/>
      <c r="Q28" s="76"/>
      <c r="R28" s="7"/>
      <c r="S28" s="50"/>
      <c r="U28" s="18"/>
      <c r="V28" s="18"/>
      <c r="W28" s="18"/>
      <c r="X28" s="18"/>
      <c r="Y28" s="18"/>
    </row>
    <row r="29" spans="1:25" ht="24" customHeight="1" x14ac:dyDescent="0.3">
      <c r="A29" s="287"/>
      <c r="B29" s="24" t="s">
        <v>129</v>
      </c>
      <c r="C29" s="32"/>
      <c r="D29" s="32"/>
      <c r="E29" s="54"/>
      <c r="F29" s="22"/>
      <c r="G29" s="25"/>
      <c r="H29" s="43"/>
      <c r="I29" s="50"/>
      <c r="J29" s="10"/>
      <c r="K29" s="50"/>
      <c r="L29" s="7"/>
      <c r="M29" s="50"/>
      <c r="N29" s="7"/>
      <c r="O29" s="50"/>
      <c r="P29" s="7"/>
      <c r="Q29" s="50"/>
      <c r="R29" s="7"/>
      <c r="S29" s="50"/>
      <c r="U29" s="18"/>
      <c r="V29" s="18"/>
      <c r="W29" s="18"/>
      <c r="X29" s="18"/>
      <c r="Y29" s="18"/>
    </row>
    <row r="30" spans="1:25" ht="24" customHeight="1" x14ac:dyDescent="0.3">
      <c r="A30" s="287"/>
      <c r="B30" s="24" t="s">
        <v>145</v>
      </c>
      <c r="C30" s="32">
        <v>8</v>
      </c>
      <c r="D30" s="32"/>
      <c r="E30" s="54">
        <v>3</v>
      </c>
      <c r="F30" s="22"/>
      <c r="G30" s="25"/>
      <c r="H30" s="43"/>
      <c r="I30" s="50"/>
      <c r="J30" s="10"/>
      <c r="K30" s="50"/>
      <c r="L30" s="7">
        <v>1</v>
      </c>
      <c r="M30" s="50"/>
      <c r="N30" s="7"/>
      <c r="O30" s="50"/>
      <c r="P30" s="7"/>
      <c r="Q30" s="50"/>
      <c r="R30" s="7"/>
      <c r="S30" s="50"/>
      <c r="U30" s="18"/>
      <c r="V30" s="18"/>
      <c r="W30" s="18"/>
      <c r="X30" s="18"/>
      <c r="Y30" s="18"/>
    </row>
    <row r="31" spans="1:25" ht="24" customHeight="1" x14ac:dyDescent="0.3">
      <c r="A31" s="287"/>
      <c r="B31" s="24" t="s">
        <v>130</v>
      </c>
      <c r="C31" s="32">
        <v>1</v>
      </c>
      <c r="D31" s="32"/>
      <c r="E31" s="54"/>
      <c r="F31" s="22"/>
      <c r="G31" s="25"/>
      <c r="H31" s="43"/>
      <c r="I31" s="50"/>
      <c r="J31" s="10"/>
      <c r="K31" s="50"/>
      <c r="L31" s="7"/>
      <c r="M31" s="50"/>
      <c r="N31" s="7"/>
      <c r="O31" s="50"/>
      <c r="P31" s="7"/>
      <c r="Q31" s="50"/>
      <c r="R31" s="7"/>
      <c r="S31" s="50"/>
      <c r="U31" s="18"/>
      <c r="V31" s="18"/>
      <c r="W31" s="18"/>
      <c r="X31" s="18"/>
      <c r="Y31" s="18"/>
    </row>
    <row r="32" spans="1:25" ht="24" customHeight="1" x14ac:dyDescent="0.3">
      <c r="A32" s="287"/>
      <c r="B32" s="24" t="s">
        <v>131</v>
      </c>
      <c r="C32" s="32">
        <v>1</v>
      </c>
      <c r="D32" s="32"/>
      <c r="E32" s="54"/>
      <c r="F32" s="22"/>
      <c r="G32" s="25"/>
      <c r="H32" s="43"/>
      <c r="I32" s="50"/>
      <c r="J32" s="10"/>
      <c r="K32" s="50"/>
      <c r="L32" s="7"/>
      <c r="M32" s="50"/>
      <c r="N32" s="7"/>
      <c r="O32" s="50"/>
      <c r="P32" s="7"/>
      <c r="Q32" s="50"/>
      <c r="R32" s="7"/>
      <c r="S32" s="50"/>
      <c r="U32" s="18"/>
      <c r="V32" s="18"/>
      <c r="W32" s="18"/>
      <c r="X32" s="18"/>
      <c r="Y32" s="18"/>
    </row>
    <row r="33" spans="1:25" ht="24" customHeight="1" x14ac:dyDescent="0.3">
      <c r="A33" s="287"/>
      <c r="B33" s="24" t="s">
        <v>132</v>
      </c>
      <c r="C33" s="32">
        <v>2</v>
      </c>
      <c r="D33" s="32"/>
      <c r="E33" s="54"/>
      <c r="F33" s="22"/>
      <c r="G33" s="25"/>
      <c r="H33" s="43"/>
      <c r="I33" s="50"/>
      <c r="J33" s="10"/>
      <c r="K33" s="50"/>
      <c r="L33" s="7"/>
      <c r="M33" s="50"/>
      <c r="N33" s="7"/>
      <c r="O33" s="50"/>
      <c r="P33" s="7"/>
      <c r="Q33" s="50"/>
      <c r="R33" s="7"/>
      <c r="S33" s="50"/>
      <c r="U33" s="18"/>
      <c r="V33" s="18"/>
      <c r="W33" s="18"/>
      <c r="X33" s="18"/>
      <c r="Y33" s="18"/>
    </row>
    <row r="34" spans="1:25" ht="24" customHeight="1" x14ac:dyDescent="0.3">
      <c r="A34" s="287"/>
      <c r="B34" s="24" t="s">
        <v>133</v>
      </c>
      <c r="C34" s="32"/>
      <c r="D34" s="32"/>
      <c r="E34" s="54"/>
      <c r="F34" s="22"/>
      <c r="G34" s="25"/>
      <c r="H34" s="7"/>
      <c r="I34" s="50"/>
      <c r="J34" s="10"/>
      <c r="K34" s="50"/>
      <c r="L34" s="7"/>
      <c r="M34" s="50"/>
      <c r="N34" s="7"/>
      <c r="O34" s="50"/>
      <c r="P34" s="7"/>
      <c r="Q34" s="50"/>
      <c r="R34" s="7"/>
      <c r="S34" s="50"/>
      <c r="U34" s="18"/>
      <c r="V34" s="18"/>
      <c r="W34" s="18"/>
      <c r="X34" s="18"/>
      <c r="Y34" s="18"/>
    </row>
    <row r="35" spans="1:25" ht="24" customHeight="1" x14ac:dyDescent="0.3">
      <c r="A35" s="287"/>
      <c r="B35" s="24" t="s">
        <v>135</v>
      </c>
      <c r="C35" s="32"/>
      <c r="D35" s="32"/>
      <c r="E35" s="54"/>
      <c r="F35" s="22"/>
      <c r="G35" s="25"/>
      <c r="H35" s="7"/>
      <c r="I35" s="50"/>
      <c r="J35" s="10"/>
      <c r="K35" s="50"/>
      <c r="L35" s="7"/>
      <c r="M35" s="50"/>
      <c r="N35" s="7"/>
      <c r="O35" s="50"/>
      <c r="P35" s="7"/>
      <c r="Q35" s="50"/>
      <c r="R35" s="7"/>
      <c r="S35" s="50"/>
      <c r="U35" s="18"/>
      <c r="V35" s="18"/>
      <c r="W35" s="18"/>
      <c r="X35" s="18"/>
      <c r="Y35" s="18"/>
    </row>
    <row r="36" spans="1:25" ht="24" customHeight="1" x14ac:dyDescent="0.3">
      <c r="A36" s="287"/>
      <c r="B36" s="24" t="s">
        <v>141</v>
      </c>
      <c r="C36" s="32"/>
      <c r="D36" s="56"/>
      <c r="E36" s="54"/>
      <c r="F36" s="22"/>
      <c r="G36" s="25"/>
      <c r="H36" s="43"/>
      <c r="I36" s="50"/>
      <c r="J36" s="10"/>
      <c r="K36" s="50"/>
      <c r="L36" s="7"/>
      <c r="M36" s="50"/>
      <c r="N36" s="7"/>
      <c r="O36" s="50"/>
      <c r="P36" s="7"/>
      <c r="Q36" s="76"/>
      <c r="R36" s="7"/>
      <c r="S36" s="50"/>
      <c r="U36" s="18"/>
      <c r="V36" s="18"/>
      <c r="W36" s="18"/>
      <c r="X36" s="18"/>
      <c r="Y36" s="18"/>
    </row>
    <row r="37" spans="1:25" ht="24" customHeight="1" x14ac:dyDescent="0.3">
      <c r="A37" s="287"/>
      <c r="B37" s="24" t="s">
        <v>142</v>
      </c>
      <c r="C37" s="32"/>
      <c r="D37" s="32"/>
      <c r="E37" s="54"/>
      <c r="F37" s="22"/>
      <c r="G37" s="25"/>
      <c r="H37" s="43"/>
      <c r="I37" s="50"/>
      <c r="J37" s="10"/>
      <c r="K37" s="50"/>
      <c r="L37" s="7"/>
      <c r="M37" s="50"/>
      <c r="N37" s="7"/>
      <c r="O37" s="50"/>
      <c r="P37" s="7"/>
      <c r="Q37" s="50"/>
      <c r="R37" s="7"/>
      <c r="S37" s="50"/>
      <c r="U37" s="18"/>
      <c r="V37" s="18"/>
      <c r="W37" s="18"/>
      <c r="X37" s="18"/>
      <c r="Y37" s="18"/>
    </row>
    <row r="38" spans="1:25" ht="24" customHeight="1" x14ac:dyDescent="0.3">
      <c r="A38" s="287"/>
      <c r="B38" s="24" t="s">
        <v>144</v>
      </c>
      <c r="C38" s="32"/>
      <c r="D38" s="32"/>
      <c r="E38" s="101"/>
      <c r="F38" s="22"/>
      <c r="G38" s="25"/>
      <c r="H38" s="43"/>
      <c r="I38" s="50"/>
      <c r="J38" s="10"/>
      <c r="K38" s="50"/>
      <c r="L38" s="7"/>
      <c r="M38" s="50"/>
      <c r="N38" s="7"/>
      <c r="O38" s="50"/>
      <c r="P38" s="7"/>
      <c r="Q38" s="50"/>
      <c r="R38" s="7"/>
      <c r="S38" s="50"/>
      <c r="U38" s="18"/>
      <c r="V38" s="18"/>
      <c r="W38" s="18"/>
      <c r="X38" s="18"/>
      <c r="Y38" s="18"/>
    </row>
    <row r="39" spans="1:25" ht="24" customHeight="1" x14ac:dyDescent="0.3">
      <c r="A39" s="287"/>
      <c r="B39" s="24" t="s">
        <v>146</v>
      </c>
      <c r="C39" s="32"/>
      <c r="D39" s="32"/>
      <c r="E39" s="54"/>
      <c r="F39" s="22"/>
      <c r="G39" s="25"/>
      <c r="H39" s="43"/>
      <c r="I39" s="50"/>
      <c r="J39" s="10"/>
      <c r="K39" s="50"/>
      <c r="L39" s="7"/>
      <c r="M39" s="50"/>
      <c r="N39" s="7"/>
      <c r="O39" s="50"/>
      <c r="P39" s="7"/>
      <c r="Q39" s="50"/>
      <c r="R39" s="7"/>
      <c r="S39" s="50"/>
      <c r="U39" s="18"/>
      <c r="V39" s="18"/>
      <c r="W39" s="18"/>
      <c r="X39" s="18"/>
      <c r="Y39" s="18"/>
    </row>
    <row r="40" spans="1:25" ht="24" customHeight="1" x14ac:dyDescent="0.3">
      <c r="A40" s="287"/>
      <c r="B40" s="24" t="s">
        <v>136</v>
      </c>
      <c r="C40" s="32"/>
      <c r="D40" s="32"/>
      <c r="E40" s="54"/>
      <c r="F40" s="22"/>
      <c r="G40" s="25"/>
      <c r="H40" s="43"/>
      <c r="I40" s="50"/>
      <c r="J40" s="10"/>
      <c r="K40" s="50"/>
      <c r="L40" s="7"/>
      <c r="M40" s="50"/>
      <c r="N40" s="7"/>
      <c r="O40" s="50"/>
      <c r="P40" s="7"/>
      <c r="Q40" s="50"/>
      <c r="R40" s="7"/>
      <c r="S40" s="50"/>
      <c r="U40" s="18"/>
      <c r="V40" s="18"/>
      <c r="W40" s="18"/>
      <c r="X40" s="18"/>
      <c r="Y40" s="18"/>
    </row>
    <row r="41" spans="1:25" ht="24" customHeight="1" x14ac:dyDescent="0.3">
      <c r="A41" s="287"/>
      <c r="B41" s="24" t="s">
        <v>139</v>
      </c>
      <c r="C41" s="32"/>
      <c r="D41" s="32"/>
      <c r="E41" s="54"/>
      <c r="F41" s="22"/>
      <c r="G41" s="25"/>
      <c r="H41" s="10"/>
      <c r="I41" s="50"/>
      <c r="J41" s="10"/>
      <c r="K41" s="50"/>
      <c r="L41" s="7"/>
      <c r="M41" s="50"/>
      <c r="N41" s="7"/>
      <c r="O41" s="50"/>
      <c r="P41" s="7"/>
      <c r="Q41" s="50"/>
      <c r="R41" s="7"/>
      <c r="S41" s="50"/>
      <c r="U41" s="18"/>
      <c r="V41" s="18"/>
      <c r="W41" s="18"/>
      <c r="X41" s="18"/>
      <c r="Y41" s="18"/>
    </row>
    <row r="42" spans="1:25" ht="24" customHeight="1" x14ac:dyDescent="0.3">
      <c r="A42" s="287"/>
      <c r="B42" s="24" t="s">
        <v>137</v>
      </c>
      <c r="C42" s="32"/>
      <c r="D42" s="32"/>
      <c r="E42" s="54"/>
      <c r="F42" s="22"/>
      <c r="G42" s="25"/>
      <c r="H42" s="7"/>
      <c r="I42" s="50"/>
      <c r="J42" s="10"/>
      <c r="K42" s="50"/>
      <c r="L42" s="7"/>
      <c r="M42" s="50"/>
      <c r="N42" s="7"/>
      <c r="O42" s="50"/>
      <c r="P42" s="7"/>
      <c r="Q42" s="50"/>
      <c r="R42" s="7"/>
      <c r="S42" s="50"/>
      <c r="U42" s="18"/>
      <c r="V42" s="18"/>
      <c r="W42" s="18"/>
      <c r="X42" s="18"/>
      <c r="Y42" s="18"/>
    </row>
    <row r="43" spans="1:25" ht="27" thickBot="1" x14ac:dyDescent="0.35">
      <c r="A43" s="288"/>
      <c r="B43" s="26"/>
      <c r="C43" s="27">
        <f>SUM(C23:C42)</f>
        <v>18</v>
      </c>
      <c r="D43" s="27">
        <f>SUM(D23:D42)</f>
        <v>0</v>
      </c>
      <c r="E43" s="27">
        <f>SUM(E23:E42)</f>
        <v>4</v>
      </c>
      <c r="F43" s="27">
        <f>SUM(F23:F42)</f>
        <v>0</v>
      </c>
      <c r="G43" s="159"/>
      <c r="H43" s="2">
        <f t="shared" ref="H43:S43" si="2">SUM(H23:H42)</f>
        <v>0</v>
      </c>
      <c r="I43" s="2">
        <f t="shared" si="2"/>
        <v>0</v>
      </c>
      <c r="J43" s="2">
        <f t="shared" si="2"/>
        <v>1</v>
      </c>
      <c r="K43" s="2">
        <f t="shared" si="2"/>
        <v>0</v>
      </c>
      <c r="L43" s="2">
        <f t="shared" si="2"/>
        <v>2</v>
      </c>
      <c r="M43" s="2">
        <f t="shared" si="2"/>
        <v>0</v>
      </c>
      <c r="N43" s="2">
        <f t="shared" si="2"/>
        <v>0</v>
      </c>
      <c r="O43" s="2">
        <f t="shared" si="2"/>
        <v>0</v>
      </c>
      <c r="P43" s="2">
        <f t="shared" si="2"/>
        <v>0</v>
      </c>
      <c r="Q43" s="2">
        <f t="shared" si="2"/>
        <v>0</v>
      </c>
      <c r="R43" s="2">
        <f t="shared" si="2"/>
        <v>0</v>
      </c>
      <c r="S43" s="2">
        <f t="shared" si="2"/>
        <v>0</v>
      </c>
    </row>
    <row r="44" spans="1:25" ht="24" customHeight="1" thickTop="1" x14ac:dyDescent="0.3">
      <c r="A44" s="252" t="s">
        <v>13</v>
      </c>
      <c r="B44" s="3" t="s">
        <v>28</v>
      </c>
      <c r="C44" s="7"/>
      <c r="D44" s="7"/>
      <c r="E44" s="50"/>
      <c r="F44" s="50"/>
      <c r="G44" s="159"/>
      <c r="H44" s="7"/>
      <c r="I44" s="50"/>
      <c r="J44" s="10"/>
      <c r="K44" s="50"/>
      <c r="L44" s="7"/>
      <c r="M44" s="50"/>
      <c r="N44" s="7"/>
      <c r="O44" s="50"/>
      <c r="P44" s="7"/>
      <c r="Q44" s="50"/>
      <c r="R44" s="7"/>
      <c r="S44" s="50"/>
    </row>
    <row r="45" spans="1:25" ht="24" customHeight="1" x14ac:dyDescent="0.3">
      <c r="A45" s="252"/>
      <c r="B45" s="3" t="s">
        <v>29</v>
      </c>
      <c r="C45" s="77"/>
      <c r="D45" s="7"/>
      <c r="E45" s="50"/>
      <c r="F45" s="50"/>
      <c r="G45" s="159"/>
      <c r="H45" s="7"/>
      <c r="I45" s="50"/>
      <c r="J45" s="10"/>
      <c r="K45" s="50"/>
      <c r="L45" s="7"/>
      <c r="M45" s="50"/>
      <c r="N45" s="7"/>
      <c r="O45" s="50"/>
      <c r="P45" s="7"/>
      <c r="Q45" s="50"/>
      <c r="R45" s="7"/>
      <c r="S45" s="50"/>
    </row>
    <row r="46" spans="1:25" ht="24" customHeight="1" x14ac:dyDescent="0.3">
      <c r="A46" s="252"/>
      <c r="B46" s="3" t="s">
        <v>125</v>
      </c>
      <c r="C46" s="7"/>
      <c r="D46" s="7"/>
      <c r="E46" s="50"/>
      <c r="F46" s="50"/>
      <c r="G46" s="159"/>
      <c r="H46" s="7"/>
      <c r="I46" s="50"/>
      <c r="J46" s="10"/>
      <c r="K46" s="50"/>
      <c r="L46" s="7">
        <v>1</v>
      </c>
      <c r="M46" s="50">
        <v>1</v>
      </c>
      <c r="N46" s="7"/>
      <c r="O46" s="50"/>
      <c r="P46" s="7"/>
      <c r="Q46" s="50"/>
      <c r="R46" s="7">
        <v>1</v>
      </c>
      <c r="S46" s="50"/>
    </row>
    <row r="47" spans="1:25" ht="24" customHeight="1" x14ac:dyDescent="0.3">
      <c r="A47" s="252"/>
      <c r="B47" s="3" t="s">
        <v>121</v>
      </c>
      <c r="C47" s="7"/>
      <c r="D47" s="7"/>
      <c r="E47" s="50"/>
      <c r="F47" s="50"/>
      <c r="G47" s="159"/>
      <c r="H47" s="7"/>
      <c r="I47" s="50"/>
      <c r="J47" s="10"/>
      <c r="K47" s="50"/>
      <c r="L47" s="7">
        <v>1</v>
      </c>
      <c r="M47" s="50"/>
      <c r="N47" s="7"/>
      <c r="O47" s="50"/>
      <c r="P47" s="7"/>
      <c r="Q47" s="50"/>
      <c r="R47" s="7">
        <v>1</v>
      </c>
      <c r="S47" s="50"/>
    </row>
    <row r="48" spans="1:25" ht="24" customHeight="1" x14ac:dyDescent="0.3">
      <c r="A48" s="252"/>
      <c r="B48" s="3" t="s">
        <v>122</v>
      </c>
      <c r="C48" s="7"/>
      <c r="D48" s="7"/>
      <c r="E48" s="50"/>
      <c r="F48" s="50"/>
      <c r="G48" s="159"/>
      <c r="H48" s="7"/>
      <c r="I48" s="50"/>
      <c r="J48" s="10"/>
      <c r="K48" s="50"/>
      <c r="L48" s="7">
        <v>1</v>
      </c>
      <c r="M48" s="50"/>
      <c r="N48" s="7"/>
      <c r="O48" s="50"/>
      <c r="P48" s="7"/>
      <c r="Q48" s="50"/>
      <c r="R48" s="7"/>
      <c r="S48" s="50"/>
    </row>
    <row r="49" spans="1:37" ht="24" customHeight="1" x14ac:dyDescent="0.3">
      <c r="A49" s="252"/>
      <c r="B49" s="3" t="s">
        <v>123</v>
      </c>
      <c r="C49" s="7"/>
      <c r="D49" s="7"/>
      <c r="E49" s="50"/>
      <c r="F49" s="50"/>
      <c r="G49" s="159"/>
      <c r="H49" s="7"/>
      <c r="I49" s="50"/>
      <c r="J49" s="10"/>
      <c r="K49" s="50">
        <v>1</v>
      </c>
      <c r="L49" s="7"/>
      <c r="M49" s="50"/>
      <c r="N49" s="7"/>
      <c r="O49" s="50"/>
      <c r="P49" s="7"/>
      <c r="Q49" s="50"/>
      <c r="R49" s="7"/>
      <c r="S49" s="50"/>
    </row>
    <row r="50" spans="1:37" ht="24" customHeight="1" x14ac:dyDescent="0.3">
      <c r="A50" s="252"/>
      <c r="B50" s="100" t="s">
        <v>126</v>
      </c>
      <c r="C50" s="7"/>
      <c r="D50" s="7"/>
      <c r="E50" s="50"/>
      <c r="F50" s="50"/>
      <c r="G50" s="159"/>
      <c r="H50" s="7"/>
      <c r="I50" s="50"/>
      <c r="J50" s="10"/>
      <c r="K50" s="50">
        <v>3</v>
      </c>
      <c r="L50" s="7"/>
      <c r="M50" s="50"/>
      <c r="N50" s="7"/>
      <c r="O50" s="50"/>
      <c r="P50" s="7"/>
      <c r="Q50" s="50"/>
      <c r="R50" s="7"/>
      <c r="S50" s="50"/>
    </row>
    <row r="51" spans="1:37" ht="24" customHeight="1" x14ac:dyDescent="0.3">
      <c r="A51" s="252"/>
      <c r="B51" s="100" t="s">
        <v>124</v>
      </c>
      <c r="C51" s="7"/>
      <c r="D51" s="7"/>
      <c r="E51" s="50"/>
      <c r="F51" s="50"/>
      <c r="G51" s="159"/>
      <c r="H51" s="7">
        <v>2</v>
      </c>
      <c r="I51" s="50"/>
      <c r="J51" s="10"/>
      <c r="K51" s="50"/>
      <c r="L51" s="7">
        <v>2</v>
      </c>
      <c r="M51" s="50">
        <v>1</v>
      </c>
      <c r="N51" s="7"/>
      <c r="O51" s="50"/>
      <c r="P51" s="7"/>
      <c r="Q51" s="50"/>
      <c r="R51" s="7"/>
      <c r="S51" s="50"/>
    </row>
    <row r="52" spans="1:37" ht="26.25" x14ac:dyDescent="0.3">
      <c r="A52" s="279"/>
      <c r="B52" s="122"/>
      <c r="C52" s="123">
        <f>SUM(C44:C51)</f>
        <v>0</v>
      </c>
      <c r="D52" s="123">
        <f>SUM(D44:D51)</f>
        <v>0</v>
      </c>
      <c r="E52" s="123">
        <f>SUM(E44:E51)</f>
        <v>0</v>
      </c>
      <c r="F52" s="123">
        <f>SUM(F44:F51)</f>
        <v>0</v>
      </c>
      <c r="G52" s="159"/>
      <c r="H52" s="2">
        <f t="shared" ref="H52:S52" si="3">SUM(H44:H51)</f>
        <v>2</v>
      </c>
      <c r="I52" s="123">
        <f t="shared" si="3"/>
        <v>0</v>
      </c>
      <c r="J52" s="123">
        <f t="shared" si="3"/>
        <v>0</v>
      </c>
      <c r="K52" s="123">
        <f t="shared" si="3"/>
        <v>4</v>
      </c>
      <c r="L52" s="123">
        <f t="shared" si="3"/>
        <v>5</v>
      </c>
      <c r="M52" s="123">
        <f t="shared" si="3"/>
        <v>2</v>
      </c>
      <c r="N52" s="123">
        <f t="shared" si="3"/>
        <v>0</v>
      </c>
      <c r="O52" s="123">
        <f t="shared" si="3"/>
        <v>0</v>
      </c>
      <c r="P52" s="123">
        <f t="shared" si="3"/>
        <v>0</v>
      </c>
      <c r="Q52" s="123">
        <f t="shared" si="3"/>
        <v>0</v>
      </c>
      <c r="R52" s="123">
        <f t="shared" si="3"/>
        <v>2</v>
      </c>
      <c r="S52" s="123">
        <f t="shared" si="3"/>
        <v>0</v>
      </c>
      <c r="Y52" s="254"/>
      <c r="Z52" s="254"/>
      <c r="AA52" s="254"/>
      <c r="AB52" s="254"/>
      <c r="AD52" s="234"/>
      <c r="AE52" s="234"/>
      <c r="AF52" s="234"/>
      <c r="AG52" s="234"/>
      <c r="AH52" s="234"/>
      <c r="AJ52" s="234"/>
      <c r="AK52" s="234"/>
    </row>
    <row r="53" spans="1:37" ht="24" customHeight="1" x14ac:dyDescent="0.3">
      <c r="A53" s="253" t="s">
        <v>118</v>
      </c>
      <c r="B53" s="3" t="s">
        <v>171</v>
      </c>
      <c r="C53" s="7"/>
      <c r="D53" s="7"/>
      <c r="E53" s="50"/>
      <c r="F53" s="50"/>
      <c r="G53" s="159"/>
      <c r="H53" s="7"/>
      <c r="I53" s="50"/>
      <c r="J53" s="10"/>
      <c r="K53" s="50"/>
      <c r="L53" s="7">
        <v>1</v>
      </c>
      <c r="M53" s="50"/>
      <c r="N53" s="7"/>
      <c r="O53" s="50"/>
      <c r="P53" s="7"/>
      <c r="Q53" s="50"/>
      <c r="R53" s="7"/>
      <c r="S53" s="50"/>
    </row>
    <row r="54" spans="1:37" ht="24" customHeight="1" x14ac:dyDescent="0.3">
      <c r="A54" s="253"/>
      <c r="B54" s="3" t="s">
        <v>168</v>
      </c>
      <c r="C54" s="7"/>
      <c r="D54" s="7"/>
      <c r="E54" s="50"/>
      <c r="F54" s="50"/>
      <c r="G54" s="159"/>
      <c r="H54" s="7"/>
      <c r="I54" s="50"/>
      <c r="J54" s="10"/>
      <c r="K54" s="50"/>
      <c r="L54" s="7"/>
      <c r="M54" s="50"/>
      <c r="N54" s="7"/>
      <c r="O54" s="50"/>
      <c r="P54" s="7"/>
      <c r="Q54" s="50"/>
      <c r="R54" s="7"/>
      <c r="S54" s="50"/>
    </row>
    <row r="55" spans="1:37" ht="24" customHeight="1" x14ac:dyDescent="0.3">
      <c r="A55" s="253"/>
      <c r="B55" s="3" t="s">
        <v>170</v>
      </c>
      <c r="C55" s="7"/>
      <c r="D55" s="7"/>
      <c r="E55" s="50"/>
      <c r="F55" s="50"/>
      <c r="G55" s="159"/>
      <c r="H55" s="7"/>
      <c r="I55" s="50"/>
      <c r="J55" s="10"/>
      <c r="L55" s="7"/>
      <c r="M55" s="50"/>
      <c r="N55" s="7"/>
      <c r="O55" s="50"/>
      <c r="P55" s="7"/>
      <c r="Q55" s="50"/>
      <c r="R55" s="7"/>
      <c r="S55" s="50"/>
    </row>
    <row r="56" spans="1:37" ht="24" customHeight="1" x14ac:dyDescent="0.3">
      <c r="A56" s="253"/>
      <c r="B56" s="100" t="s">
        <v>166</v>
      </c>
      <c r="C56" s="7"/>
      <c r="D56" s="7"/>
      <c r="E56" s="50"/>
      <c r="F56" s="50"/>
      <c r="G56" s="159"/>
      <c r="H56" s="7"/>
      <c r="I56" s="50"/>
      <c r="J56" s="10"/>
      <c r="K56" s="50">
        <v>2</v>
      </c>
      <c r="L56" s="7"/>
      <c r="M56" s="50"/>
      <c r="N56" s="7"/>
      <c r="O56" s="50"/>
      <c r="P56" s="7">
        <v>2</v>
      </c>
      <c r="Q56" s="50"/>
      <c r="R56" s="7">
        <v>2</v>
      </c>
      <c r="S56" s="50"/>
    </row>
    <row r="57" spans="1:37" ht="24" customHeight="1" x14ac:dyDescent="0.3">
      <c r="A57" s="253"/>
      <c r="B57" s="100" t="s">
        <v>167</v>
      </c>
      <c r="C57" s="7"/>
      <c r="D57" s="7"/>
      <c r="E57" s="50"/>
      <c r="F57" s="50"/>
      <c r="G57" s="159"/>
      <c r="H57" s="7"/>
      <c r="I57" s="50"/>
      <c r="J57" s="10"/>
      <c r="K57" s="50"/>
      <c r="L57" s="7"/>
      <c r="M57" s="50"/>
      <c r="N57" s="7"/>
      <c r="O57" s="50"/>
      <c r="P57" s="7">
        <v>1</v>
      </c>
      <c r="Q57" s="50"/>
      <c r="R57" s="7">
        <v>1</v>
      </c>
      <c r="S57" s="50"/>
    </row>
    <row r="58" spans="1:37" ht="24" customHeight="1" x14ac:dyDescent="0.3">
      <c r="A58" s="253"/>
      <c r="B58" s="100" t="s">
        <v>172</v>
      </c>
      <c r="C58" s="7"/>
      <c r="D58" s="7"/>
      <c r="E58" s="50"/>
      <c r="F58" s="50"/>
      <c r="G58" s="159"/>
      <c r="H58" s="7"/>
      <c r="I58" s="50"/>
      <c r="J58" s="10">
        <v>2</v>
      </c>
      <c r="K58" s="50"/>
      <c r="L58" s="7"/>
      <c r="M58" s="50"/>
      <c r="N58" s="7"/>
      <c r="O58" s="50"/>
      <c r="P58" s="7"/>
      <c r="Q58" s="50"/>
      <c r="R58" s="7"/>
      <c r="S58" s="50"/>
    </row>
    <row r="59" spans="1:37" ht="24" customHeight="1" x14ac:dyDescent="0.3">
      <c r="A59" s="253"/>
      <c r="B59" s="100" t="s">
        <v>165</v>
      </c>
      <c r="C59" s="7"/>
      <c r="D59" s="7"/>
      <c r="E59" s="50"/>
      <c r="F59" s="50"/>
      <c r="G59" s="159"/>
      <c r="H59" s="7"/>
      <c r="I59" s="50"/>
      <c r="J59" s="10"/>
      <c r="K59" s="50"/>
      <c r="L59" s="7">
        <v>1</v>
      </c>
      <c r="M59" s="50"/>
      <c r="N59" s="7"/>
      <c r="O59" s="50"/>
      <c r="P59" s="7"/>
      <c r="Q59" s="50"/>
      <c r="R59" s="7"/>
      <c r="S59" s="50"/>
    </row>
    <row r="60" spans="1:37" ht="24" customHeight="1" x14ac:dyDescent="0.3">
      <c r="A60" s="253"/>
      <c r="B60" s="3" t="s">
        <v>173</v>
      </c>
      <c r="C60" s="7"/>
      <c r="D60" s="7"/>
      <c r="E60" s="50"/>
      <c r="F60" s="50"/>
      <c r="G60" s="159"/>
      <c r="H60" s="7"/>
      <c r="I60" s="50"/>
      <c r="J60" s="10"/>
      <c r="K60" s="50">
        <v>1</v>
      </c>
      <c r="L60" s="7"/>
      <c r="M60" s="50"/>
      <c r="N60" s="7"/>
      <c r="O60" s="50"/>
      <c r="P60" s="7"/>
      <c r="Q60" s="50"/>
      <c r="R60" s="7"/>
      <c r="S60" s="50"/>
    </row>
    <row r="61" spans="1:37" ht="24" customHeight="1" x14ac:dyDescent="0.3">
      <c r="A61" s="253"/>
      <c r="B61" s="3" t="s">
        <v>169</v>
      </c>
      <c r="C61" s="7"/>
      <c r="D61" s="7"/>
      <c r="E61" s="50"/>
      <c r="F61" s="50"/>
      <c r="G61" s="159"/>
      <c r="H61" s="7">
        <v>1</v>
      </c>
      <c r="I61" s="50"/>
      <c r="J61" s="10"/>
      <c r="K61" s="50"/>
      <c r="L61" s="7"/>
      <c r="M61" s="50"/>
      <c r="N61" s="7"/>
      <c r="O61" s="50"/>
      <c r="P61" s="7"/>
      <c r="Q61" s="50"/>
      <c r="R61" s="7"/>
      <c r="S61" s="50"/>
    </row>
    <row r="62" spans="1:37" ht="26.25" x14ac:dyDescent="0.3">
      <c r="A62" s="253"/>
      <c r="B62" s="2"/>
      <c r="C62" s="2">
        <f>SUM(C53:C61)</f>
        <v>0</v>
      </c>
      <c r="D62" s="2">
        <f>SUM(D53:D61)</f>
        <v>0</v>
      </c>
      <c r="E62" s="2">
        <f>SUM(E53:E61)</f>
        <v>0</v>
      </c>
      <c r="F62" s="2">
        <f>SUM(F53:F61)</f>
        <v>0</v>
      </c>
      <c r="G62" s="159"/>
      <c r="H62" s="2">
        <f t="shared" ref="H62:S62" si="4">SUM(H53:H61)</f>
        <v>1</v>
      </c>
      <c r="I62" s="2">
        <f t="shared" si="4"/>
        <v>0</v>
      </c>
      <c r="J62" s="2">
        <f t="shared" si="4"/>
        <v>2</v>
      </c>
      <c r="K62" s="2">
        <f t="shared" si="4"/>
        <v>3</v>
      </c>
      <c r="L62" s="2">
        <f t="shared" si="4"/>
        <v>2</v>
      </c>
      <c r="M62" s="2">
        <f t="shared" si="4"/>
        <v>0</v>
      </c>
      <c r="N62" s="2">
        <f t="shared" si="4"/>
        <v>0</v>
      </c>
      <c r="O62" s="2">
        <f t="shared" si="4"/>
        <v>0</v>
      </c>
      <c r="P62" s="2">
        <f t="shared" si="4"/>
        <v>3</v>
      </c>
      <c r="Q62" s="2">
        <f t="shared" si="4"/>
        <v>0</v>
      </c>
      <c r="R62" s="2">
        <f t="shared" si="4"/>
        <v>3</v>
      </c>
      <c r="S62" s="2">
        <f t="shared" si="4"/>
        <v>0</v>
      </c>
      <c r="Y62" s="254"/>
      <c r="Z62" s="254"/>
      <c r="AA62" s="254"/>
      <c r="AB62" s="254"/>
      <c r="AD62" s="234"/>
      <c r="AE62" s="234"/>
      <c r="AF62" s="234"/>
      <c r="AG62" s="234"/>
      <c r="AH62" s="234"/>
      <c r="AJ62" s="234"/>
      <c r="AK62" s="234"/>
    </row>
    <row r="64" spans="1:37" ht="19.5" customHeight="1" x14ac:dyDescent="0.35">
      <c r="A64" s="235" t="s">
        <v>23</v>
      </c>
      <c r="B64" s="235"/>
      <c r="C64" s="126">
        <v>47000</v>
      </c>
      <c r="D64" s="126">
        <v>4700</v>
      </c>
      <c r="E64" s="126">
        <v>58000</v>
      </c>
      <c r="F64" s="126">
        <v>5800</v>
      </c>
      <c r="H64" s="126">
        <v>5800</v>
      </c>
      <c r="I64" s="126">
        <v>4700</v>
      </c>
      <c r="J64" s="20">
        <v>6800</v>
      </c>
      <c r="K64" s="20">
        <v>5200</v>
      </c>
      <c r="L64" s="20">
        <v>20700</v>
      </c>
      <c r="M64" s="20">
        <v>6400</v>
      </c>
      <c r="N64" s="20">
        <v>18700</v>
      </c>
      <c r="O64" s="126">
        <v>25700</v>
      </c>
      <c r="P64" s="126">
        <v>8800</v>
      </c>
      <c r="Q64" s="20">
        <v>21700</v>
      </c>
      <c r="R64" s="20">
        <v>15000</v>
      </c>
      <c r="S64" s="20">
        <v>18000</v>
      </c>
      <c r="U64" s="236">
        <f>P67*0.85</f>
        <v>4730505</v>
      </c>
      <c r="V64" s="237"/>
      <c r="W64" s="238"/>
      <c r="Y64" s="242">
        <f>P69-P67</f>
        <v>0</v>
      </c>
      <c r="Z64" s="243"/>
      <c r="AA64" s="243"/>
      <c r="AB64" s="243"/>
      <c r="AD64" s="234"/>
      <c r="AE64" s="234"/>
      <c r="AF64" s="234"/>
      <c r="AG64" s="234"/>
      <c r="AH64" s="234"/>
      <c r="AJ64" s="234"/>
      <c r="AK64" s="234"/>
    </row>
    <row r="65" spans="1:37" ht="19.5" customHeight="1" x14ac:dyDescent="0.35">
      <c r="A65" s="235" t="s">
        <v>24</v>
      </c>
      <c r="B65" s="235"/>
      <c r="C65" s="20">
        <f>C64*C3</f>
        <v>4183000</v>
      </c>
      <c r="D65" s="20">
        <f>D64*D3</f>
        <v>0</v>
      </c>
      <c r="E65" s="20">
        <f>E64*E3</f>
        <v>696000</v>
      </c>
      <c r="F65" s="20">
        <f>F64*F3</f>
        <v>197200</v>
      </c>
      <c r="H65" s="20">
        <f t="shared" ref="H65:S65" si="5">H64*H3</f>
        <v>17400</v>
      </c>
      <c r="I65" s="20">
        <f t="shared" si="5"/>
        <v>0</v>
      </c>
      <c r="J65" s="20">
        <f t="shared" si="5"/>
        <v>20400</v>
      </c>
      <c r="K65" s="20">
        <f t="shared" si="5"/>
        <v>41600</v>
      </c>
      <c r="L65" s="20">
        <f t="shared" si="5"/>
        <v>248400</v>
      </c>
      <c r="M65" s="20">
        <f t="shared" si="5"/>
        <v>19200</v>
      </c>
      <c r="N65" s="20">
        <f t="shared" si="5"/>
        <v>0</v>
      </c>
      <c r="O65" s="20">
        <f t="shared" si="5"/>
        <v>25700</v>
      </c>
      <c r="P65" s="20">
        <f t="shared" si="5"/>
        <v>26400</v>
      </c>
      <c r="Q65" s="20">
        <f t="shared" si="5"/>
        <v>0</v>
      </c>
      <c r="R65" s="20">
        <f t="shared" si="5"/>
        <v>90000</v>
      </c>
      <c r="S65" s="20">
        <f t="shared" si="5"/>
        <v>0</v>
      </c>
      <c r="U65" s="239"/>
      <c r="V65" s="240"/>
      <c r="W65" s="241"/>
      <c r="Y65" s="243"/>
      <c r="Z65" s="243"/>
      <c r="AA65" s="243"/>
      <c r="AB65" s="243"/>
      <c r="AD65" s="234"/>
      <c r="AE65" s="234"/>
      <c r="AF65" s="234"/>
      <c r="AG65" s="234"/>
      <c r="AH65" s="234"/>
      <c r="AJ65" s="234"/>
      <c r="AK65" s="234"/>
    </row>
    <row r="67" spans="1:37" ht="26.25" x14ac:dyDescent="0.3">
      <c r="P67" s="259">
        <f>SUM(C65:S65)</f>
        <v>5565300</v>
      </c>
      <c r="Q67" s="260"/>
      <c r="U67" s="247"/>
      <c r="V67" s="248"/>
      <c r="W67" s="248"/>
      <c r="Y67" s="249"/>
      <c r="Z67" s="250"/>
      <c r="AA67" s="250"/>
      <c r="AB67" s="251"/>
    </row>
    <row r="69" spans="1:37" ht="26.25" x14ac:dyDescent="0.3">
      <c r="C69" s="244"/>
      <c r="D69" s="245"/>
      <c r="P69" s="246">
        <v>5565300</v>
      </c>
      <c r="Q69" s="246"/>
      <c r="U69" s="247">
        <f>P69*0.85</f>
        <v>4730505</v>
      </c>
      <c r="V69" s="248"/>
      <c r="W69" s="248"/>
      <c r="Y69" s="249"/>
      <c r="Z69" s="250"/>
      <c r="AA69" s="250"/>
      <c r="AB69" s="251"/>
    </row>
    <row r="70" spans="1:37" x14ac:dyDescent="0.3">
      <c r="Q70" s="18"/>
      <c r="S70" s="18"/>
      <c r="U70" s="245"/>
      <c r="V70" s="245"/>
      <c r="W70" s="245"/>
      <c r="Y70" s="255"/>
      <c r="Z70" s="256"/>
      <c r="AA70" s="256"/>
      <c r="AB70" s="256"/>
    </row>
    <row r="71" spans="1:37" x14ac:dyDescent="0.3">
      <c r="P71" s="244"/>
      <c r="Q71" s="245"/>
      <c r="U71" s="245"/>
      <c r="V71" s="245"/>
      <c r="W71" s="245"/>
      <c r="Y71" s="245"/>
      <c r="Z71" s="245"/>
      <c r="AA71" s="245"/>
      <c r="AB71" s="245"/>
    </row>
    <row r="72" spans="1:37" x14ac:dyDescent="0.3">
      <c r="P72" s="245"/>
      <c r="Q72" s="245"/>
      <c r="U72" s="245"/>
      <c r="V72" s="245"/>
      <c r="W72" s="245"/>
      <c r="Y72" s="245"/>
      <c r="Z72" s="245"/>
      <c r="AA72" s="245"/>
      <c r="AB72" s="245"/>
    </row>
    <row r="73" spans="1:37" x14ac:dyDescent="0.3">
      <c r="P73" s="18"/>
      <c r="Q73" s="18"/>
      <c r="S73" s="18"/>
      <c r="Y73" s="245"/>
      <c r="Z73" s="245"/>
      <c r="AA73" s="245"/>
      <c r="AB73" s="245"/>
    </row>
    <row r="74" spans="1:37" x14ac:dyDescent="0.3">
      <c r="C74">
        <f>C64*0.85</f>
        <v>39950</v>
      </c>
      <c r="D74">
        <f t="shared" ref="D74:R74" si="6">D64*0.85</f>
        <v>3995</v>
      </c>
      <c r="E74">
        <f t="shared" si="6"/>
        <v>49300</v>
      </c>
      <c r="F74">
        <f t="shared" si="6"/>
        <v>4930</v>
      </c>
      <c r="H74">
        <f t="shared" si="6"/>
        <v>4930</v>
      </c>
      <c r="I74">
        <f t="shared" si="6"/>
        <v>3995</v>
      </c>
      <c r="J74">
        <f t="shared" si="6"/>
        <v>5780</v>
      </c>
      <c r="K74">
        <f t="shared" si="6"/>
        <v>4420</v>
      </c>
      <c r="L74">
        <f t="shared" si="6"/>
        <v>17595</v>
      </c>
      <c r="M74">
        <f t="shared" si="6"/>
        <v>5440</v>
      </c>
      <c r="N74">
        <f t="shared" si="6"/>
        <v>15895</v>
      </c>
      <c r="O74">
        <f t="shared" si="6"/>
        <v>21845</v>
      </c>
      <c r="P74">
        <f t="shared" si="6"/>
        <v>7480</v>
      </c>
      <c r="Q74">
        <f t="shared" si="6"/>
        <v>18445</v>
      </c>
      <c r="R74">
        <f t="shared" si="6"/>
        <v>12750</v>
      </c>
      <c r="S74">
        <f>S64*0.85</f>
        <v>15300</v>
      </c>
    </row>
    <row r="75" spans="1:37" x14ac:dyDescent="0.3">
      <c r="C75">
        <v>29500</v>
      </c>
      <c r="D75">
        <v>2950</v>
      </c>
      <c r="E75">
        <v>51000</v>
      </c>
      <c r="F75">
        <v>5100</v>
      </c>
      <c r="H75">
        <v>3600</v>
      </c>
      <c r="I75">
        <v>2950</v>
      </c>
      <c r="J75">
        <v>4000</v>
      </c>
      <c r="K75">
        <v>4200</v>
      </c>
      <c r="L75">
        <v>15000</v>
      </c>
      <c r="M75">
        <v>4500</v>
      </c>
      <c r="N75">
        <v>9500</v>
      </c>
      <c r="O75">
        <v>12000</v>
      </c>
      <c r="P75">
        <v>8000</v>
      </c>
      <c r="Q75">
        <v>12000</v>
      </c>
      <c r="R75">
        <v>8500</v>
      </c>
    </row>
    <row r="76" spans="1:37" x14ac:dyDescent="0.3">
      <c r="C76">
        <f>C74-C75</f>
        <v>10450</v>
      </c>
      <c r="D76">
        <f t="shared" ref="D76:R76" si="7">D74-D75</f>
        <v>1045</v>
      </c>
      <c r="E76">
        <f t="shared" si="7"/>
        <v>-1700</v>
      </c>
      <c r="F76">
        <f t="shared" si="7"/>
        <v>-170</v>
      </c>
      <c r="H76">
        <f t="shared" si="7"/>
        <v>1330</v>
      </c>
      <c r="I76">
        <f t="shared" si="7"/>
        <v>1045</v>
      </c>
      <c r="J76">
        <f t="shared" si="7"/>
        <v>1780</v>
      </c>
      <c r="K76">
        <f t="shared" si="7"/>
        <v>220</v>
      </c>
      <c r="L76">
        <f t="shared" si="7"/>
        <v>2595</v>
      </c>
      <c r="M76">
        <f t="shared" si="7"/>
        <v>940</v>
      </c>
      <c r="N76">
        <f t="shared" si="7"/>
        <v>6395</v>
      </c>
      <c r="O76">
        <f t="shared" si="7"/>
        <v>9845</v>
      </c>
      <c r="P76">
        <f t="shared" si="7"/>
        <v>-520</v>
      </c>
      <c r="Q76">
        <f t="shared" si="7"/>
        <v>6445</v>
      </c>
      <c r="R76">
        <f t="shared" si="7"/>
        <v>4250</v>
      </c>
    </row>
    <row r="77" spans="1:37" x14ac:dyDescent="0.3">
      <c r="C77">
        <f t="shared" ref="C77:R77" si="8">C76*C3</f>
        <v>930050</v>
      </c>
      <c r="D77">
        <f t="shared" si="8"/>
        <v>0</v>
      </c>
      <c r="E77">
        <f t="shared" si="8"/>
        <v>-20400</v>
      </c>
      <c r="F77">
        <f t="shared" si="8"/>
        <v>-5780</v>
      </c>
      <c r="G77">
        <f t="shared" si="8"/>
        <v>0</v>
      </c>
      <c r="H77">
        <f t="shared" si="8"/>
        <v>3990</v>
      </c>
      <c r="I77">
        <f t="shared" si="8"/>
        <v>0</v>
      </c>
      <c r="J77">
        <f t="shared" si="8"/>
        <v>5340</v>
      </c>
      <c r="K77">
        <f t="shared" si="8"/>
        <v>1760</v>
      </c>
      <c r="L77">
        <f t="shared" si="8"/>
        <v>31140</v>
      </c>
      <c r="M77">
        <f t="shared" si="8"/>
        <v>2820</v>
      </c>
      <c r="N77">
        <f t="shared" si="8"/>
        <v>0</v>
      </c>
      <c r="O77">
        <f t="shared" si="8"/>
        <v>9845</v>
      </c>
      <c r="P77">
        <f t="shared" si="8"/>
        <v>-1560</v>
      </c>
      <c r="Q77">
        <f t="shared" si="8"/>
        <v>0</v>
      </c>
      <c r="R77">
        <f t="shared" si="8"/>
        <v>25500</v>
      </c>
      <c r="X77" s="245"/>
      <c r="Y77" s="245"/>
      <c r="Z77" s="245"/>
      <c r="AA77" s="245"/>
      <c r="AB77" s="245"/>
    </row>
    <row r="78" spans="1:37" x14ac:dyDescent="0.3">
      <c r="X78" s="245"/>
      <c r="Y78" s="245"/>
      <c r="Z78" s="245"/>
      <c r="AA78" s="245"/>
      <c r="AB78" s="245"/>
    </row>
    <row r="79" spans="1:37" ht="26.25" x14ac:dyDescent="0.3">
      <c r="P79" s="257">
        <f>SUM(C77:R77)</f>
        <v>982705</v>
      </c>
      <c r="Q79" s="258"/>
    </row>
  </sheetData>
  <mergeCells count="31">
    <mergeCell ref="U70:W72"/>
    <mergeCell ref="Y70:AB73"/>
    <mergeCell ref="P71:Q72"/>
    <mergeCell ref="X77:AB78"/>
    <mergeCell ref="P79:Q79"/>
    <mergeCell ref="P67:Q67"/>
    <mergeCell ref="U67:W67"/>
    <mergeCell ref="Y67:AB67"/>
    <mergeCell ref="C69:D69"/>
    <mergeCell ref="P69:Q69"/>
    <mergeCell ref="U69:W69"/>
    <mergeCell ref="Y69:AB69"/>
    <mergeCell ref="A64:B64"/>
    <mergeCell ref="U64:W65"/>
    <mergeCell ref="Y64:AB65"/>
    <mergeCell ref="AD64:AH65"/>
    <mergeCell ref="AJ64:AK65"/>
    <mergeCell ref="A65:B65"/>
    <mergeCell ref="Y52:AB52"/>
    <mergeCell ref="AD52:AH52"/>
    <mergeCell ref="AJ52:AK52"/>
    <mergeCell ref="A53:A62"/>
    <mergeCell ref="Y62:AB62"/>
    <mergeCell ref="AD62:AH62"/>
    <mergeCell ref="AJ62:AK62"/>
    <mergeCell ref="A1:B2"/>
    <mergeCell ref="C1:D1"/>
    <mergeCell ref="E1:F1"/>
    <mergeCell ref="A4:A22"/>
    <mergeCell ref="A23:A43"/>
    <mergeCell ref="A44:A52"/>
  </mergeCells>
  <phoneticPr fontId="44" type="noConversion"/>
  <conditionalFormatting sqref="B7:B11">
    <cfRule type="duplicateValues" dxfId="105" priority="2"/>
  </conditionalFormatting>
  <conditionalFormatting sqref="B44:B51">
    <cfRule type="duplicateValues" dxfId="104" priority="3"/>
  </conditionalFormatting>
  <conditionalFormatting sqref="B12">
    <cfRule type="duplicateValues" dxfId="103" priority="1"/>
  </conditionalFormatting>
  <conditionalFormatting sqref="B4:B6 B13:B21">
    <cfRule type="expression" dxfId="102" priority="4" stopIfTrue="1">
      <formula>AND(COUNTIF($B$4:$B$6, B4)+COUNTIF($B$13:$B$21, B4)&gt;1,NOT(ISBLANK(B4)))</formula>
    </cfRule>
  </conditionalFormatting>
  <conditionalFormatting sqref="B53:B61">
    <cfRule type="duplicateValues" dxfId="101" priority="5"/>
  </conditionalFormatting>
  <conditionalFormatting sqref="B23:B42">
    <cfRule type="duplicateValues" dxfId="100" priority="6"/>
  </conditionalFormatting>
  <printOptions horizontalCentered="1" verticalCentered="1"/>
  <pageMargins left="0" right="0" top="7.874015748031496E-2" bottom="7.874015748031496E-2" header="0" footer="0"/>
  <pageSetup paperSize="9" scale="23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T17"/>
  <sheetViews>
    <sheetView zoomScale="70" zoomScaleNormal="70" workbookViewId="0">
      <pane ySplit="3" topLeftCell="A7" activePane="bottomLeft" state="frozen"/>
      <selection activeCell="K58" sqref="K58"/>
      <selection pane="bottomLeft" activeCell="K58" sqref="K58"/>
    </sheetView>
  </sheetViews>
  <sheetFormatPr defaultRowHeight="16.5" x14ac:dyDescent="0.3"/>
  <cols>
    <col min="1" max="1" width="32.875" customWidth="1"/>
    <col min="2" max="6" width="10" customWidth="1"/>
    <col min="7" max="7" width="5.75" customWidth="1"/>
    <col min="8" max="8" width="18.5" customWidth="1"/>
    <col min="9" max="20" width="10.875" customWidth="1"/>
  </cols>
  <sheetData>
    <row r="1" spans="1:20" ht="113.25" customHeight="1" x14ac:dyDescent="0.3">
      <c r="A1" s="222" t="s">
        <v>194</v>
      </c>
      <c r="B1" s="223"/>
      <c r="C1" s="267" t="s">
        <v>97</v>
      </c>
      <c r="D1" s="268"/>
      <c r="E1" s="228" t="s">
        <v>98</v>
      </c>
      <c r="F1" s="228"/>
      <c r="G1" s="8"/>
      <c r="H1" s="269" t="s">
        <v>18</v>
      </c>
      <c r="I1" s="72" t="s">
        <v>20</v>
      </c>
      <c r="J1" s="158" t="s">
        <v>21</v>
      </c>
      <c r="K1" s="5" t="s">
        <v>101</v>
      </c>
      <c r="L1" s="158" t="s">
        <v>100</v>
      </c>
      <c r="M1" s="5" t="s">
        <v>96</v>
      </c>
      <c r="N1" s="158" t="s">
        <v>183</v>
      </c>
      <c r="O1" s="5" t="s">
        <v>114</v>
      </c>
      <c r="P1" s="158" t="s">
        <v>115</v>
      </c>
      <c r="Q1" s="5" t="s">
        <v>190</v>
      </c>
      <c r="R1" s="158" t="s">
        <v>105</v>
      </c>
      <c r="S1" s="5" t="s">
        <v>106</v>
      </c>
      <c r="T1" s="158" t="s">
        <v>191</v>
      </c>
    </row>
    <row r="2" spans="1:20" ht="43.5" customHeight="1" x14ac:dyDescent="0.3">
      <c r="A2" s="224"/>
      <c r="B2" s="225"/>
      <c r="C2" s="73" t="s">
        <v>2</v>
      </c>
      <c r="D2" s="73" t="s">
        <v>22</v>
      </c>
      <c r="E2" s="1" t="s">
        <v>2</v>
      </c>
      <c r="F2" s="1" t="s">
        <v>1</v>
      </c>
      <c r="G2" s="9"/>
      <c r="H2" s="270"/>
      <c r="I2" s="6" t="s">
        <v>3</v>
      </c>
      <c r="J2" s="1" t="s">
        <v>1</v>
      </c>
      <c r="K2" s="6" t="s">
        <v>3</v>
      </c>
      <c r="L2" s="1" t="s">
        <v>1</v>
      </c>
      <c r="M2" s="6" t="s">
        <v>3</v>
      </c>
      <c r="N2" s="1" t="s">
        <v>1</v>
      </c>
      <c r="O2" s="6" t="s">
        <v>3</v>
      </c>
      <c r="P2" s="1" t="s">
        <v>1</v>
      </c>
      <c r="Q2" s="6" t="s">
        <v>3</v>
      </c>
      <c r="R2" s="1" t="s">
        <v>1</v>
      </c>
      <c r="S2" s="6" t="s">
        <v>3</v>
      </c>
      <c r="T2" s="1" t="s">
        <v>1</v>
      </c>
    </row>
    <row r="3" spans="1:20" ht="39" customHeight="1" thickBot="1" x14ac:dyDescent="0.35">
      <c r="A3" s="271" t="s">
        <v>10</v>
      </c>
      <c r="B3" s="272"/>
      <c r="C3" s="44">
        <f>SUM(C4:C19)</f>
        <v>89</v>
      </c>
      <c r="D3" s="44">
        <f>SUM(D4:D19)</f>
        <v>0</v>
      </c>
      <c r="E3" s="44">
        <f>SUM(E4:E19)</f>
        <v>12</v>
      </c>
      <c r="F3" s="44">
        <f>SUM(F4:F19)</f>
        <v>34</v>
      </c>
      <c r="G3" s="159"/>
      <c r="H3" s="13" t="s">
        <v>10</v>
      </c>
      <c r="I3" s="44">
        <f>SUM(I4:I14)</f>
        <v>3</v>
      </c>
      <c r="J3" s="44">
        <f t="shared" ref="J3:T3" si="0">SUM(J4:J14)</f>
        <v>0</v>
      </c>
      <c r="K3" s="44">
        <f t="shared" si="0"/>
        <v>3</v>
      </c>
      <c r="L3" s="44">
        <f t="shared" si="0"/>
        <v>8</v>
      </c>
      <c r="M3" s="44">
        <f t="shared" si="0"/>
        <v>12</v>
      </c>
      <c r="N3" s="44">
        <f t="shared" si="0"/>
        <v>3</v>
      </c>
      <c r="O3" s="44">
        <f t="shared" si="0"/>
        <v>0</v>
      </c>
      <c r="P3" s="44">
        <f t="shared" si="0"/>
        <v>1</v>
      </c>
      <c r="Q3" s="44">
        <f t="shared" si="0"/>
        <v>3</v>
      </c>
      <c r="R3" s="44">
        <f t="shared" si="0"/>
        <v>0</v>
      </c>
      <c r="S3" s="44">
        <f t="shared" si="0"/>
        <v>6</v>
      </c>
      <c r="T3" s="44">
        <f t="shared" si="0"/>
        <v>0</v>
      </c>
    </row>
    <row r="4" spans="1:20" ht="82.7" customHeight="1" thickTop="1" x14ac:dyDescent="0.3">
      <c r="A4" s="273" t="s">
        <v>15</v>
      </c>
      <c r="B4" s="274"/>
      <c r="C4" s="57">
        <f>'학교별04.10'!C22</f>
        <v>71</v>
      </c>
      <c r="D4" s="57">
        <f>'학교별04.10'!D22</f>
        <v>0</v>
      </c>
      <c r="E4" s="58">
        <f>'학교별04.10'!E22</f>
        <v>8</v>
      </c>
      <c r="F4" s="59">
        <f>'학교별04.10'!F22</f>
        <v>34</v>
      </c>
      <c r="G4" s="159"/>
      <c r="H4" s="49" t="s">
        <v>15</v>
      </c>
      <c r="I4" s="47">
        <f>'학교별04.10'!H22</f>
        <v>0</v>
      </c>
      <c r="J4" s="45">
        <f>'학교별04.10'!I22</f>
        <v>0</v>
      </c>
      <c r="K4" s="47">
        <f>'학교별04.10'!J22</f>
        <v>0</v>
      </c>
      <c r="L4" s="45">
        <f>'학교별04.10'!K22</f>
        <v>1</v>
      </c>
      <c r="M4" s="47">
        <f>'학교별04.10'!L22</f>
        <v>3</v>
      </c>
      <c r="N4" s="45">
        <f>'학교별04.10'!M22</f>
        <v>1</v>
      </c>
      <c r="O4" s="47">
        <f>'학교별04.10'!N22</f>
        <v>0</v>
      </c>
      <c r="P4" s="45">
        <f>'학교별04.10'!O22</f>
        <v>1</v>
      </c>
      <c r="Q4" s="47">
        <f>'학교별04.10'!P22</f>
        <v>0</v>
      </c>
      <c r="R4" s="45">
        <f>'학교별04.10'!Q22</f>
        <v>0</v>
      </c>
      <c r="S4" s="47">
        <f>'학교별04.10'!R22</f>
        <v>1</v>
      </c>
      <c r="T4" s="87">
        <f>'학교별04.10'!S22</f>
        <v>0</v>
      </c>
    </row>
    <row r="5" spans="1:20" ht="82.7" customHeight="1" thickBot="1" x14ac:dyDescent="0.35">
      <c r="A5" s="275"/>
      <c r="B5" s="276"/>
      <c r="C5" s="79"/>
      <c r="D5" s="60"/>
      <c r="E5" s="62"/>
      <c r="F5" s="61"/>
      <c r="G5" s="159"/>
      <c r="H5" s="40"/>
      <c r="I5" s="83"/>
      <c r="J5" s="81"/>
      <c r="K5" s="95"/>
      <c r="L5" s="81"/>
      <c r="M5" s="84"/>
      <c r="N5" s="81"/>
      <c r="O5" s="83"/>
      <c r="P5" s="42"/>
      <c r="Q5" s="41"/>
      <c r="R5" s="42"/>
      <c r="S5" s="83"/>
      <c r="T5" s="88"/>
    </row>
    <row r="6" spans="1:20" ht="18" thickTop="1" thickBot="1" x14ac:dyDescent="0.35">
      <c r="H6" s="33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138"/>
    </row>
    <row r="7" spans="1:20" ht="82.7" customHeight="1" thickTop="1" x14ac:dyDescent="0.3">
      <c r="A7" s="277" t="s">
        <v>26</v>
      </c>
      <c r="B7" s="278"/>
      <c r="C7" s="47">
        <f>'학교별04.10'!C43</f>
        <v>18</v>
      </c>
      <c r="D7" s="47">
        <f>'학교별04.10'!D43</f>
        <v>0</v>
      </c>
      <c r="E7" s="45">
        <f>'학교별04.10'!E43</f>
        <v>4</v>
      </c>
      <c r="F7" s="45">
        <f>'학교별04.10'!F43</f>
        <v>0</v>
      </c>
      <c r="G7" s="37"/>
      <c r="H7" s="55" t="s">
        <v>17</v>
      </c>
      <c r="I7" s="48">
        <f>'학교별04.10'!H43</f>
        <v>0</v>
      </c>
      <c r="J7" s="46">
        <f>'학교별04.10'!I43</f>
        <v>0</v>
      </c>
      <c r="K7" s="48">
        <f>'학교별04.10'!J43</f>
        <v>1</v>
      </c>
      <c r="L7" s="46">
        <f>'학교별04.10'!K43</f>
        <v>0</v>
      </c>
      <c r="M7" s="48">
        <f>'학교별04.10'!L43</f>
        <v>2</v>
      </c>
      <c r="N7" s="46">
        <f>'학교별04.10'!M43</f>
        <v>0</v>
      </c>
      <c r="O7" s="48">
        <f>'학교별04.10'!N43</f>
        <v>0</v>
      </c>
      <c r="P7" s="46">
        <f>'학교별04.10'!O43</f>
        <v>0</v>
      </c>
      <c r="Q7" s="48">
        <f>'학교별04.10'!P43</f>
        <v>0</v>
      </c>
      <c r="R7" s="46">
        <f>'학교별04.10'!Q43</f>
        <v>0</v>
      </c>
      <c r="S7" s="48">
        <f>'학교별04.10'!R43</f>
        <v>0</v>
      </c>
      <c r="T7" s="90">
        <f>'학교별04.10'!S43</f>
        <v>0</v>
      </c>
    </row>
    <row r="8" spans="1:20" ht="82.7" customHeight="1" thickBot="1" x14ac:dyDescent="0.35">
      <c r="A8" s="261"/>
      <c r="B8" s="262"/>
      <c r="C8" s="75"/>
      <c r="D8" s="96"/>
      <c r="E8" s="78"/>
      <c r="F8" s="38"/>
      <c r="G8" s="39"/>
      <c r="H8" s="159"/>
      <c r="I8" s="41"/>
      <c r="J8" s="42"/>
      <c r="K8" s="41"/>
      <c r="L8" s="42"/>
      <c r="M8" s="41"/>
      <c r="N8" s="42"/>
      <c r="O8" s="41"/>
      <c r="P8" s="42"/>
      <c r="Q8" s="41"/>
      <c r="R8" s="98"/>
      <c r="S8" s="41"/>
      <c r="T8" s="88"/>
    </row>
    <row r="9" spans="1:20" ht="18" thickTop="1" thickBot="1" x14ac:dyDescent="0.35">
      <c r="H9" s="33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138"/>
    </row>
    <row r="10" spans="1:20" ht="82.7" customHeight="1" thickTop="1" x14ac:dyDescent="0.3">
      <c r="A10" s="263" t="s">
        <v>16</v>
      </c>
      <c r="B10" s="264"/>
      <c r="C10" s="65">
        <f>'학교별04.10'!C52</f>
        <v>0</v>
      </c>
      <c r="D10" s="65">
        <f>'학교별04.10'!D52</f>
        <v>0</v>
      </c>
      <c r="E10" s="66">
        <f>'학교별04.10'!E52</f>
        <v>0</v>
      </c>
      <c r="F10" s="67">
        <f>'학교별04.10'!F52</f>
        <v>0</v>
      </c>
      <c r="G10" s="159"/>
      <c r="H10" s="136" t="s">
        <v>25</v>
      </c>
      <c r="I10" s="127">
        <f>'학교별04.10'!H52</f>
        <v>2</v>
      </c>
      <c r="J10" s="128">
        <f>'학교별04.10'!I52</f>
        <v>0</v>
      </c>
      <c r="K10" s="127">
        <f>'학교별04.10'!J52</f>
        <v>0</v>
      </c>
      <c r="L10" s="128">
        <f>'학교별04.10'!K52</f>
        <v>4</v>
      </c>
      <c r="M10" s="127">
        <f>'학교별04.10'!L52</f>
        <v>5</v>
      </c>
      <c r="N10" s="128">
        <f>'학교별04.10'!M52</f>
        <v>2</v>
      </c>
      <c r="O10" s="127">
        <f>'학교별04.10'!N52</f>
        <v>0</v>
      </c>
      <c r="P10" s="128">
        <f>'학교별04.10'!O52</f>
        <v>0</v>
      </c>
      <c r="Q10" s="127">
        <f>'학교별04.10'!P52</f>
        <v>0</v>
      </c>
      <c r="R10" s="128">
        <f>'학교별04.10'!Q52</f>
        <v>0</v>
      </c>
      <c r="S10" s="127">
        <f>'학교별04.10'!R52</f>
        <v>2</v>
      </c>
      <c r="T10" s="137">
        <f>'학교별04.10'!S52</f>
        <v>0</v>
      </c>
    </row>
    <row r="11" spans="1:20" ht="82.7" customHeight="1" thickBot="1" x14ac:dyDescent="0.35">
      <c r="A11" s="265"/>
      <c r="B11" s="266"/>
      <c r="C11" s="68"/>
      <c r="D11" s="69"/>
      <c r="E11" s="144"/>
      <c r="F11" s="71"/>
      <c r="H11" s="33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138"/>
    </row>
    <row r="12" spans="1:20" ht="18" thickTop="1" thickBot="1" x14ac:dyDescent="0.35">
      <c r="H12" s="33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138"/>
    </row>
    <row r="13" spans="1:20" ht="82.7" customHeight="1" thickTop="1" x14ac:dyDescent="0.3">
      <c r="A13" s="282" t="s">
        <v>175</v>
      </c>
      <c r="B13" s="283"/>
      <c r="C13" s="129">
        <f>'학교별04.10'!C62</f>
        <v>0</v>
      </c>
      <c r="D13" s="129">
        <f>'학교별04.10'!D62</f>
        <v>0</v>
      </c>
      <c r="E13" s="130">
        <f>'학교별04.10'!E62</f>
        <v>0</v>
      </c>
      <c r="F13" s="131">
        <f>'학교별04.10'!F62</f>
        <v>0</v>
      </c>
      <c r="G13" s="159"/>
      <c r="H13" s="136" t="s">
        <v>174</v>
      </c>
      <c r="I13" s="127">
        <f>'학교별04.10'!H62</f>
        <v>1</v>
      </c>
      <c r="J13" s="128">
        <f>'학교별04.10'!I62</f>
        <v>0</v>
      </c>
      <c r="K13" s="127">
        <f>'학교별04.10'!J62</f>
        <v>2</v>
      </c>
      <c r="L13" s="128">
        <f>'학교별04.10'!K62</f>
        <v>3</v>
      </c>
      <c r="M13" s="127">
        <f>'학교별04.10'!L62</f>
        <v>2</v>
      </c>
      <c r="N13" s="128">
        <f>'학교별04.10'!M62</f>
        <v>0</v>
      </c>
      <c r="O13" s="127">
        <f>'학교별04.10'!N62</f>
        <v>0</v>
      </c>
      <c r="P13" s="128">
        <f>'학교별04.10'!O62</f>
        <v>0</v>
      </c>
      <c r="Q13" s="127">
        <f>'학교별04.10'!P62</f>
        <v>3</v>
      </c>
      <c r="R13" s="128">
        <f>'학교별04.10'!Q62</f>
        <v>0</v>
      </c>
      <c r="S13" s="127">
        <f>'학교별04.10'!R62</f>
        <v>3</v>
      </c>
      <c r="T13" s="137">
        <f>'학교별04.10'!S62</f>
        <v>0</v>
      </c>
    </row>
    <row r="14" spans="1:20" ht="82.7" customHeight="1" thickBot="1" x14ac:dyDescent="0.35">
      <c r="A14" s="280"/>
      <c r="B14" s="281"/>
      <c r="C14" s="132"/>
      <c r="D14" s="133"/>
      <c r="E14" s="134"/>
      <c r="F14" s="135"/>
      <c r="H14" s="64"/>
      <c r="I14" s="14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152"/>
    </row>
    <row r="15" spans="1:20" ht="17.25" thickTop="1" x14ac:dyDescent="0.3"/>
    <row r="17" spans="8:8" x14ac:dyDescent="0.3">
      <c r="H17" t="s">
        <v>83</v>
      </c>
    </row>
  </sheetData>
  <mergeCells count="13">
    <mergeCell ref="A14:B14"/>
    <mergeCell ref="A5:B5"/>
    <mergeCell ref="A7:B7"/>
    <mergeCell ref="A8:B8"/>
    <mergeCell ref="A10:B10"/>
    <mergeCell ref="A11:B11"/>
    <mergeCell ref="A13:B13"/>
    <mergeCell ref="A1:B2"/>
    <mergeCell ref="C1:D1"/>
    <mergeCell ref="E1:F1"/>
    <mergeCell ref="H1:H2"/>
    <mergeCell ref="A3:B3"/>
    <mergeCell ref="A4:B4"/>
  </mergeCells>
  <phoneticPr fontId="44" type="noConversion"/>
  <conditionalFormatting sqref="A4:A5">
    <cfRule type="duplicateValues" dxfId="99" priority="2"/>
  </conditionalFormatting>
  <conditionalFormatting sqref="A7:A8">
    <cfRule type="duplicateValues" dxfId="98" priority="3"/>
  </conditionalFormatting>
  <conditionalFormatting sqref="A13">
    <cfRule type="duplicateValues" dxfId="97" priority="1"/>
  </conditionalFormatting>
  <conditionalFormatting sqref="A10">
    <cfRule type="duplicateValues" dxfId="96" priority="4"/>
  </conditionalFormatting>
  <printOptions horizontalCentered="1" verticalCentered="1"/>
  <pageMargins left="0" right="0" top="7.874015748031496E-2" bottom="7.874015748031496E-2" header="0" footer="0"/>
  <pageSetup paperSize="9" scale="56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79"/>
  <sheetViews>
    <sheetView zoomScale="70" zoomScaleNormal="70" workbookViewId="0">
      <pane ySplit="3" topLeftCell="A19" activePane="bottomLeft" state="frozen"/>
      <selection activeCell="V43" sqref="V43"/>
      <selection pane="bottomLeft" activeCell="L29" sqref="L29"/>
    </sheetView>
  </sheetViews>
  <sheetFormatPr defaultRowHeight="16.5" x14ac:dyDescent="0.3"/>
  <cols>
    <col min="1" max="1" width="9" customWidth="1"/>
    <col min="2" max="2" width="33.75" customWidth="1"/>
    <col min="3" max="3" width="10.75" customWidth="1"/>
    <col min="4" max="4" width="10" customWidth="1"/>
    <col min="5" max="5" width="10.5" customWidth="1"/>
    <col min="6" max="6" width="10" customWidth="1"/>
    <col min="7" max="7" width="4.125" customWidth="1"/>
    <col min="8" max="19" width="10.875" customWidth="1"/>
    <col min="20" max="20" width="5.5" customWidth="1"/>
    <col min="21" max="21" width="10.875" bestFit="1" customWidth="1"/>
  </cols>
  <sheetData>
    <row r="1" spans="1:23" ht="113.25" customHeight="1" x14ac:dyDescent="0.3">
      <c r="A1" s="222" t="s">
        <v>195</v>
      </c>
      <c r="B1" s="223"/>
      <c r="C1" s="226" t="s">
        <v>0</v>
      </c>
      <c r="D1" s="227"/>
      <c r="E1" s="228" t="s">
        <v>19</v>
      </c>
      <c r="F1" s="228"/>
      <c r="G1" s="8"/>
      <c r="H1" s="72" t="s">
        <v>20</v>
      </c>
      <c r="I1" s="160" t="s">
        <v>21</v>
      </c>
      <c r="J1" s="5" t="s">
        <v>7</v>
      </c>
      <c r="K1" s="160" t="s">
        <v>4</v>
      </c>
      <c r="L1" s="5" t="s">
        <v>6</v>
      </c>
      <c r="M1" s="160" t="s">
        <v>5</v>
      </c>
      <c r="N1" s="5" t="s">
        <v>9</v>
      </c>
      <c r="O1" s="160" t="s">
        <v>119</v>
      </c>
      <c r="P1" s="5" t="s">
        <v>8</v>
      </c>
      <c r="Q1" s="160" t="s">
        <v>12</v>
      </c>
      <c r="R1" s="5" t="s">
        <v>95</v>
      </c>
      <c r="S1" s="160" t="s">
        <v>11</v>
      </c>
    </row>
    <row r="2" spans="1:23" ht="43.5" customHeight="1" x14ac:dyDescent="0.3">
      <c r="A2" s="224"/>
      <c r="B2" s="225"/>
      <c r="C2" s="73" t="s">
        <v>2</v>
      </c>
      <c r="D2" s="21" t="s">
        <v>1</v>
      </c>
      <c r="E2" s="1" t="s">
        <v>2</v>
      </c>
      <c r="F2" s="1" t="s">
        <v>1</v>
      </c>
      <c r="G2" s="9"/>
      <c r="H2" s="6" t="s">
        <v>3</v>
      </c>
      <c r="I2" s="1" t="s">
        <v>1</v>
      </c>
      <c r="J2" s="6" t="s">
        <v>3</v>
      </c>
      <c r="K2" s="1" t="s">
        <v>1</v>
      </c>
      <c r="L2" s="6" t="s">
        <v>3</v>
      </c>
      <c r="M2" s="1" t="s">
        <v>1</v>
      </c>
      <c r="N2" s="6" t="s">
        <v>3</v>
      </c>
      <c r="O2" s="1" t="s">
        <v>1</v>
      </c>
      <c r="P2" s="6" t="s">
        <v>3</v>
      </c>
      <c r="Q2" s="1" t="s">
        <v>1</v>
      </c>
      <c r="R2" s="6" t="s">
        <v>3</v>
      </c>
      <c r="S2" s="1" t="s">
        <v>1</v>
      </c>
    </row>
    <row r="3" spans="1:23" ht="26.25" x14ac:dyDescent="0.3">
      <c r="A3" s="97" t="s">
        <v>14</v>
      </c>
      <c r="B3" s="12" t="s">
        <v>10</v>
      </c>
      <c r="C3" s="29">
        <f>C22+C43+C52+C62</f>
        <v>93</v>
      </c>
      <c r="D3" s="29">
        <f>D22+D43+D52+D62</f>
        <v>0</v>
      </c>
      <c r="E3" s="29">
        <f>E22+E43+E52+E62</f>
        <v>14</v>
      </c>
      <c r="F3" s="2">
        <f>F22+F43+F52+F62</f>
        <v>44</v>
      </c>
      <c r="G3" s="161"/>
      <c r="H3" s="2">
        <f t="shared" ref="H3:S3" si="0">H22+H43+H52+H62</f>
        <v>0</v>
      </c>
      <c r="I3" s="2">
        <f t="shared" si="0"/>
        <v>0</v>
      </c>
      <c r="J3" s="2">
        <f t="shared" si="0"/>
        <v>3</v>
      </c>
      <c r="K3" s="2">
        <f t="shared" si="0"/>
        <v>6</v>
      </c>
      <c r="L3" s="2">
        <f t="shared" si="0"/>
        <v>2</v>
      </c>
      <c r="M3" s="2">
        <f t="shared" si="0"/>
        <v>4</v>
      </c>
      <c r="N3" s="2">
        <f t="shared" si="0"/>
        <v>3</v>
      </c>
      <c r="O3" s="2">
        <f t="shared" si="0"/>
        <v>0</v>
      </c>
      <c r="P3" s="2">
        <f t="shared" si="0"/>
        <v>1</v>
      </c>
      <c r="Q3" s="2">
        <f t="shared" si="0"/>
        <v>0</v>
      </c>
      <c r="R3" s="2">
        <f t="shared" si="0"/>
        <v>3</v>
      </c>
      <c r="S3" s="2">
        <f t="shared" si="0"/>
        <v>0</v>
      </c>
      <c r="T3" s="4">
        <f>D3*10</f>
        <v>0</v>
      </c>
      <c r="U3">
        <f>F3*10+E3</f>
        <v>454</v>
      </c>
      <c r="V3" s="4">
        <f>SUM(H3:Q3)</f>
        <v>19</v>
      </c>
      <c r="W3" s="11">
        <f>SUM(T3:V3)</f>
        <v>473</v>
      </c>
    </row>
    <row r="4" spans="1:23" ht="24" customHeight="1" x14ac:dyDescent="0.3">
      <c r="A4" s="229" t="s">
        <v>34</v>
      </c>
      <c r="B4" s="3" t="s">
        <v>160</v>
      </c>
      <c r="C4" s="7"/>
      <c r="D4" s="7"/>
      <c r="E4" s="50"/>
      <c r="F4" s="50"/>
      <c r="G4" s="161"/>
      <c r="H4" s="7"/>
      <c r="I4" s="50"/>
      <c r="J4" s="10"/>
      <c r="K4" s="50"/>
      <c r="L4" s="7"/>
      <c r="M4" s="50"/>
      <c r="N4" s="10"/>
      <c r="O4" s="50"/>
      <c r="P4" s="7"/>
      <c r="Q4" s="50"/>
      <c r="R4" s="7"/>
      <c r="S4" s="50"/>
    </row>
    <row r="5" spans="1:23" ht="24" customHeight="1" x14ac:dyDescent="0.3">
      <c r="A5" s="230"/>
      <c r="B5" s="3" t="s">
        <v>150</v>
      </c>
      <c r="C5" s="7">
        <v>2</v>
      </c>
      <c r="D5" s="7"/>
      <c r="E5" s="50"/>
      <c r="F5" s="50">
        <v>4</v>
      </c>
      <c r="G5" s="161"/>
      <c r="H5" s="7"/>
      <c r="I5" s="50"/>
      <c r="J5" s="10"/>
      <c r="K5" s="50"/>
      <c r="L5" s="7"/>
      <c r="M5" s="50"/>
      <c r="N5" s="10"/>
      <c r="O5" s="50"/>
      <c r="P5" s="7"/>
      <c r="Q5" s="50"/>
      <c r="R5" s="7"/>
      <c r="S5" s="50"/>
    </row>
    <row r="6" spans="1:23" ht="24" customHeight="1" x14ac:dyDescent="0.3">
      <c r="A6" s="230"/>
      <c r="B6" s="3" t="s">
        <v>149</v>
      </c>
      <c r="C6" s="7">
        <v>3</v>
      </c>
      <c r="D6" s="7"/>
      <c r="E6" s="50"/>
      <c r="F6" s="50">
        <v>8</v>
      </c>
      <c r="G6" s="161"/>
      <c r="H6" s="7"/>
      <c r="I6" s="50"/>
      <c r="J6" s="10"/>
      <c r="K6" s="50"/>
      <c r="L6" s="7"/>
      <c r="M6" s="50"/>
      <c r="N6" s="10"/>
      <c r="O6" s="50"/>
      <c r="P6" s="7"/>
      <c r="Q6" s="50"/>
      <c r="R6" s="7"/>
      <c r="S6" s="50"/>
    </row>
    <row r="7" spans="1:23" ht="24" customHeight="1" x14ac:dyDescent="0.3">
      <c r="A7" s="230"/>
      <c r="B7" s="3" t="s">
        <v>156</v>
      </c>
      <c r="C7" s="7"/>
      <c r="D7" s="7"/>
      <c r="E7" s="50"/>
      <c r="F7" s="50"/>
      <c r="G7" s="161"/>
      <c r="H7" s="7"/>
      <c r="I7" s="50"/>
      <c r="J7" s="10"/>
      <c r="K7" s="50">
        <v>1</v>
      </c>
      <c r="L7" s="7"/>
      <c r="M7" s="50"/>
      <c r="N7" s="10"/>
      <c r="O7" s="50"/>
      <c r="P7" s="7"/>
      <c r="Q7" s="50"/>
      <c r="R7" s="7"/>
      <c r="S7" s="50"/>
    </row>
    <row r="8" spans="1:23" ht="24" customHeight="1" x14ac:dyDescent="0.3">
      <c r="A8" s="230"/>
      <c r="B8" s="3" t="s">
        <v>148</v>
      </c>
      <c r="C8" s="77"/>
      <c r="D8" s="7"/>
      <c r="E8" s="50"/>
      <c r="F8" s="50"/>
      <c r="G8" s="63"/>
      <c r="H8" s="7"/>
      <c r="I8" s="50"/>
      <c r="J8" s="10"/>
      <c r="K8" s="50"/>
      <c r="L8" s="7"/>
      <c r="M8" s="50"/>
      <c r="N8" s="10"/>
      <c r="O8" s="50"/>
      <c r="P8" s="7"/>
      <c r="Q8" s="50"/>
      <c r="R8" s="7"/>
      <c r="S8" s="50"/>
    </row>
    <row r="9" spans="1:23" ht="24" customHeight="1" x14ac:dyDescent="0.3">
      <c r="A9" s="230"/>
      <c r="B9" s="3" t="s">
        <v>153</v>
      </c>
      <c r="C9" s="7"/>
      <c r="D9" s="7"/>
      <c r="E9" s="50"/>
      <c r="F9" s="50">
        <v>2</v>
      </c>
      <c r="G9" s="161"/>
      <c r="H9" s="7"/>
      <c r="I9" s="50"/>
      <c r="J9" s="10"/>
      <c r="K9" s="50"/>
      <c r="L9" s="7"/>
      <c r="M9" s="50"/>
      <c r="N9" s="10"/>
      <c r="O9" s="50"/>
      <c r="P9" s="7"/>
      <c r="Q9" s="50"/>
      <c r="R9" s="7"/>
      <c r="S9" s="50"/>
    </row>
    <row r="10" spans="1:23" ht="24" customHeight="1" x14ac:dyDescent="0.3">
      <c r="A10" s="230"/>
      <c r="B10" s="3" t="s">
        <v>158</v>
      </c>
      <c r="C10" s="7"/>
      <c r="D10" s="7"/>
      <c r="E10" s="50"/>
      <c r="F10" s="50"/>
      <c r="G10" s="161"/>
      <c r="H10" s="7"/>
      <c r="I10" s="50"/>
      <c r="J10" s="10"/>
      <c r="K10" s="50"/>
      <c r="L10" s="7">
        <v>1</v>
      </c>
      <c r="M10" s="50"/>
      <c r="N10" s="10"/>
      <c r="O10" s="50"/>
      <c r="P10" s="7"/>
      <c r="Q10" s="50"/>
      <c r="R10" s="7">
        <v>1</v>
      </c>
      <c r="S10" s="50"/>
    </row>
    <row r="11" spans="1:23" ht="24" customHeight="1" x14ac:dyDescent="0.3">
      <c r="A11" s="230"/>
      <c r="B11" s="3" t="s">
        <v>152</v>
      </c>
      <c r="C11" s="7"/>
      <c r="D11" s="7"/>
      <c r="E11" s="50"/>
      <c r="F11" s="50"/>
      <c r="G11" s="161"/>
      <c r="H11" s="7"/>
      <c r="I11" s="50"/>
      <c r="J11" s="10"/>
      <c r="K11" s="50"/>
      <c r="L11" s="7"/>
      <c r="M11" s="50"/>
      <c r="N11" s="10"/>
      <c r="O11" s="50"/>
      <c r="P11" s="7"/>
      <c r="Q11" s="50"/>
      <c r="R11" s="7"/>
      <c r="S11" s="50"/>
    </row>
    <row r="12" spans="1:23" ht="24" customHeight="1" x14ac:dyDescent="0.3">
      <c r="A12" s="230"/>
      <c r="B12" s="3" t="s">
        <v>161</v>
      </c>
      <c r="C12" s="7"/>
      <c r="D12" s="77"/>
      <c r="E12" s="76"/>
      <c r="F12" s="50"/>
      <c r="G12" s="80"/>
      <c r="H12" s="7"/>
      <c r="I12" s="76"/>
      <c r="J12" s="7"/>
      <c r="K12" s="50"/>
      <c r="L12" s="7"/>
      <c r="M12" s="50"/>
      <c r="N12" s="10"/>
      <c r="O12" s="50"/>
      <c r="P12" s="7"/>
      <c r="Q12" s="76"/>
      <c r="R12" s="10"/>
      <c r="S12" s="76"/>
    </row>
    <row r="13" spans="1:23" ht="24" customHeight="1" x14ac:dyDescent="0.3">
      <c r="A13" s="230"/>
      <c r="B13" s="3" t="s">
        <v>154</v>
      </c>
      <c r="C13" s="7">
        <v>2</v>
      </c>
      <c r="D13" s="7"/>
      <c r="E13" s="50"/>
      <c r="F13" s="50">
        <v>8</v>
      </c>
      <c r="G13" s="161"/>
      <c r="H13" s="7"/>
      <c r="I13" s="50"/>
      <c r="J13" s="10">
        <v>1</v>
      </c>
      <c r="K13" s="50"/>
      <c r="L13" s="7"/>
      <c r="M13" s="50">
        <v>1</v>
      </c>
      <c r="N13" s="10"/>
      <c r="O13" s="50"/>
      <c r="P13" s="7"/>
      <c r="Q13" s="50"/>
      <c r="R13" s="7"/>
      <c r="S13" s="50"/>
    </row>
    <row r="14" spans="1:23" ht="24" customHeight="1" x14ac:dyDescent="0.3">
      <c r="A14" s="230"/>
      <c r="B14" s="100" t="s">
        <v>164</v>
      </c>
      <c r="C14" s="7">
        <v>50</v>
      </c>
      <c r="D14" s="7"/>
      <c r="E14" s="50">
        <v>5</v>
      </c>
      <c r="F14" s="50"/>
      <c r="G14" s="161"/>
      <c r="H14" s="7"/>
      <c r="I14" s="50"/>
      <c r="J14" s="10"/>
      <c r="K14" s="50"/>
      <c r="L14" s="7"/>
      <c r="M14" s="50"/>
      <c r="N14" s="10"/>
      <c r="O14" s="50"/>
      <c r="P14" s="7"/>
      <c r="Q14" s="50"/>
      <c r="R14" s="7"/>
      <c r="S14" s="50"/>
    </row>
    <row r="15" spans="1:23" ht="24" customHeight="1" x14ac:dyDescent="0.3">
      <c r="A15" s="230"/>
      <c r="B15" s="3" t="s">
        <v>159</v>
      </c>
      <c r="C15" s="7"/>
      <c r="D15" s="7"/>
      <c r="E15" s="50"/>
      <c r="F15" s="50"/>
      <c r="G15" s="161"/>
      <c r="H15" s="7"/>
      <c r="I15" s="50"/>
      <c r="J15" s="10"/>
      <c r="K15" s="50"/>
      <c r="L15" s="7"/>
      <c r="M15" s="50"/>
      <c r="N15" s="10"/>
      <c r="O15" s="50"/>
      <c r="P15" s="7"/>
      <c r="Q15" s="50"/>
      <c r="R15" s="7"/>
      <c r="S15" s="50"/>
    </row>
    <row r="16" spans="1:23" ht="24" customHeight="1" x14ac:dyDescent="0.3">
      <c r="A16" s="230"/>
      <c r="B16" s="3" t="s">
        <v>147</v>
      </c>
      <c r="C16" s="7"/>
      <c r="D16" s="7"/>
      <c r="E16" s="50"/>
      <c r="F16" s="50"/>
      <c r="G16" s="161"/>
      <c r="H16" s="7"/>
      <c r="I16" s="50"/>
      <c r="J16" s="10"/>
      <c r="K16" s="50"/>
      <c r="L16" s="7"/>
      <c r="M16" s="50"/>
      <c r="N16" s="10"/>
      <c r="O16" s="50"/>
      <c r="P16" s="7"/>
      <c r="Q16" s="50"/>
      <c r="R16" s="7"/>
      <c r="S16" s="50"/>
    </row>
    <row r="17" spans="1:25" ht="24" customHeight="1" x14ac:dyDescent="0.3">
      <c r="A17" s="230"/>
      <c r="B17" s="3" t="s">
        <v>163</v>
      </c>
      <c r="C17" s="7"/>
      <c r="D17" s="7"/>
      <c r="E17" s="50"/>
      <c r="F17" s="50"/>
      <c r="G17" s="161"/>
      <c r="H17" s="7"/>
      <c r="I17" s="50"/>
      <c r="J17" s="10"/>
      <c r="K17" s="50"/>
      <c r="L17" s="7"/>
      <c r="M17" s="50"/>
      <c r="N17" s="10"/>
      <c r="O17" s="50"/>
      <c r="P17" s="7"/>
      <c r="Q17" s="50"/>
      <c r="R17" s="7"/>
      <c r="S17" s="50"/>
    </row>
    <row r="18" spans="1:25" ht="24" customHeight="1" x14ac:dyDescent="0.3">
      <c r="A18" s="230"/>
      <c r="B18" s="3" t="s">
        <v>162</v>
      </c>
      <c r="C18" s="7">
        <v>10</v>
      </c>
      <c r="D18" s="7"/>
      <c r="E18" s="50">
        <v>3</v>
      </c>
      <c r="F18" s="50"/>
      <c r="G18" s="161"/>
      <c r="H18" s="7"/>
      <c r="I18" s="50"/>
      <c r="J18" s="10"/>
      <c r="K18" s="50"/>
      <c r="L18" s="7"/>
      <c r="M18" s="50"/>
      <c r="N18" s="10"/>
      <c r="O18" s="50"/>
      <c r="P18" s="7"/>
      <c r="Q18" s="50"/>
      <c r="R18" s="7"/>
      <c r="S18" s="50"/>
    </row>
    <row r="19" spans="1:25" ht="24" customHeight="1" x14ac:dyDescent="0.3">
      <c r="A19" s="230"/>
      <c r="B19" s="3" t="s">
        <v>155</v>
      </c>
      <c r="C19" s="7"/>
      <c r="D19" s="7"/>
      <c r="E19" s="50"/>
      <c r="F19" s="50">
        <v>5</v>
      </c>
      <c r="G19" s="161"/>
      <c r="H19" s="7"/>
      <c r="I19" s="50"/>
      <c r="J19" s="10"/>
      <c r="K19" s="50"/>
      <c r="L19" s="7"/>
      <c r="M19" s="50"/>
      <c r="N19" s="10"/>
      <c r="O19" s="50"/>
      <c r="P19" s="7"/>
      <c r="Q19" s="50"/>
      <c r="R19" s="7"/>
      <c r="S19" s="50"/>
    </row>
    <row r="20" spans="1:25" ht="24" customHeight="1" x14ac:dyDescent="0.3">
      <c r="A20" s="230"/>
      <c r="B20" s="3" t="s">
        <v>157</v>
      </c>
      <c r="C20" s="7">
        <v>3</v>
      </c>
      <c r="D20" s="7"/>
      <c r="E20" s="50"/>
      <c r="F20" s="50">
        <v>2</v>
      </c>
      <c r="G20" s="161"/>
      <c r="H20" s="7"/>
      <c r="I20" s="50"/>
      <c r="J20" s="10"/>
      <c r="K20" s="50"/>
      <c r="L20" s="7"/>
      <c r="M20" s="50"/>
      <c r="N20" s="10"/>
      <c r="O20" s="50"/>
      <c r="P20" s="7"/>
      <c r="Q20" s="50"/>
      <c r="R20" s="7"/>
      <c r="S20" s="50"/>
    </row>
    <row r="21" spans="1:25" ht="24" customHeight="1" x14ac:dyDescent="0.3">
      <c r="A21" s="230"/>
      <c r="B21" s="3" t="s">
        <v>151</v>
      </c>
      <c r="C21" s="7"/>
      <c r="D21" s="7"/>
      <c r="E21" s="50"/>
      <c r="F21" s="50">
        <v>5</v>
      </c>
      <c r="G21" s="161"/>
      <c r="H21" s="7"/>
      <c r="I21" s="50"/>
      <c r="J21" s="10"/>
      <c r="K21" s="50"/>
      <c r="L21" s="7"/>
      <c r="M21" s="50"/>
      <c r="N21" s="10"/>
      <c r="O21" s="50"/>
      <c r="P21" s="7"/>
      <c r="Q21" s="50"/>
      <c r="R21" s="7"/>
      <c r="S21" s="50"/>
    </row>
    <row r="22" spans="1:25" ht="27" thickBot="1" x14ac:dyDescent="0.35">
      <c r="A22" s="231"/>
      <c r="B22" s="31"/>
      <c r="C22" s="31">
        <f>SUM(C4:C21)</f>
        <v>70</v>
      </c>
      <c r="D22" s="31">
        <f>SUM(D4:D21)</f>
        <v>0</v>
      </c>
      <c r="E22" s="31">
        <f>SUM(E4:E21)</f>
        <v>8</v>
      </c>
      <c r="F22" s="31">
        <f>SUM(F4:F21)</f>
        <v>34</v>
      </c>
      <c r="G22" s="161"/>
      <c r="H22" s="2">
        <f t="shared" ref="H22:S22" si="1">SUM(H4:H21)</f>
        <v>0</v>
      </c>
      <c r="I22" s="2">
        <f t="shared" si="1"/>
        <v>0</v>
      </c>
      <c r="J22" s="2">
        <f t="shared" si="1"/>
        <v>1</v>
      </c>
      <c r="K22" s="2">
        <f t="shared" si="1"/>
        <v>1</v>
      </c>
      <c r="L22" s="2">
        <f t="shared" si="1"/>
        <v>1</v>
      </c>
      <c r="M22" s="2">
        <f t="shared" si="1"/>
        <v>1</v>
      </c>
      <c r="N22" s="2">
        <f t="shared" si="1"/>
        <v>0</v>
      </c>
      <c r="O22" s="2">
        <f t="shared" si="1"/>
        <v>0</v>
      </c>
      <c r="P22" s="2">
        <f t="shared" si="1"/>
        <v>0</v>
      </c>
      <c r="Q22" s="2">
        <f t="shared" si="1"/>
        <v>0</v>
      </c>
      <c r="R22" s="2">
        <f t="shared" si="1"/>
        <v>1</v>
      </c>
      <c r="S22" s="2">
        <f t="shared" si="1"/>
        <v>0</v>
      </c>
      <c r="U22" s="35"/>
      <c r="V22" s="18"/>
      <c r="W22" s="18"/>
    </row>
    <row r="23" spans="1:25" ht="24" customHeight="1" thickTop="1" x14ac:dyDescent="0.3">
      <c r="A23" s="286" t="s">
        <v>27</v>
      </c>
      <c r="B23" s="23" t="s">
        <v>187</v>
      </c>
      <c r="C23" s="28"/>
      <c r="D23" s="28"/>
      <c r="E23" s="15"/>
      <c r="F23" s="16"/>
      <c r="G23" s="25"/>
      <c r="H23" s="43"/>
      <c r="I23" s="50"/>
      <c r="J23" s="10"/>
      <c r="K23" s="50"/>
      <c r="L23" s="7"/>
      <c r="M23" s="50"/>
      <c r="N23" s="7"/>
      <c r="O23" s="50"/>
      <c r="P23" s="7"/>
      <c r="Q23" s="50"/>
      <c r="R23" s="7"/>
      <c r="S23" s="50"/>
      <c r="U23" s="18"/>
      <c r="V23" s="18"/>
      <c r="W23" s="18"/>
      <c r="X23" s="18"/>
      <c r="Y23" s="18"/>
    </row>
    <row r="24" spans="1:25" ht="24" customHeight="1" x14ac:dyDescent="0.3">
      <c r="A24" s="287"/>
      <c r="B24" s="24" t="s">
        <v>188</v>
      </c>
      <c r="C24" s="32">
        <v>3</v>
      </c>
      <c r="D24" s="32"/>
      <c r="E24" s="54"/>
      <c r="F24" s="22">
        <v>10</v>
      </c>
      <c r="G24" s="25"/>
      <c r="H24" s="7"/>
      <c r="I24" s="50"/>
      <c r="J24" s="10"/>
      <c r="K24" s="50"/>
      <c r="L24" s="7"/>
      <c r="M24" s="50"/>
      <c r="N24" s="7"/>
      <c r="O24" s="50"/>
      <c r="P24" s="7"/>
      <c r="Q24" s="50"/>
      <c r="R24" s="7"/>
      <c r="S24" s="50"/>
      <c r="U24" s="18"/>
      <c r="V24" s="18"/>
      <c r="W24" s="18"/>
      <c r="X24" s="18"/>
      <c r="Y24" s="18"/>
    </row>
    <row r="25" spans="1:25" ht="24" customHeight="1" x14ac:dyDescent="0.3">
      <c r="A25" s="287"/>
      <c r="B25" s="24" t="s">
        <v>128</v>
      </c>
      <c r="C25" s="32"/>
      <c r="D25" s="32"/>
      <c r="E25" s="54"/>
      <c r="F25" s="22"/>
      <c r="G25" s="25"/>
      <c r="H25" s="43"/>
      <c r="I25" s="50"/>
      <c r="J25" s="10"/>
      <c r="K25" s="50"/>
      <c r="L25" s="7"/>
      <c r="M25" s="50"/>
      <c r="N25" s="7"/>
      <c r="O25" s="50"/>
      <c r="P25" s="7"/>
      <c r="Q25" s="50"/>
      <c r="R25" s="7"/>
      <c r="S25" s="50"/>
      <c r="U25" s="18"/>
      <c r="V25" s="18"/>
      <c r="W25" s="18"/>
      <c r="X25" s="18"/>
      <c r="Y25" s="18"/>
    </row>
    <row r="26" spans="1:25" ht="24" customHeight="1" x14ac:dyDescent="0.3">
      <c r="A26" s="287"/>
      <c r="B26" s="24" t="s">
        <v>127</v>
      </c>
      <c r="C26" s="32">
        <v>2</v>
      </c>
      <c r="D26" s="32"/>
      <c r="E26" s="54"/>
      <c r="F26" s="22"/>
      <c r="G26" s="25"/>
      <c r="H26" s="43"/>
      <c r="I26" s="50"/>
      <c r="J26" s="10"/>
      <c r="K26" s="50"/>
      <c r="L26" s="7"/>
      <c r="M26" s="50"/>
      <c r="N26" s="7"/>
      <c r="O26" s="50"/>
      <c r="P26" s="7"/>
      <c r="Q26" s="50"/>
      <c r="R26" s="7"/>
      <c r="S26" s="50"/>
      <c r="U26" s="18"/>
      <c r="V26" s="18"/>
      <c r="W26" s="18"/>
      <c r="X26" s="18"/>
      <c r="Y26" s="18"/>
    </row>
    <row r="27" spans="1:25" ht="24" customHeight="1" x14ac:dyDescent="0.3">
      <c r="A27" s="287"/>
      <c r="B27" s="24" t="s">
        <v>189</v>
      </c>
      <c r="C27" s="32"/>
      <c r="D27" s="32"/>
      <c r="E27" s="54"/>
      <c r="F27" s="22"/>
      <c r="G27" s="25"/>
      <c r="H27" s="10"/>
      <c r="I27" s="50"/>
      <c r="J27" s="10"/>
      <c r="K27" s="50"/>
      <c r="L27" s="7"/>
      <c r="M27" s="50"/>
      <c r="N27" s="7"/>
      <c r="O27" s="50"/>
      <c r="P27" s="7"/>
      <c r="Q27" s="50"/>
      <c r="R27" s="7"/>
      <c r="S27" s="50"/>
      <c r="U27" s="18"/>
      <c r="V27" s="18"/>
      <c r="W27" s="18"/>
      <c r="X27" s="18"/>
      <c r="Y27" s="18"/>
    </row>
    <row r="28" spans="1:25" ht="24" customHeight="1" x14ac:dyDescent="0.3">
      <c r="A28" s="287"/>
      <c r="B28" s="24" t="s">
        <v>140</v>
      </c>
      <c r="C28" s="32"/>
      <c r="D28" s="32"/>
      <c r="E28" s="54"/>
      <c r="F28" s="22"/>
      <c r="G28" s="25"/>
      <c r="H28" s="10"/>
      <c r="I28" s="50"/>
      <c r="J28" s="10"/>
      <c r="K28" s="50"/>
      <c r="L28" s="7"/>
      <c r="M28" s="50"/>
      <c r="N28" s="7"/>
      <c r="O28" s="50"/>
      <c r="P28" s="7"/>
      <c r="Q28" s="76"/>
      <c r="R28" s="7"/>
      <c r="S28" s="50"/>
      <c r="U28" s="18"/>
      <c r="V28" s="18"/>
      <c r="W28" s="18"/>
      <c r="X28" s="18"/>
      <c r="Y28" s="18"/>
    </row>
    <row r="29" spans="1:25" ht="24" customHeight="1" x14ac:dyDescent="0.3">
      <c r="A29" s="287"/>
      <c r="B29" s="24" t="s">
        <v>129</v>
      </c>
      <c r="C29" s="32">
        <v>3</v>
      </c>
      <c r="D29" s="32"/>
      <c r="E29" s="54">
        <v>1</v>
      </c>
      <c r="F29" s="22"/>
      <c r="G29" s="25"/>
      <c r="H29" s="43"/>
      <c r="I29" s="50"/>
      <c r="J29" s="10"/>
      <c r="K29" s="50"/>
      <c r="L29" s="7"/>
      <c r="M29" s="50"/>
      <c r="N29" s="7"/>
      <c r="O29" s="50"/>
      <c r="P29" s="7"/>
      <c r="Q29" s="50"/>
      <c r="R29" s="7"/>
      <c r="S29" s="50"/>
      <c r="U29" s="18"/>
      <c r="V29" s="18"/>
      <c r="W29" s="18"/>
      <c r="X29" s="18"/>
      <c r="Y29" s="18"/>
    </row>
    <row r="30" spans="1:25" ht="24" customHeight="1" x14ac:dyDescent="0.3">
      <c r="A30" s="287"/>
      <c r="B30" s="24" t="s">
        <v>145</v>
      </c>
      <c r="C30" s="32"/>
      <c r="D30" s="32"/>
      <c r="E30" s="54"/>
      <c r="F30" s="22"/>
      <c r="G30" s="25"/>
      <c r="H30" s="43"/>
      <c r="I30" s="50"/>
      <c r="J30" s="10"/>
      <c r="K30" s="50"/>
      <c r="L30" s="7"/>
      <c r="M30" s="50"/>
      <c r="N30" s="7"/>
      <c r="O30" s="50"/>
      <c r="P30" s="7"/>
      <c r="Q30" s="50"/>
      <c r="R30" s="7"/>
      <c r="S30" s="50"/>
      <c r="U30" s="18"/>
      <c r="V30" s="18"/>
      <c r="W30" s="18"/>
      <c r="X30" s="18"/>
      <c r="Y30" s="18"/>
    </row>
    <row r="31" spans="1:25" ht="24" customHeight="1" x14ac:dyDescent="0.3">
      <c r="A31" s="287"/>
      <c r="B31" s="24" t="s">
        <v>130</v>
      </c>
      <c r="C31" s="32">
        <v>2</v>
      </c>
      <c r="D31" s="32"/>
      <c r="E31" s="54"/>
      <c r="F31" s="22"/>
      <c r="G31" s="25"/>
      <c r="H31" s="43"/>
      <c r="I31" s="50"/>
      <c r="J31" s="10"/>
      <c r="K31" s="50"/>
      <c r="L31" s="7"/>
      <c r="M31" s="50"/>
      <c r="N31" s="7"/>
      <c r="O31" s="50"/>
      <c r="P31" s="7"/>
      <c r="Q31" s="50"/>
      <c r="R31" s="7"/>
      <c r="S31" s="50"/>
      <c r="U31" s="18"/>
      <c r="V31" s="18"/>
      <c r="W31" s="18"/>
      <c r="X31" s="18"/>
      <c r="Y31" s="18"/>
    </row>
    <row r="32" spans="1:25" ht="24" customHeight="1" x14ac:dyDescent="0.3">
      <c r="A32" s="287"/>
      <c r="B32" s="24" t="s">
        <v>131</v>
      </c>
      <c r="C32" s="32"/>
      <c r="D32" s="32"/>
      <c r="E32" s="54"/>
      <c r="F32" s="22"/>
      <c r="G32" s="25"/>
      <c r="H32" s="43"/>
      <c r="I32" s="50"/>
      <c r="J32" s="10"/>
      <c r="K32" s="50"/>
      <c r="L32" s="7"/>
      <c r="M32" s="50"/>
      <c r="N32" s="7"/>
      <c r="O32" s="50"/>
      <c r="P32" s="7"/>
      <c r="Q32" s="50"/>
      <c r="R32" s="7"/>
      <c r="S32" s="50"/>
      <c r="U32" s="18"/>
      <c r="V32" s="18"/>
      <c r="W32" s="18"/>
      <c r="X32" s="18"/>
      <c r="Y32" s="18"/>
    </row>
    <row r="33" spans="1:25" ht="24" customHeight="1" x14ac:dyDescent="0.3">
      <c r="A33" s="287"/>
      <c r="B33" s="24" t="s">
        <v>132</v>
      </c>
      <c r="C33" s="32">
        <v>2</v>
      </c>
      <c r="D33" s="32"/>
      <c r="E33" s="54"/>
      <c r="F33" s="22"/>
      <c r="G33" s="25"/>
      <c r="H33" s="43"/>
      <c r="I33" s="50"/>
      <c r="J33" s="10"/>
      <c r="K33" s="50"/>
      <c r="L33" s="7"/>
      <c r="M33" s="50"/>
      <c r="N33" s="7"/>
      <c r="O33" s="50"/>
      <c r="P33" s="7"/>
      <c r="Q33" s="50"/>
      <c r="R33" s="7"/>
      <c r="S33" s="50"/>
      <c r="U33" s="18"/>
      <c r="V33" s="18"/>
      <c r="W33" s="18"/>
      <c r="X33" s="18"/>
      <c r="Y33" s="18"/>
    </row>
    <row r="34" spans="1:25" ht="24" customHeight="1" x14ac:dyDescent="0.3">
      <c r="A34" s="287"/>
      <c r="B34" s="24" t="s">
        <v>133</v>
      </c>
      <c r="C34" s="32">
        <v>10</v>
      </c>
      <c r="D34" s="32"/>
      <c r="E34" s="54">
        <v>5</v>
      </c>
      <c r="F34" s="22"/>
      <c r="G34" s="25"/>
      <c r="H34" s="7"/>
      <c r="I34" s="50"/>
      <c r="J34" s="10"/>
      <c r="K34" s="50"/>
      <c r="L34" s="7"/>
      <c r="M34" s="50"/>
      <c r="N34" s="7"/>
      <c r="O34" s="50"/>
      <c r="P34" s="7"/>
      <c r="Q34" s="50"/>
      <c r="R34" s="7"/>
      <c r="S34" s="50"/>
      <c r="U34" s="18"/>
      <c r="V34" s="18"/>
      <c r="W34" s="18"/>
      <c r="X34" s="18"/>
      <c r="Y34" s="18"/>
    </row>
    <row r="35" spans="1:25" ht="24" customHeight="1" x14ac:dyDescent="0.3">
      <c r="A35" s="287"/>
      <c r="B35" s="24" t="s">
        <v>135</v>
      </c>
      <c r="C35" s="32"/>
      <c r="D35" s="32"/>
      <c r="E35" s="54"/>
      <c r="F35" s="22"/>
      <c r="G35" s="25"/>
      <c r="H35" s="7"/>
      <c r="I35" s="50"/>
      <c r="J35" s="10"/>
      <c r="K35" s="50"/>
      <c r="L35" s="7"/>
      <c r="M35" s="50"/>
      <c r="N35" s="7"/>
      <c r="O35" s="50"/>
      <c r="P35" s="7"/>
      <c r="Q35" s="50"/>
      <c r="R35" s="7"/>
      <c r="S35" s="50"/>
      <c r="U35" s="18"/>
      <c r="V35" s="18"/>
      <c r="W35" s="18"/>
      <c r="X35" s="18"/>
      <c r="Y35" s="18"/>
    </row>
    <row r="36" spans="1:25" ht="24" customHeight="1" x14ac:dyDescent="0.3">
      <c r="A36" s="287"/>
      <c r="B36" s="24" t="s">
        <v>141</v>
      </c>
      <c r="C36" s="32"/>
      <c r="D36" s="56"/>
      <c r="E36" s="54"/>
      <c r="F36" s="22"/>
      <c r="G36" s="25"/>
      <c r="H36" s="43"/>
      <c r="I36" s="50"/>
      <c r="J36" s="10"/>
      <c r="K36" s="50"/>
      <c r="L36" s="7"/>
      <c r="M36" s="50"/>
      <c r="N36" s="7"/>
      <c r="O36" s="50"/>
      <c r="P36" s="7"/>
      <c r="Q36" s="76"/>
      <c r="R36" s="7"/>
      <c r="S36" s="50"/>
      <c r="U36" s="18"/>
      <c r="V36" s="18"/>
      <c r="W36" s="18"/>
      <c r="X36" s="18"/>
      <c r="Y36" s="18"/>
    </row>
    <row r="37" spans="1:25" ht="24" customHeight="1" x14ac:dyDescent="0.3">
      <c r="A37" s="287"/>
      <c r="B37" s="24" t="s">
        <v>142</v>
      </c>
      <c r="C37" s="32">
        <v>1</v>
      </c>
      <c r="D37" s="32"/>
      <c r="E37" s="54"/>
      <c r="F37" s="22"/>
      <c r="G37" s="25"/>
      <c r="H37" s="43"/>
      <c r="I37" s="50"/>
      <c r="J37" s="10"/>
      <c r="K37" s="50"/>
      <c r="L37" s="7"/>
      <c r="M37" s="50"/>
      <c r="N37" s="7"/>
      <c r="O37" s="50"/>
      <c r="P37" s="7"/>
      <c r="Q37" s="50"/>
      <c r="R37" s="7"/>
      <c r="S37" s="50"/>
      <c r="U37" s="18"/>
      <c r="V37" s="18"/>
      <c r="W37" s="18"/>
      <c r="X37" s="18"/>
      <c r="Y37" s="18"/>
    </row>
    <row r="38" spans="1:25" ht="24" customHeight="1" x14ac:dyDescent="0.3">
      <c r="A38" s="287"/>
      <c r="B38" s="24" t="s">
        <v>144</v>
      </c>
      <c r="C38" s="32"/>
      <c r="D38" s="32"/>
      <c r="E38" s="101"/>
      <c r="F38" s="22"/>
      <c r="G38" s="25"/>
      <c r="H38" s="43"/>
      <c r="I38" s="50"/>
      <c r="J38" s="10"/>
      <c r="K38" s="50"/>
      <c r="L38" s="7"/>
      <c r="M38" s="50"/>
      <c r="N38" s="7"/>
      <c r="O38" s="50"/>
      <c r="P38" s="7"/>
      <c r="Q38" s="50"/>
      <c r="R38" s="7"/>
      <c r="S38" s="50"/>
      <c r="U38" s="18"/>
      <c r="V38" s="18"/>
      <c r="W38" s="18"/>
      <c r="X38" s="18"/>
      <c r="Y38" s="18"/>
    </row>
    <row r="39" spans="1:25" ht="24" customHeight="1" x14ac:dyDescent="0.3">
      <c r="A39" s="287"/>
      <c r="B39" s="24" t="s">
        <v>146</v>
      </c>
      <c r="C39" s="32"/>
      <c r="D39" s="32"/>
      <c r="E39" s="54"/>
      <c r="F39" s="22"/>
      <c r="G39" s="25"/>
      <c r="H39" s="43"/>
      <c r="I39" s="50"/>
      <c r="J39" s="10"/>
      <c r="K39" s="50"/>
      <c r="L39" s="7"/>
      <c r="M39" s="50"/>
      <c r="N39" s="7"/>
      <c r="O39" s="50"/>
      <c r="P39" s="7"/>
      <c r="Q39" s="50"/>
      <c r="R39" s="7"/>
      <c r="S39" s="50"/>
      <c r="U39" s="18"/>
      <c r="V39" s="18"/>
      <c r="W39" s="18"/>
      <c r="X39" s="18"/>
      <c r="Y39" s="18"/>
    </row>
    <row r="40" spans="1:25" ht="24" customHeight="1" x14ac:dyDescent="0.3">
      <c r="A40" s="287"/>
      <c r="B40" s="24" t="s">
        <v>136</v>
      </c>
      <c r="C40" s="32"/>
      <c r="D40" s="32"/>
      <c r="E40" s="54"/>
      <c r="F40" s="22"/>
      <c r="G40" s="25"/>
      <c r="H40" s="43"/>
      <c r="I40" s="50"/>
      <c r="J40" s="10"/>
      <c r="K40" s="50"/>
      <c r="L40" s="7"/>
      <c r="M40" s="50"/>
      <c r="N40" s="7"/>
      <c r="O40" s="50"/>
      <c r="P40" s="7"/>
      <c r="Q40" s="50"/>
      <c r="R40" s="7"/>
      <c r="S40" s="50"/>
      <c r="U40" s="18"/>
      <c r="V40" s="18"/>
      <c r="W40" s="18"/>
      <c r="X40" s="18"/>
      <c r="Y40" s="18"/>
    </row>
    <row r="41" spans="1:25" ht="24" customHeight="1" x14ac:dyDescent="0.3">
      <c r="A41" s="287"/>
      <c r="B41" s="24" t="s">
        <v>139</v>
      </c>
      <c r="C41" s="32"/>
      <c r="D41" s="32"/>
      <c r="E41" s="54"/>
      <c r="F41" s="22"/>
      <c r="G41" s="25"/>
      <c r="H41" s="10"/>
      <c r="I41" s="50"/>
      <c r="J41" s="10"/>
      <c r="K41" s="50"/>
      <c r="L41" s="7"/>
      <c r="M41" s="50"/>
      <c r="N41" s="7"/>
      <c r="O41" s="50"/>
      <c r="P41" s="7"/>
      <c r="Q41" s="50"/>
      <c r="R41" s="7"/>
      <c r="S41" s="50"/>
      <c r="U41" s="18"/>
      <c r="V41" s="18"/>
      <c r="W41" s="18"/>
      <c r="X41" s="18"/>
      <c r="Y41" s="18"/>
    </row>
    <row r="42" spans="1:25" ht="24" customHeight="1" x14ac:dyDescent="0.3">
      <c r="A42" s="287"/>
      <c r="B42" s="24" t="s">
        <v>137</v>
      </c>
      <c r="C42" s="32"/>
      <c r="D42" s="32"/>
      <c r="E42" s="54"/>
      <c r="F42" s="22"/>
      <c r="G42" s="25"/>
      <c r="H42" s="7"/>
      <c r="I42" s="50"/>
      <c r="J42" s="10"/>
      <c r="K42" s="50"/>
      <c r="L42" s="7"/>
      <c r="M42" s="50"/>
      <c r="N42" s="7"/>
      <c r="O42" s="50"/>
      <c r="P42" s="7"/>
      <c r="Q42" s="50"/>
      <c r="R42" s="7"/>
      <c r="S42" s="50"/>
      <c r="U42" s="18"/>
      <c r="V42" s="18"/>
      <c r="W42" s="18"/>
      <c r="X42" s="18"/>
      <c r="Y42" s="18"/>
    </row>
    <row r="43" spans="1:25" ht="27" thickBot="1" x14ac:dyDescent="0.35">
      <c r="A43" s="288"/>
      <c r="B43" s="26"/>
      <c r="C43" s="27">
        <f>SUM(C23:C42)</f>
        <v>23</v>
      </c>
      <c r="D43" s="27">
        <f>SUM(D23:D42)</f>
        <v>0</v>
      </c>
      <c r="E43" s="27">
        <f>SUM(E23:E42)</f>
        <v>6</v>
      </c>
      <c r="F43" s="27">
        <f>SUM(F23:F42)</f>
        <v>10</v>
      </c>
      <c r="G43" s="161"/>
      <c r="H43" s="2">
        <f t="shared" ref="H43:S43" si="2">SUM(H23:H42)</f>
        <v>0</v>
      </c>
      <c r="I43" s="2">
        <f t="shared" si="2"/>
        <v>0</v>
      </c>
      <c r="J43" s="2">
        <f t="shared" si="2"/>
        <v>0</v>
      </c>
      <c r="K43" s="2">
        <f t="shared" si="2"/>
        <v>0</v>
      </c>
      <c r="L43" s="2">
        <f t="shared" si="2"/>
        <v>0</v>
      </c>
      <c r="M43" s="2">
        <f t="shared" si="2"/>
        <v>0</v>
      </c>
      <c r="N43" s="2">
        <f t="shared" si="2"/>
        <v>0</v>
      </c>
      <c r="O43" s="2">
        <f t="shared" si="2"/>
        <v>0</v>
      </c>
      <c r="P43" s="2">
        <f t="shared" si="2"/>
        <v>0</v>
      </c>
      <c r="Q43" s="2">
        <f t="shared" si="2"/>
        <v>0</v>
      </c>
      <c r="R43" s="2">
        <f t="shared" si="2"/>
        <v>0</v>
      </c>
      <c r="S43" s="2">
        <f t="shared" si="2"/>
        <v>0</v>
      </c>
    </row>
    <row r="44" spans="1:25" ht="24" customHeight="1" thickTop="1" x14ac:dyDescent="0.3">
      <c r="A44" s="252" t="s">
        <v>13</v>
      </c>
      <c r="B44" s="3" t="s">
        <v>28</v>
      </c>
      <c r="C44" s="7"/>
      <c r="D44" s="7"/>
      <c r="E44" s="50"/>
      <c r="F44" s="50"/>
      <c r="G44" s="161"/>
      <c r="H44" s="7"/>
      <c r="I44" s="50"/>
      <c r="J44" s="10"/>
      <c r="K44" s="50"/>
      <c r="L44" s="7"/>
      <c r="M44" s="50"/>
      <c r="N44" s="7"/>
      <c r="O44" s="50"/>
      <c r="P44" s="7"/>
      <c r="Q44" s="50"/>
      <c r="R44" s="7"/>
      <c r="S44" s="50"/>
    </row>
    <row r="45" spans="1:25" ht="24" customHeight="1" x14ac:dyDescent="0.3">
      <c r="A45" s="252"/>
      <c r="B45" s="3" t="s">
        <v>29</v>
      </c>
      <c r="C45" s="77"/>
      <c r="D45" s="7"/>
      <c r="E45" s="50"/>
      <c r="F45" s="50"/>
      <c r="G45" s="161"/>
      <c r="H45" s="7"/>
      <c r="I45" s="50"/>
      <c r="J45" s="10"/>
      <c r="K45" s="50"/>
      <c r="L45" s="7"/>
      <c r="M45" s="50"/>
      <c r="N45" s="7"/>
      <c r="O45" s="50"/>
      <c r="P45" s="7"/>
      <c r="Q45" s="50"/>
      <c r="R45" s="7"/>
      <c r="S45" s="50"/>
    </row>
    <row r="46" spans="1:25" ht="24" customHeight="1" x14ac:dyDescent="0.3">
      <c r="A46" s="252"/>
      <c r="B46" s="3" t="s">
        <v>125</v>
      </c>
      <c r="C46" s="7"/>
      <c r="D46" s="7"/>
      <c r="E46" s="50"/>
      <c r="F46" s="50"/>
      <c r="G46" s="161"/>
      <c r="H46" s="7"/>
      <c r="I46" s="50"/>
      <c r="J46" s="10"/>
      <c r="K46" s="50"/>
      <c r="L46" s="7"/>
      <c r="M46" s="50"/>
      <c r="N46" s="7"/>
      <c r="O46" s="50"/>
      <c r="P46" s="7"/>
      <c r="Q46" s="50"/>
      <c r="R46" s="7"/>
      <c r="S46" s="50"/>
    </row>
    <row r="47" spans="1:25" ht="24" customHeight="1" x14ac:dyDescent="0.3">
      <c r="A47" s="252"/>
      <c r="B47" s="3" t="s">
        <v>121</v>
      </c>
      <c r="C47" s="7"/>
      <c r="D47" s="7"/>
      <c r="E47" s="50"/>
      <c r="F47" s="50"/>
      <c r="G47" s="161"/>
      <c r="H47" s="7"/>
      <c r="I47" s="50"/>
      <c r="J47" s="10"/>
      <c r="K47" s="50">
        <v>1</v>
      </c>
      <c r="L47" s="7"/>
      <c r="M47" s="50"/>
      <c r="N47" s="7"/>
      <c r="O47" s="50"/>
      <c r="P47" s="7"/>
      <c r="Q47" s="50"/>
      <c r="R47" s="7"/>
      <c r="S47" s="50"/>
    </row>
    <row r="48" spans="1:25" ht="24" customHeight="1" x14ac:dyDescent="0.3">
      <c r="A48" s="252"/>
      <c r="B48" s="3" t="s">
        <v>122</v>
      </c>
      <c r="C48" s="7"/>
      <c r="D48" s="7"/>
      <c r="E48" s="50"/>
      <c r="F48" s="50"/>
      <c r="G48" s="161"/>
      <c r="H48" s="7"/>
      <c r="I48" s="50"/>
      <c r="J48" s="10"/>
      <c r="K48" s="50"/>
      <c r="L48" s="7"/>
      <c r="M48" s="50"/>
      <c r="N48" s="7"/>
      <c r="O48" s="50"/>
      <c r="P48" s="7"/>
      <c r="Q48" s="50"/>
      <c r="R48" s="7"/>
      <c r="S48" s="50"/>
    </row>
    <row r="49" spans="1:37" ht="24" customHeight="1" x14ac:dyDescent="0.3">
      <c r="A49" s="252"/>
      <c r="B49" s="3" t="s">
        <v>123</v>
      </c>
      <c r="C49" s="7"/>
      <c r="D49" s="7"/>
      <c r="E49" s="50"/>
      <c r="F49" s="50"/>
      <c r="G49" s="161"/>
      <c r="H49" s="7"/>
      <c r="I49" s="50"/>
      <c r="J49" s="10"/>
      <c r="K49" s="50"/>
      <c r="L49" s="7"/>
      <c r="M49" s="50"/>
      <c r="N49" s="7"/>
      <c r="O49" s="50"/>
      <c r="P49" s="7"/>
      <c r="Q49" s="50"/>
      <c r="R49" s="7"/>
      <c r="S49" s="50"/>
    </row>
    <row r="50" spans="1:37" ht="24" customHeight="1" x14ac:dyDescent="0.3">
      <c r="A50" s="252"/>
      <c r="B50" s="100" t="s">
        <v>126</v>
      </c>
      <c r="C50" s="7"/>
      <c r="D50" s="7"/>
      <c r="E50" s="50"/>
      <c r="F50" s="50"/>
      <c r="G50" s="161"/>
      <c r="H50" s="7"/>
      <c r="I50" s="50"/>
      <c r="J50" s="10"/>
      <c r="K50" s="50">
        <v>4</v>
      </c>
      <c r="L50" s="7"/>
      <c r="M50" s="50"/>
      <c r="N50" s="7"/>
      <c r="O50" s="50"/>
      <c r="P50" s="7"/>
      <c r="Q50" s="50"/>
      <c r="R50" s="7"/>
      <c r="S50" s="50"/>
    </row>
    <row r="51" spans="1:37" ht="24" customHeight="1" x14ac:dyDescent="0.3">
      <c r="A51" s="252"/>
      <c r="B51" s="100" t="s">
        <v>124</v>
      </c>
      <c r="C51" s="7"/>
      <c r="D51" s="7"/>
      <c r="E51" s="50"/>
      <c r="F51" s="50"/>
      <c r="G51" s="161"/>
      <c r="H51" s="7"/>
      <c r="I51" s="50"/>
      <c r="J51" s="10"/>
      <c r="K51" s="50"/>
      <c r="L51" s="7"/>
      <c r="M51" s="50">
        <v>1</v>
      </c>
      <c r="N51" s="7"/>
      <c r="O51" s="50"/>
      <c r="P51" s="7"/>
      <c r="Q51" s="50"/>
      <c r="R51" s="7"/>
      <c r="S51" s="50"/>
    </row>
    <row r="52" spans="1:37" ht="26.25" x14ac:dyDescent="0.3">
      <c r="A52" s="279"/>
      <c r="B52" s="122"/>
      <c r="C52" s="123">
        <f>SUM(C44:C51)</f>
        <v>0</v>
      </c>
      <c r="D52" s="123">
        <f>SUM(D44:D51)</f>
        <v>0</v>
      </c>
      <c r="E52" s="123">
        <f>SUM(E44:E51)</f>
        <v>0</v>
      </c>
      <c r="F52" s="123">
        <f>SUM(F44:F51)</f>
        <v>0</v>
      </c>
      <c r="G52" s="161"/>
      <c r="H52" s="2">
        <f t="shared" ref="H52:S52" si="3">SUM(H44:H51)</f>
        <v>0</v>
      </c>
      <c r="I52" s="123">
        <f t="shared" si="3"/>
        <v>0</v>
      </c>
      <c r="J52" s="123">
        <f t="shared" si="3"/>
        <v>0</v>
      </c>
      <c r="K52" s="123">
        <f t="shared" si="3"/>
        <v>5</v>
      </c>
      <c r="L52" s="123">
        <f t="shared" si="3"/>
        <v>0</v>
      </c>
      <c r="M52" s="123">
        <f t="shared" si="3"/>
        <v>1</v>
      </c>
      <c r="N52" s="123">
        <f t="shared" si="3"/>
        <v>0</v>
      </c>
      <c r="O52" s="123">
        <f t="shared" si="3"/>
        <v>0</v>
      </c>
      <c r="P52" s="123">
        <f t="shared" si="3"/>
        <v>0</v>
      </c>
      <c r="Q52" s="123">
        <f t="shared" si="3"/>
        <v>0</v>
      </c>
      <c r="R52" s="123">
        <f t="shared" si="3"/>
        <v>0</v>
      </c>
      <c r="S52" s="123">
        <f t="shared" si="3"/>
        <v>0</v>
      </c>
      <c r="Y52" s="254"/>
      <c r="Z52" s="254"/>
      <c r="AA52" s="254"/>
      <c r="AB52" s="254"/>
      <c r="AD52" s="234"/>
      <c r="AE52" s="234"/>
      <c r="AF52" s="234"/>
      <c r="AG52" s="234"/>
      <c r="AH52" s="234"/>
      <c r="AJ52" s="234"/>
      <c r="AK52" s="234"/>
    </row>
    <row r="53" spans="1:37" ht="24" customHeight="1" x14ac:dyDescent="0.3">
      <c r="A53" s="253" t="s">
        <v>118</v>
      </c>
      <c r="B53" s="3" t="s">
        <v>171</v>
      </c>
      <c r="C53" s="7"/>
      <c r="D53" s="7"/>
      <c r="E53" s="50"/>
      <c r="F53" s="50"/>
      <c r="G53" s="161"/>
      <c r="H53" s="7"/>
      <c r="I53" s="50"/>
      <c r="J53" s="10"/>
      <c r="K53" s="50"/>
      <c r="L53" s="7"/>
      <c r="M53" s="50"/>
      <c r="N53" s="7"/>
      <c r="O53" s="50"/>
      <c r="P53" s="7"/>
      <c r="Q53" s="50"/>
      <c r="R53" s="7"/>
      <c r="S53" s="50"/>
    </row>
    <row r="54" spans="1:37" ht="24" customHeight="1" x14ac:dyDescent="0.3">
      <c r="A54" s="253"/>
      <c r="B54" s="3" t="s">
        <v>168</v>
      </c>
      <c r="C54" s="7"/>
      <c r="D54" s="7"/>
      <c r="E54" s="50"/>
      <c r="F54" s="50"/>
      <c r="G54" s="161"/>
      <c r="H54" s="7"/>
      <c r="I54" s="50"/>
      <c r="J54" s="10"/>
      <c r="K54" s="50"/>
      <c r="L54" s="7"/>
      <c r="M54" s="50"/>
      <c r="N54" s="7"/>
      <c r="O54" s="50"/>
      <c r="P54" s="7"/>
      <c r="Q54" s="50"/>
      <c r="R54" s="7"/>
      <c r="S54" s="50"/>
    </row>
    <row r="55" spans="1:37" ht="24" customHeight="1" x14ac:dyDescent="0.3">
      <c r="A55" s="253"/>
      <c r="B55" s="3" t="s">
        <v>170</v>
      </c>
      <c r="C55" s="7"/>
      <c r="D55" s="7"/>
      <c r="E55" s="50"/>
      <c r="F55" s="50"/>
      <c r="G55" s="161"/>
      <c r="H55" s="7"/>
      <c r="I55" s="50"/>
      <c r="J55" s="10"/>
      <c r="L55" s="7"/>
      <c r="M55" s="50"/>
      <c r="N55" s="7"/>
      <c r="O55" s="50"/>
      <c r="P55" s="7"/>
      <c r="Q55" s="50"/>
      <c r="R55" s="7"/>
      <c r="S55" s="50"/>
    </row>
    <row r="56" spans="1:37" ht="24" customHeight="1" x14ac:dyDescent="0.3">
      <c r="A56" s="253"/>
      <c r="B56" s="100" t="s">
        <v>166</v>
      </c>
      <c r="C56" s="7"/>
      <c r="D56" s="7"/>
      <c r="E56" s="50"/>
      <c r="F56" s="50"/>
      <c r="G56" s="161"/>
      <c r="H56" s="7"/>
      <c r="I56" s="50"/>
      <c r="J56" s="10"/>
      <c r="K56" s="50"/>
      <c r="L56" s="7"/>
      <c r="M56" s="50">
        <v>2</v>
      </c>
      <c r="N56" s="7">
        <v>2</v>
      </c>
      <c r="O56" s="50"/>
      <c r="P56" s="7"/>
      <c r="Q56" s="50"/>
      <c r="R56" s="7"/>
      <c r="S56" s="50"/>
    </row>
    <row r="57" spans="1:37" ht="24" customHeight="1" x14ac:dyDescent="0.3">
      <c r="A57" s="253"/>
      <c r="B57" s="100" t="s">
        <v>167</v>
      </c>
      <c r="C57" s="7"/>
      <c r="D57" s="7"/>
      <c r="E57" s="50"/>
      <c r="F57" s="50"/>
      <c r="G57" s="161"/>
      <c r="H57" s="7"/>
      <c r="I57" s="50"/>
      <c r="J57" s="10"/>
      <c r="K57" s="50"/>
      <c r="L57" s="7"/>
      <c r="M57" s="50"/>
      <c r="N57" s="7">
        <v>1</v>
      </c>
      <c r="O57" s="50"/>
      <c r="P57" s="7">
        <v>1</v>
      </c>
      <c r="Q57" s="50"/>
      <c r="R57" s="7">
        <v>1</v>
      </c>
      <c r="S57" s="50"/>
    </row>
    <row r="58" spans="1:37" ht="24" customHeight="1" x14ac:dyDescent="0.3">
      <c r="A58" s="253"/>
      <c r="B58" s="100" t="s">
        <v>172</v>
      </c>
      <c r="C58" s="7"/>
      <c r="D58" s="7"/>
      <c r="E58" s="50"/>
      <c r="F58" s="50"/>
      <c r="G58" s="161"/>
      <c r="H58" s="7"/>
      <c r="I58" s="50"/>
      <c r="J58" s="10"/>
      <c r="K58" s="50"/>
      <c r="L58" s="7"/>
      <c r="M58" s="50"/>
      <c r="N58" s="7"/>
      <c r="O58" s="50"/>
      <c r="P58" s="7"/>
      <c r="Q58" s="50"/>
      <c r="R58" s="7"/>
      <c r="S58" s="50"/>
    </row>
    <row r="59" spans="1:37" ht="24" customHeight="1" x14ac:dyDescent="0.3">
      <c r="A59" s="253"/>
      <c r="B59" s="100" t="s">
        <v>165</v>
      </c>
      <c r="C59" s="7"/>
      <c r="D59" s="7"/>
      <c r="E59" s="50"/>
      <c r="F59" s="50"/>
      <c r="G59" s="161"/>
      <c r="H59" s="7"/>
      <c r="I59" s="50"/>
      <c r="J59" s="10">
        <v>1</v>
      </c>
      <c r="K59" s="50"/>
      <c r="L59" s="7"/>
      <c r="M59" s="50"/>
      <c r="N59" s="7"/>
      <c r="O59" s="50"/>
      <c r="P59" s="7"/>
      <c r="Q59" s="50"/>
      <c r="R59" s="7"/>
      <c r="S59" s="50"/>
    </row>
    <row r="60" spans="1:37" ht="24" customHeight="1" x14ac:dyDescent="0.3">
      <c r="A60" s="253"/>
      <c r="B60" s="3" t="s">
        <v>173</v>
      </c>
      <c r="C60" s="7"/>
      <c r="D60" s="7"/>
      <c r="E60" s="50"/>
      <c r="F60" s="50"/>
      <c r="G60" s="161"/>
      <c r="H60" s="7"/>
      <c r="I60" s="50"/>
      <c r="J60" s="10">
        <v>1</v>
      </c>
      <c r="K60" s="50"/>
      <c r="L60" s="7"/>
      <c r="M60" s="50"/>
      <c r="N60" s="7"/>
      <c r="O60" s="50"/>
      <c r="P60" s="7"/>
      <c r="Q60" s="50"/>
      <c r="R60" s="7"/>
      <c r="S60" s="50"/>
    </row>
    <row r="61" spans="1:37" ht="24" customHeight="1" x14ac:dyDescent="0.3">
      <c r="A61" s="253"/>
      <c r="B61" s="3" t="s">
        <v>169</v>
      </c>
      <c r="C61" s="7"/>
      <c r="D61" s="7"/>
      <c r="E61" s="50"/>
      <c r="F61" s="50"/>
      <c r="G61" s="161"/>
      <c r="H61" s="7"/>
      <c r="I61" s="50"/>
      <c r="J61" s="10"/>
      <c r="K61" s="50"/>
      <c r="L61" s="7">
        <v>1</v>
      </c>
      <c r="M61" s="50"/>
      <c r="N61" s="7"/>
      <c r="O61" s="50"/>
      <c r="P61" s="7"/>
      <c r="Q61" s="50"/>
      <c r="R61" s="7">
        <v>1</v>
      </c>
      <c r="S61" s="50"/>
    </row>
    <row r="62" spans="1:37" ht="26.25" x14ac:dyDescent="0.3">
      <c r="A62" s="253"/>
      <c r="B62" s="2"/>
      <c r="C62" s="2">
        <f>SUM(C53:C61)</f>
        <v>0</v>
      </c>
      <c r="D62" s="2">
        <f>SUM(D53:D61)</f>
        <v>0</v>
      </c>
      <c r="E62" s="2">
        <f>SUM(E53:E61)</f>
        <v>0</v>
      </c>
      <c r="F62" s="2">
        <f>SUM(F53:F61)</f>
        <v>0</v>
      </c>
      <c r="G62" s="161"/>
      <c r="H62" s="2">
        <f t="shared" ref="H62:S62" si="4">SUM(H53:H61)</f>
        <v>0</v>
      </c>
      <c r="I62" s="2">
        <f t="shared" si="4"/>
        <v>0</v>
      </c>
      <c r="J62" s="2">
        <f t="shared" si="4"/>
        <v>2</v>
      </c>
      <c r="K62" s="2">
        <f t="shared" si="4"/>
        <v>0</v>
      </c>
      <c r="L62" s="2">
        <f t="shared" si="4"/>
        <v>1</v>
      </c>
      <c r="M62" s="2">
        <f t="shared" si="4"/>
        <v>2</v>
      </c>
      <c r="N62" s="2">
        <f t="shared" si="4"/>
        <v>3</v>
      </c>
      <c r="O62" s="2">
        <f t="shared" si="4"/>
        <v>0</v>
      </c>
      <c r="P62" s="2">
        <f t="shared" si="4"/>
        <v>1</v>
      </c>
      <c r="Q62" s="2">
        <f t="shared" si="4"/>
        <v>0</v>
      </c>
      <c r="R62" s="2">
        <f t="shared" si="4"/>
        <v>2</v>
      </c>
      <c r="S62" s="2">
        <f t="shared" si="4"/>
        <v>0</v>
      </c>
      <c r="Y62" s="254"/>
      <c r="Z62" s="254"/>
      <c r="AA62" s="254"/>
      <c r="AB62" s="254"/>
      <c r="AD62" s="234"/>
      <c r="AE62" s="234"/>
      <c r="AF62" s="234"/>
      <c r="AG62" s="234"/>
      <c r="AH62" s="234"/>
      <c r="AJ62" s="234"/>
      <c r="AK62" s="234"/>
    </row>
    <row r="64" spans="1:37" ht="19.5" customHeight="1" x14ac:dyDescent="0.35">
      <c r="A64" s="235" t="s">
        <v>23</v>
      </c>
      <c r="B64" s="235"/>
      <c r="C64" s="126">
        <v>47000</v>
      </c>
      <c r="D64" s="126">
        <v>4700</v>
      </c>
      <c r="E64" s="126">
        <v>58000</v>
      </c>
      <c r="F64" s="126">
        <v>5800</v>
      </c>
      <c r="H64" s="126">
        <v>5800</v>
      </c>
      <c r="I64" s="126">
        <v>4700</v>
      </c>
      <c r="J64" s="20">
        <v>6800</v>
      </c>
      <c r="K64" s="20">
        <v>5200</v>
      </c>
      <c r="L64" s="20">
        <v>20700</v>
      </c>
      <c r="M64" s="20">
        <v>6400</v>
      </c>
      <c r="N64" s="20">
        <v>18700</v>
      </c>
      <c r="O64" s="126">
        <v>25700</v>
      </c>
      <c r="P64" s="126">
        <v>8800</v>
      </c>
      <c r="Q64" s="20">
        <v>18700</v>
      </c>
      <c r="R64" s="20">
        <v>15000</v>
      </c>
      <c r="S64" s="20">
        <v>18000</v>
      </c>
      <c r="U64" s="236">
        <f>P67*0.85</f>
        <v>4816695</v>
      </c>
      <c r="V64" s="237"/>
      <c r="W64" s="238"/>
      <c r="Y64" s="242">
        <f>P69-P67</f>
        <v>0</v>
      </c>
      <c r="Z64" s="243"/>
      <c r="AA64" s="243"/>
      <c r="AB64" s="243"/>
      <c r="AD64" s="234"/>
      <c r="AE64" s="234"/>
      <c r="AF64" s="234"/>
      <c r="AG64" s="234"/>
      <c r="AH64" s="234"/>
      <c r="AJ64" s="234"/>
      <c r="AK64" s="234"/>
    </row>
    <row r="65" spans="1:37" ht="19.5" customHeight="1" x14ac:dyDescent="0.35">
      <c r="A65" s="235" t="s">
        <v>24</v>
      </c>
      <c r="B65" s="235"/>
      <c r="C65" s="20">
        <f>C64*C3</f>
        <v>4371000</v>
      </c>
      <c r="D65" s="20">
        <f>D64*D3</f>
        <v>0</v>
      </c>
      <c r="E65" s="20">
        <f>E64*E3</f>
        <v>812000</v>
      </c>
      <c r="F65" s="20">
        <f>F64*F3</f>
        <v>255200</v>
      </c>
      <c r="H65" s="20">
        <f t="shared" ref="H65:S65" si="5">H64*H3</f>
        <v>0</v>
      </c>
      <c r="I65" s="20">
        <f t="shared" si="5"/>
        <v>0</v>
      </c>
      <c r="J65" s="20">
        <f t="shared" si="5"/>
        <v>20400</v>
      </c>
      <c r="K65" s="20">
        <f t="shared" si="5"/>
        <v>31200</v>
      </c>
      <c r="L65" s="20">
        <f t="shared" si="5"/>
        <v>41400</v>
      </c>
      <c r="M65" s="20">
        <f t="shared" si="5"/>
        <v>25600</v>
      </c>
      <c r="N65" s="20">
        <f t="shared" si="5"/>
        <v>56100</v>
      </c>
      <c r="O65" s="20">
        <f t="shared" si="5"/>
        <v>0</v>
      </c>
      <c r="P65" s="20">
        <f t="shared" si="5"/>
        <v>8800</v>
      </c>
      <c r="Q65" s="20">
        <f t="shared" si="5"/>
        <v>0</v>
      </c>
      <c r="R65" s="20">
        <f t="shared" si="5"/>
        <v>45000</v>
      </c>
      <c r="S65" s="20">
        <f t="shared" si="5"/>
        <v>0</v>
      </c>
      <c r="U65" s="239"/>
      <c r="V65" s="240"/>
      <c r="W65" s="241"/>
      <c r="Y65" s="243"/>
      <c r="Z65" s="243"/>
      <c r="AA65" s="243"/>
      <c r="AB65" s="243"/>
      <c r="AD65" s="234"/>
      <c r="AE65" s="234"/>
      <c r="AF65" s="234"/>
      <c r="AG65" s="234"/>
      <c r="AH65" s="234"/>
      <c r="AJ65" s="234"/>
      <c r="AK65" s="234"/>
    </row>
    <row r="67" spans="1:37" ht="26.25" x14ac:dyDescent="0.3">
      <c r="P67" s="259">
        <f>SUM(C65:S65)</f>
        <v>5666700</v>
      </c>
      <c r="Q67" s="260"/>
      <c r="U67" s="247"/>
      <c r="V67" s="248"/>
      <c r="W67" s="248"/>
      <c r="Y67" s="249"/>
      <c r="Z67" s="250"/>
      <c r="AA67" s="250"/>
      <c r="AB67" s="251"/>
    </row>
    <row r="69" spans="1:37" ht="26.25" x14ac:dyDescent="0.3">
      <c r="C69" s="244"/>
      <c r="D69" s="245"/>
      <c r="P69" s="246">
        <v>5666700</v>
      </c>
      <c r="Q69" s="246"/>
      <c r="U69" s="247">
        <f>P69*0.85</f>
        <v>4816695</v>
      </c>
      <c r="V69" s="248"/>
      <c r="W69" s="248"/>
      <c r="Y69" s="249"/>
      <c r="Z69" s="250"/>
      <c r="AA69" s="250"/>
      <c r="AB69" s="251"/>
    </row>
    <row r="70" spans="1:37" x14ac:dyDescent="0.3">
      <c r="Q70" s="18"/>
      <c r="S70" s="18"/>
      <c r="U70" s="245"/>
      <c r="V70" s="245"/>
      <c r="W70" s="245"/>
      <c r="Y70" s="255"/>
      <c r="Z70" s="256"/>
      <c r="AA70" s="256"/>
      <c r="AB70" s="256"/>
    </row>
    <row r="71" spans="1:37" x14ac:dyDescent="0.3">
      <c r="P71" s="244"/>
      <c r="Q71" s="245"/>
      <c r="U71" s="245"/>
      <c r="V71" s="245"/>
      <c r="W71" s="245"/>
      <c r="Y71" s="245"/>
      <c r="Z71" s="245"/>
      <c r="AA71" s="245"/>
      <c r="AB71" s="245"/>
    </row>
    <row r="72" spans="1:37" x14ac:dyDescent="0.3">
      <c r="P72" s="245"/>
      <c r="Q72" s="245"/>
      <c r="U72" s="245"/>
      <c r="V72" s="245"/>
      <c r="W72" s="245"/>
      <c r="Y72" s="245"/>
      <c r="Z72" s="245"/>
      <c r="AA72" s="245"/>
      <c r="AB72" s="245"/>
    </row>
    <row r="73" spans="1:37" x14ac:dyDescent="0.3">
      <c r="P73" s="18"/>
      <c r="Q73" s="18"/>
      <c r="S73" s="18"/>
      <c r="Y73" s="245"/>
      <c r="Z73" s="245"/>
      <c r="AA73" s="245"/>
      <c r="AB73" s="245"/>
    </row>
    <row r="74" spans="1:37" x14ac:dyDescent="0.3">
      <c r="C74">
        <f>C64*0.85</f>
        <v>39950</v>
      </c>
      <c r="D74">
        <f t="shared" ref="D74:R74" si="6">D64*0.85</f>
        <v>3995</v>
      </c>
      <c r="E74">
        <f t="shared" si="6"/>
        <v>49300</v>
      </c>
      <c r="F74">
        <f t="shared" si="6"/>
        <v>4930</v>
      </c>
      <c r="H74">
        <f t="shared" si="6"/>
        <v>4930</v>
      </c>
      <c r="I74">
        <f t="shared" si="6"/>
        <v>3995</v>
      </c>
      <c r="J74">
        <f t="shared" si="6"/>
        <v>5780</v>
      </c>
      <c r="K74">
        <f t="shared" si="6"/>
        <v>4420</v>
      </c>
      <c r="L74">
        <f t="shared" si="6"/>
        <v>17595</v>
      </c>
      <c r="M74">
        <f t="shared" si="6"/>
        <v>5440</v>
      </c>
      <c r="N74">
        <f t="shared" si="6"/>
        <v>15895</v>
      </c>
      <c r="O74">
        <f t="shared" si="6"/>
        <v>21845</v>
      </c>
      <c r="P74">
        <f t="shared" si="6"/>
        <v>7480</v>
      </c>
      <c r="Q74">
        <f t="shared" si="6"/>
        <v>15895</v>
      </c>
      <c r="R74">
        <f t="shared" si="6"/>
        <v>12750</v>
      </c>
      <c r="S74">
        <f>S64*0.85</f>
        <v>15300</v>
      </c>
    </row>
    <row r="75" spans="1:37" x14ac:dyDescent="0.3">
      <c r="C75">
        <v>29500</v>
      </c>
      <c r="D75">
        <v>2950</v>
      </c>
      <c r="E75">
        <v>51000</v>
      </c>
      <c r="F75">
        <v>5100</v>
      </c>
      <c r="H75">
        <v>3600</v>
      </c>
      <c r="I75">
        <v>2950</v>
      </c>
      <c r="J75">
        <v>4000</v>
      </c>
      <c r="K75">
        <v>4200</v>
      </c>
      <c r="L75">
        <v>15000</v>
      </c>
      <c r="M75">
        <v>4500</v>
      </c>
      <c r="N75">
        <v>9500</v>
      </c>
      <c r="O75">
        <v>12000</v>
      </c>
      <c r="P75">
        <v>8000</v>
      </c>
      <c r="Q75">
        <v>12000</v>
      </c>
      <c r="R75">
        <v>8500</v>
      </c>
    </row>
    <row r="76" spans="1:37" x14ac:dyDescent="0.3">
      <c r="C76">
        <f>C74-C75</f>
        <v>10450</v>
      </c>
      <c r="D76">
        <f t="shared" ref="D76:R76" si="7">D74-D75</f>
        <v>1045</v>
      </c>
      <c r="E76">
        <f t="shared" si="7"/>
        <v>-1700</v>
      </c>
      <c r="F76">
        <f t="shared" si="7"/>
        <v>-170</v>
      </c>
      <c r="H76">
        <f t="shared" si="7"/>
        <v>1330</v>
      </c>
      <c r="I76">
        <f t="shared" si="7"/>
        <v>1045</v>
      </c>
      <c r="J76">
        <f t="shared" si="7"/>
        <v>1780</v>
      </c>
      <c r="K76">
        <f t="shared" si="7"/>
        <v>220</v>
      </c>
      <c r="L76">
        <f t="shared" si="7"/>
        <v>2595</v>
      </c>
      <c r="M76">
        <f t="shared" si="7"/>
        <v>940</v>
      </c>
      <c r="N76">
        <f t="shared" si="7"/>
        <v>6395</v>
      </c>
      <c r="O76">
        <f t="shared" si="7"/>
        <v>9845</v>
      </c>
      <c r="P76">
        <f t="shared" si="7"/>
        <v>-520</v>
      </c>
      <c r="Q76">
        <f t="shared" si="7"/>
        <v>3895</v>
      </c>
      <c r="R76">
        <f t="shared" si="7"/>
        <v>4250</v>
      </c>
    </row>
    <row r="77" spans="1:37" x14ac:dyDescent="0.3">
      <c r="C77">
        <f t="shared" ref="C77:R77" si="8">C76*C3</f>
        <v>971850</v>
      </c>
      <c r="D77">
        <f t="shared" si="8"/>
        <v>0</v>
      </c>
      <c r="E77">
        <f t="shared" si="8"/>
        <v>-23800</v>
      </c>
      <c r="F77">
        <f t="shared" si="8"/>
        <v>-7480</v>
      </c>
      <c r="G77">
        <f t="shared" si="8"/>
        <v>0</v>
      </c>
      <c r="H77">
        <f t="shared" si="8"/>
        <v>0</v>
      </c>
      <c r="I77">
        <f t="shared" si="8"/>
        <v>0</v>
      </c>
      <c r="J77">
        <f t="shared" si="8"/>
        <v>5340</v>
      </c>
      <c r="K77">
        <f t="shared" si="8"/>
        <v>1320</v>
      </c>
      <c r="L77">
        <f t="shared" si="8"/>
        <v>5190</v>
      </c>
      <c r="M77">
        <f t="shared" si="8"/>
        <v>3760</v>
      </c>
      <c r="N77">
        <f t="shared" si="8"/>
        <v>19185</v>
      </c>
      <c r="O77">
        <f t="shared" si="8"/>
        <v>0</v>
      </c>
      <c r="P77">
        <f t="shared" si="8"/>
        <v>-520</v>
      </c>
      <c r="Q77">
        <f t="shared" si="8"/>
        <v>0</v>
      </c>
      <c r="R77">
        <f t="shared" si="8"/>
        <v>12750</v>
      </c>
      <c r="X77" s="245"/>
      <c r="Y77" s="245"/>
      <c r="Z77" s="245"/>
      <c r="AA77" s="245"/>
      <c r="AB77" s="245"/>
    </row>
    <row r="78" spans="1:37" x14ac:dyDescent="0.3">
      <c r="X78" s="245"/>
      <c r="Y78" s="245"/>
      <c r="Z78" s="245"/>
      <c r="AA78" s="245"/>
      <c r="AB78" s="245"/>
    </row>
    <row r="79" spans="1:37" ht="26.25" x14ac:dyDescent="0.3">
      <c r="P79" s="257">
        <f>SUM(C77:R77)</f>
        <v>987595</v>
      </c>
      <c r="Q79" s="258"/>
    </row>
  </sheetData>
  <mergeCells count="31">
    <mergeCell ref="A1:B2"/>
    <mergeCell ref="C1:D1"/>
    <mergeCell ref="E1:F1"/>
    <mergeCell ref="A4:A22"/>
    <mergeCell ref="A23:A43"/>
    <mergeCell ref="A44:A52"/>
    <mergeCell ref="AD64:AH65"/>
    <mergeCell ref="AJ64:AK65"/>
    <mergeCell ref="A65:B65"/>
    <mergeCell ref="Y52:AB52"/>
    <mergeCell ref="AD52:AH52"/>
    <mergeCell ref="AJ52:AK52"/>
    <mergeCell ref="A53:A62"/>
    <mergeCell ref="Y62:AB62"/>
    <mergeCell ref="AD62:AH62"/>
    <mergeCell ref="AJ62:AK62"/>
    <mergeCell ref="C69:D69"/>
    <mergeCell ref="P69:Q69"/>
    <mergeCell ref="U69:W69"/>
    <mergeCell ref="Y69:AB69"/>
    <mergeCell ref="A64:B64"/>
    <mergeCell ref="U64:W65"/>
    <mergeCell ref="Y64:AB65"/>
    <mergeCell ref="U70:W72"/>
    <mergeCell ref="Y70:AB73"/>
    <mergeCell ref="P71:Q72"/>
    <mergeCell ref="X77:AB78"/>
    <mergeCell ref="P79:Q79"/>
    <mergeCell ref="P67:Q67"/>
    <mergeCell ref="U67:W67"/>
    <mergeCell ref="Y67:AB67"/>
  </mergeCells>
  <phoneticPr fontId="45" type="noConversion"/>
  <conditionalFormatting sqref="B7:B11">
    <cfRule type="duplicateValues" dxfId="95" priority="2"/>
  </conditionalFormatting>
  <conditionalFormatting sqref="B44:B51">
    <cfRule type="duplicateValues" dxfId="94" priority="3"/>
  </conditionalFormatting>
  <conditionalFormatting sqref="B12">
    <cfRule type="duplicateValues" dxfId="93" priority="1"/>
  </conditionalFormatting>
  <conditionalFormatting sqref="B4:B6 B13:B21">
    <cfRule type="expression" dxfId="92" priority="4" stopIfTrue="1">
      <formula>AND(COUNTIF($B$4:$B$6, B4)+COUNTIF($B$13:$B$21, B4)&gt;1,NOT(ISBLANK(B4)))</formula>
    </cfRule>
  </conditionalFormatting>
  <conditionalFormatting sqref="B53:B61">
    <cfRule type="duplicateValues" dxfId="91" priority="5"/>
  </conditionalFormatting>
  <conditionalFormatting sqref="B23:B42">
    <cfRule type="duplicateValues" dxfId="90" priority="6"/>
  </conditionalFormatting>
  <printOptions horizontalCentered="1" verticalCentered="1"/>
  <pageMargins left="0" right="0" top="7.874015748031496E-2" bottom="7.874015748031496E-2" header="0" footer="0"/>
  <pageSetup paperSize="9" scale="23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T17"/>
  <sheetViews>
    <sheetView zoomScale="70" zoomScaleNormal="70" workbookViewId="0">
      <pane ySplit="3" topLeftCell="A4" activePane="bottomLeft" state="frozen"/>
      <selection activeCell="V43" sqref="V43"/>
      <selection pane="bottomLeft" activeCell="V43" sqref="V43"/>
    </sheetView>
  </sheetViews>
  <sheetFormatPr defaultRowHeight="16.5" x14ac:dyDescent="0.3"/>
  <cols>
    <col min="1" max="1" width="32.875" customWidth="1"/>
    <col min="2" max="6" width="10" customWidth="1"/>
    <col min="7" max="7" width="5.75" customWidth="1"/>
    <col min="8" max="8" width="18.5" customWidth="1"/>
    <col min="9" max="20" width="10.875" customWidth="1"/>
  </cols>
  <sheetData>
    <row r="1" spans="1:20" ht="113.25" customHeight="1" x14ac:dyDescent="0.3">
      <c r="A1" s="222" t="s">
        <v>195</v>
      </c>
      <c r="B1" s="223"/>
      <c r="C1" s="267" t="s">
        <v>97</v>
      </c>
      <c r="D1" s="268"/>
      <c r="E1" s="228" t="s">
        <v>98</v>
      </c>
      <c r="F1" s="228"/>
      <c r="G1" s="8"/>
      <c r="H1" s="269" t="s">
        <v>18</v>
      </c>
      <c r="I1" s="72" t="s">
        <v>20</v>
      </c>
      <c r="J1" s="160" t="s">
        <v>21</v>
      </c>
      <c r="K1" s="5" t="s">
        <v>101</v>
      </c>
      <c r="L1" s="160" t="s">
        <v>100</v>
      </c>
      <c r="M1" s="5" t="s">
        <v>96</v>
      </c>
      <c r="N1" s="160" t="s">
        <v>183</v>
      </c>
      <c r="O1" s="5" t="s">
        <v>114</v>
      </c>
      <c r="P1" s="160" t="s">
        <v>115</v>
      </c>
      <c r="Q1" s="5" t="s">
        <v>190</v>
      </c>
      <c r="R1" s="160" t="s">
        <v>105</v>
      </c>
      <c r="S1" s="5" t="s">
        <v>106</v>
      </c>
      <c r="T1" s="160" t="s">
        <v>191</v>
      </c>
    </row>
    <row r="2" spans="1:20" ht="43.5" customHeight="1" x14ac:dyDescent="0.3">
      <c r="A2" s="224"/>
      <c r="B2" s="225"/>
      <c r="C2" s="73" t="s">
        <v>2</v>
      </c>
      <c r="D2" s="73" t="s">
        <v>22</v>
      </c>
      <c r="E2" s="1" t="s">
        <v>2</v>
      </c>
      <c r="F2" s="1" t="s">
        <v>1</v>
      </c>
      <c r="G2" s="9"/>
      <c r="H2" s="270"/>
      <c r="I2" s="6" t="s">
        <v>3</v>
      </c>
      <c r="J2" s="1" t="s">
        <v>1</v>
      </c>
      <c r="K2" s="6" t="s">
        <v>3</v>
      </c>
      <c r="L2" s="1" t="s">
        <v>1</v>
      </c>
      <c r="M2" s="6" t="s">
        <v>3</v>
      </c>
      <c r="N2" s="1" t="s">
        <v>1</v>
      </c>
      <c r="O2" s="6" t="s">
        <v>3</v>
      </c>
      <c r="P2" s="1" t="s">
        <v>1</v>
      </c>
      <c r="Q2" s="6" t="s">
        <v>3</v>
      </c>
      <c r="R2" s="1" t="s">
        <v>1</v>
      </c>
      <c r="S2" s="6" t="s">
        <v>3</v>
      </c>
      <c r="T2" s="1" t="s">
        <v>1</v>
      </c>
    </row>
    <row r="3" spans="1:20" ht="39" customHeight="1" thickBot="1" x14ac:dyDescent="0.35">
      <c r="A3" s="271" t="s">
        <v>10</v>
      </c>
      <c r="B3" s="272"/>
      <c r="C3" s="44">
        <f>SUM(C4:C19)</f>
        <v>94</v>
      </c>
      <c r="D3" s="44">
        <f>SUM(D4:D19)</f>
        <v>0</v>
      </c>
      <c r="E3" s="44">
        <f>SUM(E4:E19)</f>
        <v>14</v>
      </c>
      <c r="F3" s="44">
        <f>SUM(F4:F19)</f>
        <v>54</v>
      </c>
      <c r="G3" s="161"/>
      <c r="H3" s="13" t="s">
        <v>10</v>
      </c>
      <c r="I3" s="44">
        <f>SUM(I4:I14)</f>
        <v>0</v>
      </c>
      <c r="J3" s="44">
        <f t="shared" ref="J3:T3" si="0">SUM(J4:J14)</f>
        <v>0</v>
      </c>
      <c r="K3" s="44">
        <f t="shared" si="0"/>
        <v>3</v>
      </c>
      <c r="L3" s="44">
        <f t="shared" si="0"/>
        <v>6</v>
      </c>
      <c r="M3" s="44">
        <f t="shared" si="0"/>
        <v>2</v>
      </c>
      <c r="N3" s="44">
        <f t="shared" si="0"/>
        <v>4</v>
      </c>
      <c r="O3" s="44">
        <f t="shared" si="0"/>
        <v>3</v>
      </c>
      <c r="P3" s="44">
        <f t="shared" si="0"/>
        <v>0</v>
      </c>
      <c r="Q3" s="44">
        <f t="shared" si="0"/>
        <v>1</v>
      </c>
      <c r="R3" s="44">
        <f t="shared" si="0"/>
        <v>0</v>
      </c>
      <c r="S3" s="44">
        <f t="shared" si="0"/>
        <v>3</v>
      </c>
      <c r="T3" s="44">
        <f t="shared" si="0"/>
        <v>0</v>
      </c>
    </row>
    <row r="4" spans="1:20" ht="82.7" customHeight="1" thickTop="1" x14ac:dyDescent="0.3">
      <c r="A4" s="273" t="s">
        <v>15</v>
      </c>
      <c r="B4" s="274"/>
      <c r="C4" s="57">
        <f>'학교별04.17'!C22</f>
        <v>70</v>
      </c>
      <c r="D4" s="57">
        <f>'학교별04.17'!D22</f>
        <v>0</v>
      </c>
      <c r="E4" s="58">
        <f>'학교별04.17'!E22</f>
        <v>8</v>
      </c>
      <c r="F4" s="59">
        <f>'학교별04.17'!F22</f>
        <v>34</v>
      </c>
      <c r="G4" s="161"/>
      <c r="H4" s="49" t="s">
        <v>15</v>
      </c>
      <c r="I4" s="47">
        <f>'학교별04.17'!H22</f>
        <v>0</v>
      </c>
      <c r="J4" s="45">
        <f>'학교별04.17'!I22</f>
        <v>0</v>
      </c>
      <c r="K4" s="47">
        <f>'학교별04.17'!J22</f>
        <v>1</v>
      </c>
      <c r="L4" s="45">
        <f>'학교별04.17'!K22</f>
        <v>1</v>
      </c>
      <c r="M4" s="47">
        <f>'학교별04.17'!L22</f>
        <v>1</v>
      </c>
      <c r="N4" s="45">
        <f>'학교별04.17'!M22</f>
        <v>1</v>
      </c>
      <c r="O4" s="47">
        <f>'학교별04.17'!N22</f>
        <v>0</v>
      </c>
      <c r="P4" s="45">
        <f>'학교별04.17'!O22</f>
        <v>0</v>
      </c>
      <c r="Q4" s="47">
        <f>'학교별04.17'!P22</f>
        <v>0</v>
      </c>
      <c r="R4" s="45">
        <f>'학교별04.17'!Q22</f>
        <v>0</v>
      </c>
      <c r="S4" s="47">
        <f>'학교별04.17'!R22</f>
        <v>1</v>
      </c>
      <c r="T4" s="87">
        <f>'학교별04.17'!S22</f>
        <v>0</v>
      </c>
    </row>
    <row r="5" spans="1:20" ht="82.7" customHeight="1" thickBot="1" x14ac:dyDescent="0.35">
      <c r="A5" s="275" t="s">
        <v>196</v>
      </c>
      <c r="B5" s="276"/>
      <c r="C5" s="79">
        <v>1</v>
      </c>
      <c r="D5" s="60"/>
      <c r="E5" s="62"/>
      <c r="F5" s="61">
        <v>10</v>
      </c>
      <c r="G5" s="161"/>
      <c r="H5" s="40"/>
      <c r="I5" s="83"/>
      <c r="J5" s="81"/>
      <c r="K5" s="95"/>
      <c r="L5" s="81"/>
      <c r="M5" s="84"/>
      <c r="N5" s="81"/>
      <c r="O5" s="83"/>
      <c r="P5" s="42"/>
      <c r="Q5" s="41"/>
      <c r="R5" s="42"/>
      <c r="S5" s="83"/>
      <c r="T5" s="88"/>
    </row>
    <row r="6" spans="1:20" ht="18" thickTop="1" thickBot="1" x14ac:dyDescent="0.35">
      <c r="H6" s="33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138"/>
    </row>
    <row r="7" spans="1:20" ht="82.7" customHeight="1" thickTop="1" x14ac:dyDescent="0.3">
      <c r="A7" s="277" t="s">
        <v>26</v>
      </c>
      <c r="B7" s="278"/>
      <c r="C7" s="47">
        <f>'학교별04.17'!C43</f>
        <v>23</v>
      </c>
      <c r="D7" s="47">
        <f>'학교별04.17'!D43</f>
        <v>0</v>
      </c>
      <c r="E7" s="45">
        <f>'학교별04.17'!E43</f>
        <v>6</v>
      </c>
      <c r="F7" s="45">
        <f>'학교별04.17'!F43</f>
        <v>10</v>
      </c>
      <c r="G7" s="37"/>
      <c r="H7" s="55" t="s">
        <v>17</v>
      </c>
      <c r="I7" s="48">
        <f>'학교별04.17'!H43</f>
        <v>0</v>
      </c>
      <c r="J7" s="46">
        <f>'학교별04.17'!I43</f>
        <v>0</v>
      </c>
      <c r="K7" s="48">
        <f>'학교별04.17'!J43</f>
        <v>0</v>
      </c>
      <c r="L7" s="46">
        <f>'학교별04.17'!K43</f>
        <v>0</v>
      </c>
      <c r="M7" s="48">
        <f>'학교별04.17'!L43</f>
        <v>0</v>
      </c>
      <c r="N7" s="46">
        <f>'학교별04.17'!M43</f>
        <v>0</v>
      </c>
      <c r="O7" s="48">
        <f>'학교별04.17'!N43</f>
        <v>0</v>
      </c>
      <c r="P7" s="46">
        <f>'학교별04.17'!O43</f>
        <v>0</v>
      </c>
      <c r="Q7" s="48">
        <f>'학교별04.17'!P43</f>
        <v>0</v>
      </c>
      <c r="R7" s="46">
        <f>'학교별04.17'!Q43</f>
        <v>0</v>
      </c>
      <c r="S7" s="48">
        <f>'학교별04.17'!R43</f>
        <v>0</v>
      </c>
      <c r="T7" s="90">
        <f>'학교별04.17'!S43</f>
        <v>0</v>
      </c>
    </row>
    <row r="8" spans="1:20" ht="82.7" customHeight="1" thickBot="1" x14ac:dyDescent="0.35">
      <c r="A8" s="261"/>
      <c r="B8" s="262"/>
      <c r="C8" s="75"/>
      <c r="D8" s="96"/>
      <c r="E8" s="78"/>
      <c r="F8" s="38"/>
      <c r="G8" s="39"/>
      <c r="H8" s="161"/>
      <c r="I8" s="41"/>
      <c r="J8" s="42"/>
      <c r="K8" s="41"/>
      <c r="L8" s="42"/>
      <c r="M8" s="41"/>
      <c r="N8" s="42"/>
      <c r="O8" s="41"/>
      <c r="P8" s="42"/>
      <c r="Q8" s="41"/>
      <c r="R8" s="98"/>
      <c r="S8" s="41"/>
      <c r="T8" s="88"/>
    </row>
    <row r="9" spans="1:20" ht="18" thickTop="1" thickBot="1" x14ac:dyDescent="0.35">
      <c r="H9" s="33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138"/>
    </row>
    <row r="10" spans="1:20" ht="82.7" customHeight="1" thickTop="1" x14ac:dyDescent="0.3">
      <c r="A10" s="263" t="s">
        <v>16</v>
      </c>
      <c r="B10" s="264"/>
      <c r="C10" s="65">
        <f>'학교별04.17'!C52</f>
        <v>0</v>
      </c>
      <c r="D10" s="65">
        <f>'학교별04.17'!D52</f>
        <v>0</v>
      </c>
      <c r="E10" s="66">
        <f>'학교별04.17'!E52</f>
        <v>0</v>
      </c>
      <c r="F10" s="67">
        <f>'학교별04.17'!F52</f>
        <v>0</v>
      </c>
      <c r="G10" s="161"/>
      <c r="H10" s="136" t="s">
        <v>25</v>
      </c>
      <c r="I10" s="127">
        <f>'학교별04.17'!H52</f>
        <v>0</v>
      </c>
      <c r="J10" s="128">
        <f>'학교별04.17'!I52</f>
        <v>0</v>
      </c>
      <c r="K10" s="127">
        <f>'학교별04.17'!J52</f>
        <v>0</v>
      </c>
      <c r="L10" s="128">
        <f>'학교별04.17'!K52</f>
        <v>5</v>
      </c>
      <c r="M10" s="127">
        <f>'학교별04.17'!L52</f>
        <v>0</v>
      </c>
      <c r="N10" s="128">
        <f>'학교별04.17'!M52</f>
        <v>1</v>
      </c>
      <c r="O10" s="127">
        <f>'학교별04.17'!N52</f>
        <v>0</v>
      </c>
      <c r="P10" s="128">
        <f>'학교별04.17'!O52</f>
        <v>0</v>
      </c>
      <c r="Q10" s="127">
        <f>'학교별04.17'!P52</f>
        <v>0</v>
      </c>
      <c r="R10" s="128">
        <f>'학교별04.17'!Q52</f>
        <v>0</v>
      </c>
      <c r="S10" s="127">
        <f>'학교별04.17'!R52</f>
        <v>0</v>
      </c>
      <c r="T10" s="137">
        <f>'학교별04.17'!S52</f>
        <v>0</v>
      </c>
    </row>
    <row r="11" spans="1:20" ht="82.7" customHeight="1" thickBot="1" x14ac:dyDescent="0.35">
      <c r="A11" s="265"/>
      <c r="B11" s="266"/>
      <c r="C11" s="68"/>
      <c r="D11" s="69"/>
      <c r="E11" s="144"/>
      <c r="F11" s="71"/>
      <c r="H11" s="33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138"/>
    </row>
    <row r="12" spans="1:20" ht="18" thickTop="1" thickBot="1" x14ac:dyDescent="0.35">
      <c r="H12" s="33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138"/>
    </row>
    <row r="13" spans="1:20" ht="82.7" customHeight="1" thickTop="1" x14ac:dyDescent="0.3">
      <c r="A13" s="282" t="s">
        <v>175</v>
      </c>
      <c r="B13" s="283"/>
      <c r="C13" s="129">
        <f>'학교별04.17'!C62</f>
        <v>0</v>
      </c>
      <c r="D13" s="129">
        <f>'학교별04.17'!D62</f>
        <v>0</v>
      </c>
      <c r="E13" s="130">
        <f>'학교별04.17'!E62</f>
        <v>0</v>
      </c>
      <c r="F13" s="131">
        <f>'학교별04.17'!F62</f>
        <v>0</v>
      </c>
      <c r="G13" s="161"/>
      <c r="H13" s="136" t="s">
        <v>174</v>
      </c>
      <c r="I13" s="127">
        <f>'학교별04.17'!H62</f>
        <v>0</v>
      </c>
      <c r="J13" s="128">
        <f>'학교별04.17'!I62</f>
        <v>0</v>
      </c>
      <c r="K13" s="127">
        <f>'학교별04.17'!J62</f>
        <v>2</v>
      </c>
      <c r="L13" s="128">
        <f>'학교별04.17'!K62</f>
        <v>0</v>
      </c>
      <c r="M13" s="127">
        <f>'학교별04.17'!L62</f>
        <v>1</v>
      </c>
      <c r="N13" s="128">
        <f>'학교별04.17'!M62</f>
        <v>2</v>
      </c>
      <c r="O13" s="127">
        <f>'학교별04.17'!N62</f>
        <v>3</v>
      </c>
      <c r="P13" s="128">
        <f>'학교별04.17'!O62</f>
        <v>0</v>
      </c>
      <c r="Q13" s="127">
        <f>'학교별04.17'!P62</f>
        <v>1</v>
      </c>
      <c r="R13" s="128">
        <f>'학교별04.17'!Q62</f>
        <v>0</v>
      </c>
      <c r="S13" s="127">
        <f>'학교별04.17'!R62</f>
        <v>2</v>
      </c>
      <c r="T13" s="137">
        <f>'학교별04.17'!S62</f>
        <v>0</v>
      </c>
    </row>
    <row r="14" spans="1:20" ht="82.7" customHeight="1" thickBot="1" x14ac:dyDescent="0.35">
      <c r="A14" s="280"/>
      <c r="B14" s="281"/>
      <c r="C14" s="132"/>
      <c r="D14" s="133"/>
      <c r="E14" s="134"/>
      <c r="F14" s="135"/>
      <c r="H14" s="64"/>
      <c r="I14" s="14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152"/>
    </row>
    <row r="15" spans="1:20" ht="17.25" thickTop="1" x14ac:dyDescent="0.3"/>
    <row r="17" spans="8:8" x14ac:dyDescent="0.3">
      <c r="H17" t="s">
        <v>83</v>
      </c>
    </row>
  </sheetData>
  <mergeCells count="13">
    <mergeCell ref="A1:B2"/>
    <mergeCell ref="C1:D1"/>
    <mergeCell ref="E1:F1"/>
    <mergeCell ref="H1:H2"/>
    <mergeCell ref="A3:B3"/>
    <mergeCell ref="A4:B4"/>
    <mergeCell ref="A14:B14"/>
    <mergeCell ref="A5:B5"/>
    <mergeCell ref="A7:B7"/>
    <mergeCell ref="A8:B8"/>
    <mergeCell ref="A10:B10"/>
    <mergeCell ref="A11:B11"/>
    <mergeCell ref="A13:B13"/>
  </mergeCells>
  <phoneticPr fontId="45" type="noConversion"/>
  <conditionalFormatting sqref="A4:A5">
    <cfRule type="duplicateValues" dxfId="89" priority="2"/>
  </conditionalFormatting>
  <conditionalFormatting sqref="A7:A8">
    <cfRule type="duplicateValues" dxfId="88" priority="3"/>
  </conditionalFormatting>
  <conditionalFormatting sqref="A13">
    <cfRule type="duplicateValues" dxfId="87" priority="1"/>
  </conditionalFormatting>
  <conditionalFormatting sqref="A10">
    <cfRule type="duplicateValues" dxfId="86" priority="4"/>
  </conditionalFormatting>
  <printOptions horizontalCentered="1" verticalCentered="1"/>
  <pageMargins left="0" right="0" top="7.874015748031496E-2" bottom="7.874015748031496E-2" header="0" footer="0"/>
  <pageSetup paperSize="9" scale="56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79"/>
  <sheetViews>
    <sheetView zoomScale="70" zoomScaleNormal="70" workbookViewId="0">
      <pane ySplit="3" topLeftCell="A19" activePane="bottomLeft" state="frozen"/>
      <selection activeCell="I6" sqref="I6"/>
      <selection pane="bottomLeft" activeCell="I6" sqref="I6"/>
    </sheetView>
  </sheetViews>
  <sheetFormatPr defaultRowHeight="16.5" x14ac:dyDescent="0.3"/>
  <cols>
    <col min="1" max="1" width="9" customWidth="1"/>
    <col min="2" max="2" width="33.75" customWidth="1"/>
    <col min="3" max="3" width="10.75" customWidth="1"/>
    <col min="4" max="4" width="10" customWidth="1"/>
    <col min="5" max="5" width="10.5" customWidth="1"/>
    <col min="6" max="6" width="10" customWidth="1"/>
    <col min="7" max="7" width="4.125" customWidth="1"/>
    <col min="8" max="19" width="10.875" customWidth="1"/>
    <col min="20" max="20" width="5.5" customWidth="1"/>
    <col min="21" max="21" width="10.875" bestFit="1" customWidth="1"/>
  </cols>
  <sheetData>
    <row r="1" spans="1:23" ht="113.25" customHeight="1" x14ac:dyDescent="0.3">
      <c r="A1" s="222" t="s">
        <v>197</v>
      </c>
      <c r="B1" s="223"/>
      <c r="C1" s="226" t="s">
        <v>0</v>
      </c>
      <c r="D1" s="227"/>
      <c r="E1" s="228" t="s">
        <v>19</v>
      </c>
      <c r="F1" s="228"/>
      <c r="G1" s="8"/>
      <c r="H1" s="72" t="s">
        <v>20</v>
      </c>
      <c r="I1" s="162" t="s">
        <v>21</v>
      </c>
      <c r="J1" s="5" t="s">
        <v>7</v>
      </c>
      <c r="K1" s="162" t="s">
        <v>4</v>
      </c>
      <c r="L1" s="5" t="s">
        <v>6</v>
      </c>
      <c r="M1" s="162" t="s">
        <v>5</v>
      </c>
      <c r="N1" s="5" t="s">
        <v>9</v>
      </c>
      <c r="O1" s="162" t="s">
        <v>119</v>
      </c>
      <c r="P1" s="5" t="s">
        <v>8</v>
      </c>
      <c r="Q1" s="162" t="s">
        <v>12</v>
      </c>
      <c r="R1" s="5" t="s">
        <v>95</v>
      </c>
      <c r="S1" s="162" t="s">
        <v>11</v>
      </c>
    </row>
    <row r="2" spans="1:23" ht="43.5" customHeight="1" x14ac:dyDescent="0.3">
      <c r="A2" s="224"/>
      <c r="B2" s="225"/>
      <c r="C2" s="73" t="s">
        <v>2</v>
      </c>
      <c r="D2" s="21" t="s">
        <v>1</v>
      </c>
      <c r="E2" s="1" t="s">
        <v>2</v>
      </c>
      <c r="F2" s="1" t="s">
        <v>1</v>
      </c>
      <c r="G2" s="9"/>
      <c r="H2" s="6" t="s">
        <v>3</v>
      </c>
      <c r="I2" s="1" t="s">
        <v>1</v>
      </c>
      <c r="J2" s="6" t="s">
        <v>3</v>
      </c>
      <c r="K2" s="1" t="s">
        <v>1</v>
      </c>
      <c r="L2" s="6" t="s">
        <v>3</v>
      </c>
      <c r="M2" s="1" t="s">
        <v>1</v>
      </c>
      <c r="N2" s="6" t="s">
        <v>3</v>
      </c>
      <c r="O2" s="1" t="s">
        <v>1</v>
      </c>
      <c r="P2" s="6" t="s">
        <v>3</v>
      </c>
      <c r="Q2" s="1" t="s">
        <v>1</v>
      </c>
      <c r="R2" s="6" t="s">
        <v>3</v>
      </c>
      <c r="S2" s="1" t="s">
        <v>1</v>
      </c>
    </row>
    <row r="3" spans="1:23" ht="26.25" x14ac:dyDescent="0.3">
      <c r="A3" s="97" t="s">
        <v>14</v>
      </c>
      <c r="B3" s="12" t="s">
        <v>10</v>
      </c>
      <c r="C3" s="29">
        <f>C22+C43+C52+C62</f>
        <v>18</v>
      </c>
      <c r="D3" s="29">
        <f>D22+D43+D52+D62</f>
        <v>0</v>
      </c>
      <c r="E3" s="29">
        <f>E22+E43+E52+E62</f>
        <v>2</v>
      </c>
      <c r="F3" s="2">
        <f>F22+F43+F52+F62</f>
        <v>30</v>
      </c>
      <c r="G3" s="163"/>
      <c r="H3" s="2">
        <f t="shared" ref="H3:S3" si="0">H22+H43+H52+H62</f>
        <v>6</v>
      </c>
      <c r="I3" s="2">
        <f t="shared" si="0"/>
        <v>2</v>
      </c>
      <c r="J3" s="2">
        <f t="shared" si="0"/>
        <v>1</v>
      </c>
      <c r="K3" s="2">
        <f t="shared" si="0"/>
        <v>2</v>
      </c>
      <c r="L3" s="2">
        <f t="shared" si="0"/>
        <v>6</v>
      </c>
      <c r="M3" s="2">
        <f t="shared" si="0"/>
        <v>3</v>
      </c>
      <c r="N3" s="2">
        <f t="shared" si="0"/>
        <v>3</v>
      </c>
      <c r="O3" s="2">
        <f t="shared" si="0"/>
        <v>0</v>
      </c>
      <c r="P3" s="2">
        <f t="shared" si="0"/>
        <v>0</v>
      </c>
      <c r="Q3" s="2">
        <f t="shared" si="0"/>
        <v>0</v>
      </c>
      <c r="R3" s="2">
        <f t="shared" si="0"/>
        <v>1</v>
      </c>
      <c r="S3" s="2">
        <f t="shared" si="0"/>
        <v>0</v>
      </c>
      <c r="T3" s="4">
        <f>D3*10</f>
        <v>0</v>
      </c>
      <c r="U3">
        <f>F3*10+E3</f>
        <v>302</v>
      </c>
      <c r="V3" s="4">
        <f>SUM(H3:Q3)</f>
        <v>23</v>
      </c>
      <c r="W3" s="11">
        <f>SUM(T3:V3)</f>
        <v>325</v>
      </c>
    </row>
    <row r="4" spans="1:23" ht="24" customHeight="1" x14ac:dyDescent="0.3">
      <c r="A4" s="229" t="s">
        <v>34</v>
      </c>
      <c r="B4" s="3" t="s">
        <v>160</v>
      </c>
      <c r="C4" s="7"/>
      <c r="D4" s="7"/>
      <c r="E4" s="50"/>
      <c r="F4" s="50"/>
      <c r="G4" s="163"/>
      <c r="H4" s="7"/>
      <c r="I4" s="50"/>
      <c r="J4" s="10"/>
      <c r="K4" s="50"/>
      <c r="L4" s="7"/>
      <c r="M4" s="50"/>
      <c r="N4" s="10"/>
      <c r="O4" s="50"/>
      <c r="P4" s="7"/>
      <c r="Q4" s="50"/>
      <c r="R4" s="7"/>
      <c r="S4" s="50"/>
    </row>
    <row r="5" spans="1:23" ht="24" customHeight="1" x14ac:dyDescent="0.3">
      <c r="A5" s="230"/>
      <c r="B5" s="3" t="s">
        <v>150</v>
      </c>
      <c r="C5" s="7">
        <v>2</v>
      </c>
      <c r="D5" s="7"/>
      <c r="E5" s="50"/>
      <c r="F5" s="50">
        <v>3</v>
      </c>
      <c r="G5" s="163"/>
      <c r="H5" s="7"/>
      <c r="I5" s="50"/>
      <c r="J5" s="10"/>
      <c r="K5" s="50"/>
      <c r="L5" s="7"/>
      <c r="M5" s="50"/>
      <c r="N5" s="10"/>
      <c r="O5" s="50"/>
      <c r="P5" s="7"/>
      <c r="Q5" s="50"/>
      <c r="R5" s="7"/>
      <c r="S5" s="50"/>
    </row>
    <row r="6" spans="1:23" ht="24" customHeight="1" x14ac:dyDescent="0.3">
      <c r="A6" s="230"/>
      <c r="B6" s="3" t="s">
        <v>149</v>
      </c>
      <c r="C6" s="7">
        <v>3</v>
      </c>
      <c r="D6" s="7"/>
      <c r="E6" s="50"/>
      <c r="F6" s="50">
        <v>8</v>
      </c>
      <c r="G6" s="163"/>
      <c r="H6" s="7"/>
      <c r="I6" s="50"/>
      <c r="J6" s="10"/>
      <c r="K6" s="50"/>
      <c r="L6" s="7"/>
      <c r="M6" s="50"/>
      <c r="N6" s="10"/>
      <c r="O6" s="50"/>
      <c r="P6" s="7"/>
      <c r="Q6" s="50"/>
      <c r="R6" s="7"/>
      <c r="S6" s="50"/>
    </row>
    <row r="7" spans="1:23" ht="24" customHeight="1" x14ac:dyDescent="0.3">
      <c r="A7" s="230"/>
      <c r="B7" s="3" t="s">
        <v>156</v>
      </c>
      <c r="C7" s="7"/>
      <c r="D7" s="7"/>
      <c r="E7" s="50"/>
      <c r="F7" s="50"/>
      <c r="G7" s="163"/>
      <c r="H7" s="7"/>
      <c r="I7" s="50"/>
      <c r="J7" s="10"/>
      <c r="K7" s="50"/>
      <c r="L7" s="7"/>
      <c r="M7" s="50"/>
      <c r="N7" s="10"/>
      <c r="O7" s="50"/>
      <c r="P7" s="7"/>
      <c r="Q7" s="50"/>
      <c r="R7" s="7"/>
      <c r="S7" s="50"/>
    </row>
    <row r="8" spans="1:23" ht="24" customHeight="1" x14ac:dyDescent="0.3">
      <c r="A8" s="230"/>
      <c r="B8" s="3" t="s">
        <v>148</v>
      </c>
      <c r="C8" s="77"/>
      <c r="D8" s="7"/>
      <c r="E8" s="50"/>
      <c r="F8" s="50"/>
      <c r="G8" s="63"/>
      <c r="H8" s="7"/>
      <c r="I8" s="50"/>
      <c r="J8" s="10"/>
      <c r="K8" s="50"/>
      <c r="L8" s="7"/>
      <c r="M8" s="50"/>
      <c r="N8" s="10"/>
      <c r="O8" s="50"/>
      <c r="P8" s="7"/>
      <c r="Q8" s="50"/>
      <c r="R8" s="7"/>
      <c r="S8" s="50"/>
    </row>
    <row r="9" spans="1:23" ht="24" customHeight="1" x14ac:dyDescent="0.3">
      <c r="A9" s="230"/>
      <c r="B9" s="3" t="s">
        <v>153</v>
      </c>
      <c r="C9" s="7"/>
      <c r="D9" s="7"/>
      <c r="E9" s="50"/>
      <c r="F9" s="50">
        <v>1</v>
      </c>
      <c r="G9" s="163"/>
      <c r="H9" s="7"/>
      <c r="I9" s="50"/>
      <c r="J9" s="10"/>
      <c r="K9" s="50"/>
      <c r="L9" s="7"/>
      <c r="M9" s="50"/>
      <c r="N9" s="10"/>
      <c r="O9" s="50"/>
      <c r="P9" s="7"/>
      <c r="Q9" s="50"/>
      <c r="R9" s="7"/>
      <c r="S9" s="50"/>
    </row>
    <row r="10" spans="1:23" ht="24" customHeight="1" x14ac:dyDescent="0.3">
      <c r="A10" s="230"/>
      <c r="B10" s="3" t="s">
        <v>158</v>
      </c>
      <c r="C10" s="7"/>
      <c r="D10" s="7"/>
      <c r="E10" s="50"/>
      <c r="F10" s="50"/>
      <c r="G10" s="163"/>
      <c r="H10" s="7"/>
      <c r="I10" s="50"/>
      <c r="J10" s="10"/>
      <c r="K10" s="50"/>
      <c r="L10" s="7"/>
      <c r="M10" s="50"/>
      <c r="N10" s="10"/>
      <c r="O10" s="50"/>
      <c r="P10" s="7"/>
      <c r="Q10" s="50"/>
      <c r="R10" s="7"/>
      <c r="S10" s="50"/>
    </row>
    <row r="11" spans="1:23" ht="24" customHeight="1" x14ac:dyDescent="0.3">
      <c r="A11" s="230"/>
      <c r="B11" s="3" t="s">
        <v>152</v>
      </c>
      <c r="C11" s="7"/>
      <c r="D11" s="7"/>
      <c r="E11" s="50"/>
      <c r="F11" s="50"/>
      <c r="G11" s="163"/>
      <c r="H11" s="7"/>
      <c r="I11" s="50"/>
      <c r="J11" s="10"/>
      <c r="K11" s="50"/>
      <c r="L11" s="7"/>
      <c r="M11" s="50"/>
      <c r="N11" s="10"/>
      <c r="O11" s="50"/>
      <c r="P11" s="7"/>
      <c r="Q11" s="50"/>
      <c r="R11" s="7"/>
      <c r="S11" s="50"/>
    </row>
    <row r="12" spans="1:23" ht="24" customHeight="1" x14ac:dyDescent="0.3">
      <c r="A12" s="230"/>
      <c r="B12" s="3" t="s">
        <v>161</v>
      </c>
      <c r="C12" s="7"/>
      <c r="D12" s="77"/>
      <c r="E12" s="76"/>
      <c r="F12" s="50"/>
      <c r="G12" s="80"/>
      <c r="H12" s="7"/>
      <c r="I12" s="76"/>
      <c r="J12" s="7"/>
      <c r="K12" s="50"/>
      <c r="L12" s="7"/>
      <c r="M12" s="50"/>
      <c r="N12" s="10"/>
      <c r="O12" s="50"/>
      <c r="P12" s="7"/>
      <c r="Q12" s="76"/>
      <c r="R12" s="10">
        <v>1</v>
      </c>
      <c r="S12" s="76"/>
    </row>
    <row r="13" spans="1:23" ht="24" customHeight="1" x14ac:dyDescent="0.3">
      <c r="A13" s="230"/>
      <c r="B13" s="3" t="s">
        <v>154</v>
      </c>
      <c r="C13" s="7">
        <v>2</v>
      </c>
      <c r="D13" s="7"/>
      <c r="E13" s="50"/>
      <c r="F13" s="50">
        <v>8</v>
      </c>
      <c r="G13" s="163"/>
      <c r="H13" s="7"/>
      <c r="I13" s="50"/>
      <c r="J13" s="10">
        <v>1</v>
      </c>
      <c r="K13" s="50"/>
      <c r="L13" s="7"/>
      <c r="M13" s="50"/>
      <c r="N13" s="10"/>
      <c r="O13" s="50"/>
      <c r="P13" s="7"/>
      <c r="Q13" s="50"/>
      <c r="R13" s="7"/>
      <c r="S13" s="50"/>
    </row>
    <row r="14" spans="1:23" ht="24" customHeight="1" x14ac:dyDescent="0.3">
      <c r="A14" s="230"/>
      <c r="B14" s="100" t="s">
        <v>164</v>
      </c>
      <c r="C14" s="7"/>
      <c r="D14" s="7"/>
      <c r="E14" s="50"/>
      <c r="F14" s="50"/>
      <c r="G14" s="163"/>
      <c r="H14" s="7"/>
      <c r="I14" s="50"/>
      <c r="J14" s="10"/>
      <c r="K14" s="50"/>
      <c r="L14" s="7"/>
      <c r="M14" s="50"/>
      <c r="N14" s="10"/>
      <c r="O14" s="50"/>
      <c r="P14" s="7"/>
      <c r="Q14" s="50"/>
      <c r="R14" s="7"/>
      <c r="S14" s="50"/>
    </row>
    <row r="15" spans="1:23" ht="24" customHeight="1" x14ac:dyDescent="0.3">
      <c r="A15" s="230"/>
      <c r="B15" s="3" t="s">
        <v>159</v>
      </c>
      <c r="C15" s="7"/>
      <c r="D15" s="7"/>
      <c r="E15" s="50"/>
      <c r="F15" s="50"/>
      <c r="G15" s="163"/>
      <c r="H15" s="7"/>
      <c r="I15" s="50"/>
      <c r="J15" s="10"/>
      <c r="K15" s="50"/>
      <c r="L15" s="7"/>
      <c r="M15" s="50"/>
      <c r="N15" s="10"/>
      <c r="O15" s="50"/>
      <c r="P15" s="7"/>
      <c r="Q15" s="50"/>
      <c r="R15" s="7"/>
      <c r="S15" s="50"/>
    </row>
    <row r="16" spans="1:23" ht="24" customHeight="1" x14ac:dyDescent="0.3">
      <c r="A16" s="230"/>
      <c r="B16" s="3" t="s">
        <v>147</v>
      </c>
      <c r="C16" s="7"/>
      <c r="D16" s="7"/>
      <c r="E16" s="50"/>
      <c r="F16" s="50"/>
      <c r="G16" s="163"/>
      <c r="H16" s="7">
        <v>1</v>
      </c>
      <c r="I16" s="50"/>
      <c r="J16" s="10"/>
      <c r="K16" s="50"/>
      <c r="L16" s="7"/>
      <c r="M16" s="50"/>
      <c r="N16" s="10"/>
      <c r="O16" s="50"/>
      <c r="P16" s="7"/>
      <c r="Q16" s="50"/>
      <c r="R16" s="7"/>
      <c r="S16" s="50"/>
    </row>
    <row r="17" spans="1:25" ht="24" customHeight="1" x14ac:dyDescent="0.3">
      <c r="A17" s="230"/>
      <c r="B17" s="3" t="s">
        <v>163</v>
      </c>
      <c r="C17" s="7"/>
      <c r="D17" s="7"/>
      <c r="E17" s="50"/>
      <c r="F17" s="50"/>
      <c r="G17" s="163"/>
      <c r="H17" s="7"/>
      <c r="I17" s="50"/>
      <c r="J17" s="10"/>
      <c r="K17" s="50"/>
      <c r="L17" s="7"/>
      <c r="M17" s="50"/>
      <c r="N17" s="10"/>
      <c r="O17" s="50"/>
      <c r="P17" s="7"/>
      <c r="Q17" s="50"/>
      <c r="R17" s="7"/>
      <c r="S17" s="50"/>
    </row>
    <row r="18" spans="1:25" ht="24" customHeight="1" x14ac:dyDescent="0.3">
      <c r="A18" s="230"/>
      <c r="B18" s="3" t="s">
        <v>162</v>
      </c>
      <c r="C18" s="7">
        <v>6</v>
      </c>
      <c r="D18" s="7"/>
      <c r="E18" s="50"/>
      <c r="F18" s="50"/>
      <c r="G18" s="163"/>
      <c r="H18" s="7"/>
      <c r="I18" s="50"/>
      <c r="J18" s="10"/>
      <c r="K18" s="50"/>
      <c r="L18" s="7"/>
      <c r="M18" s="50"/>
      <c r="N18" s="10"/>
      <c r="O18" s="50"/>
      <c r="P18" s="7"/>
      <c r="Q18" s="50"/>
      <c r="R18" s="7"/>
      <c r="S18" s="50"/>
    </row>
    <row r="19" spans="1:25" ht="24" customHeight="1" x14ac:dyDescent="0.3">
      <c r="A19" s="230"/>
      <c r="B19" s="3" t="s">
        <v>155</v>
      </c>
      <c r="C19" s="7"/>
      <c r="D19" s="7"/>
      <c r="E19" s="50"/>
      <c r="F19" s="50">
        <v>5</v>
      </c>
      <c r="G19" s="163"/>
      <c r="H19" s="7">
        <v>1</v>
      </c>
      <c r="I19" s="50"/>
      <c r="J19" s="10"/>
      <c r="K19" s="50"/>
      <c r="L19" s="7"/>
      <c r="M19" s="50"/>
      <c r="N19" s="10"/>
      <c r="O19" s="50"/>
      <c r="P19" s="7"/>
      <c r="Q19" s="50"/>
      <c r="R19" s="7"/>
      <c r="S19" s="50"/>
    </row>
    <row r="20" spans="1:25" ht="24" customHeight="1" x14ac:dyDescent="0.3">
      <c r="A20" s="230"/>
      <c r="B20" s="3" t="s">
        <v>157</v>
      </c>
      <c r="C20" s="7"/>
      <c r="D20" s="7"/>
      <c r="E20" s="50"/>
      <c r="F20" s="50">
        <v>2</v>
      </c>
      <c r="G20" s="163"/>
      <c r="H20" s="7"/>
      <c r="I20" s="50"/>
      <c r="J20" s="10"/>
      <c r="K20" s="50"/>
      <c r="L20" s="7"/>
      <c r="M20" s="50"/>
      <c r="N20" s="10"/>
      <c r="O20" s="50"/>
      <c r="P20" s="7"/>
      <c r="Q20" s="50"/>
      <c r="R20" s="7"/>
      <c r="S20" s="50"/>
    </row>
    <row r="21" spans="1:25" ht="24" customHeight="1" x14ac:dyDescent="0.3">
      <c r="A21" s="230"/>
      <c r="B21" s="3" t="s">
        <v>151</v>
      </c>
      <c r="C21" s="7"/>
      <c r="D21" s="7"/>
      <c r="E21" s="50"/>
      <c r="F21" s="50">
        <v>3</v>
      </c>
      <c r="G21" s="163"/>
      <c r="H21" s="7"/>
      <c r="I21" s="50">
        <v>1</v>
      </c>
      <c r="J21" s="10"/>
      <c r="K21" s="50"/>
      <c r="L21" s="7"/>
      <c r="M21" s="50"/>
      <c r="N21" s="10">
        <v>1</v>
      </c>
      <c r="O21" s="50"/>
      <c r="P21" s="7"/>
      <c r="Q21" s="50"/>
      <c r="R21" s="7"/>
      <c r="S21" s="50"/>
    </row>
    <row r="22" spans="1:25" ht="27" thickBot="1" x14ac:dyDescent="0.35">
      <c r="A22" s="231"/>
      <c r="B22" s="31"/>
      <c r="C22" s="31">
        <f>SUM(C4:C21)</f>
        <v>13</v>
      </c>
      <c r="D22" s="31">
        <f>SUM(D4:D21)</f>
        <v>0</v>
      </c>
      <c r="E22" s="31">
        <f>SUM(E4:E21)</f>
        <v>0</v>
      </c>
      <c r="F22" s="31">
        <f>SUM(F4:F21)</f>
        <v>30</v>
      </c>
      <c r="G22" s="163"/>
      <c r="H22" s="2">
        <f t="shared" ref="H22:S22" si="1">SUM(H4:H21)</f>
        <v>2</v>
      </c>
      <c r="I22" s="2">
        <f t="shared" si="1"/>
        <v>1</v>
      </c>
      <c r="J22" s="2">
        <f t="shared" si="1"/>
        <v>1</v>
      </c>
      <c r="K22" s="2">
        <f t="shared" si="1"/>
        <v>0</v>
      </c>
      <c r="L22" s="2">
        <f t="shared" si="1"/>
        <v>0</v>
      </c>
      <c r="M22" s="2">
        <f t="shared" si="1"/>
        <v>0</v>
      </c>
      <c r="N22" s="2">
        <f t="shared" si="1"/>
        <v>1</v>
      </c>
      <c r="O22" s="2">
        <f t="shared" si="1"/>
        <v>0</v>
      </c>
      <c r="P22" s="2">
        <f t="shared" si="1"/>
        <v>0</v>
      </c>
      <c r="Q22" s="2">
        <f t="shared" si="1"/>
        <v>0</v>
      </c>
      <c r="R22" s="2">
        <f t="shared" si="1"/>
        <v>1</v>
      </c>
      <c r="S22" s="2">
        <f t="shared" si="1"/>
        <v>0</v>
      </c>
      <c r="U22" s="35"/>
      <c r="V22" s="18"/>
      <c r="W22" s="18"/>
    </row>
    <row r="23" spans="1:25" ht="24" customHeight="1" thickTop="1" x14ac:dyDescent="0.3">
      <c r="A23" s="286" t="s">
        <v>27</v>
      </c>
      <c r="B23" s="23" t="s">
        <v>187</v>
      </c>
      <c r="C23" s="28"/>
      <c r="D23" s="28"/>
      <c r="E23" s="15"/>
      <c r="F23" s="16"/>
      <c r="G23" s="25"/>
      <c r="H23" s="43"/>
      <c r="I23" s="50"/>
      <c r="J23" s="10"/>
      <c r="K23" s="50"/>
      <c r="L23" s="7"/>
      <c r="M23" s="50"/>
      <c r="N23" s="7"/>
      <c r="O23" s="50"/>
      <c r="P23" s="7"/>
      <c r="Q23" s="50"/>
      <c r="R23" s="7"/>
      <c r="S23" s="50"/>
      <c r="U23" s="18"/>
      <c r="V23" s="18"/>
      <c r="W23" s="18"/>
      <c r="X23" s="18"/>
      <c r="Y23" s="18"/>
    </row>
    <row r="24" spans="1:25" ht="24" customHeight="1" x14ac:dyDescent="0.3">
      <c r="A24" s="287"/>
      <c r="B24" s="24" t="s">
        <v>188</v>
      </c>
      <c r="C24" s="32"/>
      <c r="D24" s="32"/>
      <c r="E24" s="54"/>
      <c r="F24" s="22"/>
      <c r="G24" s="25"/>
      <c r="H24" s="7"/>
      <c r="I24" s="50"/>
      <c r="J24" s="10"/>
      <c r="K24" s="50"/>
      <c r="L24" s="7"/>
      <c r="M24" s="50"/>
      <c r="N24" s="7"/>
      <c r="O24" s="50"/>
      <c r="P24" s="7"/>
      <c r="Q24" s="50"/>
      <c r="R24" s="7"/>
      <c r="S24" s="50"/>
      <c r="U24" s="18"/>
      <c r="V24" s="18"/>
      <c r="W24" s="18"/>
      <c r="X24" s="18"/>
      <c r="Y24" s="18"/>
    </row>
    <row r="25" spans="1:25" ht="24" customHeight="1" x14ac:dyDescent="0.3">
      <c r="A25" s="287"/>
      <c r="B25" s="24" t="s">
        <v>128</v>
      </c>
      <c r="C25" s="32"/>
      <c r="D25" s="32"/>
      <c r="E25" s="54"/>
      <c r="F25" s="22"/>
      <c r="G25" s="25"/>
      <c r="H25" s="43"/>
      <c r="I25" s="50"/>
      <c r="J25" s="10"/>
      <c r="K25" s="50"/>
      <c r="L25" s="7"/>
      <c r="M25" s="50"/>
      <c r="N25" s="7"/>
      <c r="O25" s="50"/>
      <c r="P25" s="7"/>
      <c r="Q25" s="50"/>
      <c r="R25" s="7"/>
      <c r="S25" s="50"/>
      <c r="U25" s="18"/>
      <c r="V25" s="18"/>
      <c r="W25" s="18"/>
      <c r="X25" s="18"/>
      <c r="Y25" s="18"/>
    </row>
    <row r="26" spans="1:25" ht="24" customHeight="1" x14ac:dyDescent="0.3">
      <c r="A26" s="287"/>
      <c r="B26" s="24" t="s">
        <v>127</v>
      </c>
      <c r="C26" s="32">
        <v>2</v>
      </c>
      <c r="D26" s="32"/>
      <c r="E26" s="54"/>
      <c r="F26" s="22"/>
      <c r="G26" s="25"/>
      <c r="H26" s="43"/>
      <c r="I26" s="50"/>
      <c r="J26" s="10"/>
      <c r="K26" s="50"/>
      <c r="L26" s="7"/>
      <c r="M26" s="50"/>
      <c r="N26" s="7"/>
      <c r="O26" s="50"/>
      <c r="P26" s="7"/>
      <c r="Q26" s="50"/>
      <c r="R26" s="7"/>
      <c r="S26" s="50"/>
      <c r="U26" s="18"/>
      <c r="V26" s="18"/>
      <c r="W26" s="18"/>
      <c r="X26" s="18"/>
      <c r="Y26" s="18"/>
    </row>
    <row r="27" spans="1:25" ht="24" customHeight="1" x14ac:dyDescent="0.3">
      <c r="A27" s="287"/>
      <c r="B27" s="24" t="s">
        <v>189</v>
      </c>
      <c r="C27" s="32"/>
      <c r="D27" s="32"/>
      <c r="E27" s="54"/>
      <c r="F27" s="22"/>
      <c r="G27" s="25"/>
      <c r="H27" s="10"/>
      <c r="I27" s="50"/>
      <c r="J27" s="10"/>
      <c r="K27" s="50"/>
      <c r="L27" s="7"/>
      <c r="M27" s="50"/>
      <c r="N27" s="7"/>
      <c r="O27" s="50"/>
      <c r="P27" s="7"/>
      <c r="Q27" s="50"/>
      <c r="R27" s="7"/>
      <c r="S27" s="50"/>
      <c r="U27" s="18"/>
      <c r="V27" s="18"/>
      <c r="W27" s="18"/>
      <c r="X27" s="18"/>
      <c r="Y27" s="18"/>
    </row>
    <row r="28" spans="1:25" ht="24" customHeight="1" x14ac:dyDescent="0.3">
      <c r="A28" s="287"/>
      <c r="B28" s="24" t="s">
        <v>140</v>
      </c>
      <c r="C28" s="32"/>
      <c r="D28" s="32"/>
      <c r="E28" s="54"/>
      <c r="F28" s="22"/>
      <c r="G28" s="25"/>
      <c r="H28" s="10"/>
      <c r="I28" s="50"/>
      <c r="J28" s="10"/>
      <c r="K28" s="50"/>
      <c r="L28" s="7"/>
      <c r="M28" s="50"/>
      <c r="N28" s="7"/>
      <c r="O28" s="50"/>
      <c r="P28" s="7"/>
      <c r="Q28" s="76"/>
      <c r="R28" s="7"/>
      <c r="S28" s="50"/>
      <c r="U28" s="18"/>
      <c r="V28" s="18"/>
      <c r="W28" s="18"/>
      <c r="X28" s="18"/>
      <c r="Y28" s="18"/>
    </row>
    <row r="29" spans="1:25" ht="24" customHeight="1" x14ac:dyDescent="0.3">
      <c r="A29" s="287"/>
      <c r="B29" s="24" t="s">
        <v>129</v>
      </c>
      <c r="C29" s="32"/>
      <c r="D29" s="32"/>
      <c r="E29" s="54"/>
      <c r="F29" s="22"/>
      <c r="G29" s="25"/>
      <c r="H29" s="43"/>
      <c r="I29" s="50"/>
      <c r="J29" s="10"/>
      <c r="K29" s="50"/>
      <c r="L29" s="7"/>
      <c r="M29" s="50"/>
      <c r="N29" s="7"/>
      <c r="O29" s="50"/>
      <c r="P29" s="7"/>
      <c r="Q29" s="50"/>
      <c r="R29" s="7"/>
      <c r="S29" s="50"/>
      <c r="U29" s="18"/>
      <c r="V29" s="18"/>
      <c r="W29" s="18"/>
      <c r="X29" s="18"/>
      <c r="Y29" s="18"/>
    </row>
    <row r="30" spans="1:25" ht="24" customHeight="1" x14ac:dyDescent="0.3">
      <c r="A30" s="287"/>
      <c r="B30" s="24" t="s">
        <v>145</v>
      </c>
      <c r="C30" s="32"/>
      <c r="D30" s="32"/>
      <c r="E30" s="54"/>
      <c r="F30" s="22"/>
      <c r="G30" s="25"/>
      <c r="H30" s="43"/>
      <c r="I30" s="50">
        <v>1</v>
      </c>
      <c r="J30" s="10"/>
      <c r="K30" s="50"/>
      <c r="L30" s="7">
        <v>1</v>
      </c>
      <c r="M30" s="50"/>
      <c r="N30" s="7"/>
      <c r="O30" s="50"/>
      <c r="P30" s="7"/>
      <c r="Q30" s="50"/>
      <c r="R30" s="7"/>
      <c r="S30" s="50"/>
      <c r="U30" s="18"/>
      <c r="V30" s="18"/>
      <c r="W30" s="18"/>
      <c r="X30" s="18"/>
      <c r="Y30" s="18"/>
    </row>
    <row r="31" spans="1:25" ht="24" customHeight="1" x14ac:dyDescent="0.3">
      <c r="A31" s="287"/>
      <c r="B31" s="24" t="s">
        <v>130</v>
      </c>
      <c r="C31" s="32">
        <v>1</v>
      </c>
      <c r="D31" s="32"/>
      <c r="E31" s="54">
        <v>1</v>
      </c>
      <c r="F31" s="22"/>
      <c r="G31" s="25"/>
      <c r="H31" s="43"/>
      <c r="I31" s="50"/>
      <c r="J31" s="10"/>
      <c r="K31" s="50"/>
      <c r="L31" s="7"/>
      <c r="M31" s="50"/>
      <c r="N31" s="7"/>
      <c r="O31" s="50"/>
      <c r="P31" s="7"/>
      <c r="Q31" s="50"/>
      <c r="R31" s="7"/>
      <c r="S31" s="50"/>
      <c r="U31" s="18"/>
      <c r="V31" s="18"/>
      <c r="W31" s="18"/>
      <c r="X31" s="18"/>
      <c r="Y31" s="18"/>
    </row>
    <row r="32" spans="1:25" ht="24" customHeight="1" x14ac:dyDescent="0.3">
      <c r="A32" s="287"/>
      <c r="B32" s="24" t="s">
        <v>131</v>
      </c>
      <c r="C32" s="32"/>
      <c r="D32" s="32"/>
      <c r="E32" s="54"/>
      <c r="F32" s="22"/>
      <c r="G32" s="25"/>
      <c r="H32" s="43"/>
      <c r="I32" s="50"/>
      <c r="J32" s="10"/>
      <c r="K32" s="50"/>
      <c r="L32" s="7"/>
      <c r="M32" s="50"/>
      <c r="N32" s="7"/>
      <c r="O32" s="50"/>
      <c r="P32" s="7"/>
      <c r="Q32" s="50"/>
      <c r="R32" s="7"/>
      <c r="S32" s="50"/>
      <c r="U32" s="18"/>
      <c r="V32" s="18"/>
      <c r="W32" s="18"/>
      <c r="X32" s="18"/>
      <c r="Y32" s="18"/>
    </row>
    <row r="33" spans="1:25" ht="24" customHeight="1" x14ac:dyDescent="0.3">
      <c r="A33" s="287"/>
      <c r="B33" s="24" t="s">
        <v>132</v>
      </c>
      <c r="C33" s="32">
        <v>2</v>
      </c>
      <c r="D33" s="32"/>
      <c r="E33" s="54"/>
      <c r="F33" s="22"/>
      <c r="G33" s="25"/>
      <c r="H33" s="43"/>
      <c r="I33" s="50"/>
      <c r="J33" s="10"/>
      <c r="K33" s="50"/>
      <c r="L33" s="7">
        <v>2</v>
      </c>
      <c r="M33" s="50"/>
      <c r="N33" s="7"/>
      <c r="O33" s="50"/>
      <c r="P33" s="7"/>
      <c r="Q33" s="50"/>
      <c r="R33" s="7"/>
      <c r="S33" s="50"/>
      <c r="U33" s="18"/>
      <c r="V33" s="18"/>
      <c r="W33" s="18"/>
      <c r="X33" s="18"/>
      <c r="Y33" s="18"/>
    </row>
    <row r="34" spans="1:25" ht="24" customHeight="1" x14ac:dyDescent="0.3">
      <c r="A34" s="287"/>
      <c r="B34" s="24" t="s">
        <v>133</v>
      </c>
      <c r="C34" s="32"/>
      <c r="D34" s="32"/>
      <c r="E34" s="54"/>
      <c r="F34" s="22"/>
      <c r="G34" s="25"/>
      <c r="H34" s="7"/>
      <c r="I34" s="50"/>
      <c r="J34" s="10"/>
      <c r="K34" s="50"/>
      <c r="L34" s="7"/>
      <c r="M34" s="50"/>
      <c r="N34" s="7"/>
      <c r="O34" s="50"/>
      <c r="P34" s="7"/>
      <c r="Q34" s="50"/>
      <c r="R34" s="7"/>
      <c r="S34" s="50"/>
      <c r="U34" s="18"/>
      <c r="V34" s="18"/>
      <c r="W34" s="18"/>
      <c r="X34" s="18"/>
      <c r="Y34" s="18"/>
    </row>
    <row r="35" spans="1:25" ht="24" customHeight="1" x14ac:dyDescent="0.3">
      <c r="A35" s="287"/>
      <c r="B35" s="24" t="s">
        <v>135</v>
      </c>
      <c r="C35" s="32"/>
      <c r="D35" s="32"/>
      <c r="E35" s="54"/>
      <c r="F35" s="22"/>
      <c r="G35" s="25"/>
      <c r="H35" s="7"/>
      <c r="I35" s="50"/>
      <c r="J35" s="10"/>
      <c r="K35" s="50"/>
      <c r="L35" s="7"/>
      <c r="M35" s="50"/>
      <c r="N35" s="7"/>
      <c r="O35" s="50"/>
      <c r="P35" s="7"/>
      <c r="Q35" s="50"/>
      <c r="R35" s="7"/>
      <c r="S35" s="50"/>
      <c r="U35" s="18"/>
      <c r="V35" s="18"/>
      <c r="W35" s="18"/>
      <c r="X35" s="18"/>
      <c r="Y35" s="18"/>
    </row>
    <row r="36" spans="1:25" ht="24" customHeight="1" x14ac:dyDescent="0.3">
      <c r="A36" s="287"/>
      <c r="B36" s="24" t="s">
        <v>141</v>
      </c>
      <c r="C36" s="32"/>
      <c r="D36" s="56"/>
      <c r="E36" s="54"/>
      <c r="F36" s="22"/>
      <c r="G36" s="25"/>
      <c r="H36" s="43"/>
      <c r="I36" s="50"/>
      <c r="J36" s="10"/>
      <c r="K36" s="50"/>
      <c r="L36" s="7"/>
      <c r="M36" s="50"/>
      <c r="N36" s="7"/>
      <c r="O36" s="50"/>
      <c r="P36" s="7"/>
      <c r="Q36" s="76"/>
      <c r="R36" s="7"/>
      <c r="S36" s="50"/>
      <c r="U36" s="18"/>
      <c r="V36" s="18"/>
      <c r="W36" s="18"/>
      <c r="X36" s="18"/>
      <c r="Y36" s="18"/>
    </row>
    <row r="37" spans="1:25" ht="24" customHeight="1" x14ac:dyDescent="0.3">
      <c r="A37" s="287"/>
      <c r="B37" s="24" t="s">
        <v>142</v>
      </c>
      <c r="C37" s="32"/>
      <c r="D37" s="32"/>
      <c r="E37" s="54">
        <v>1</v>
      </c>
      <c r="F37" s="22"/>
      <c r="G37" s="25"/>
      <c r="H37" s="43"/>
      <c r="I37" s="50"/>
      <c r="J37" s="10"/>
      <c r="K37" s="50"/>
      <c r="L37" s="7"/>
      <c r="M37" s="50"/>
      <c r="N37" s="7"/>
      <c r="O37" s="50"/>
      <c r="P37" s="7"/>
      <c r="Q37" s="50"/>
      <c r="R37" s="7"/>
      <c r="S37" s="50"/>
      <c r="U37" s="18"/>
      <c r="V37" s="18"/>
      <c r="W37" s="18"/>
      <c r="X37" s="18"/>
      <c r="Y37" s="18"/>
    </row>
    <row r="38" spans="1:25" ht="24" customHeight="1" x14ac:dyDescent="0.3">
      <c r="A38" s="287"/>
      <c r="B38" s="24" t="s">
        <v>144</v>
      </c>
      <c r="C38" s="32"/>
      <c r="D38" s="32"/>
      <c r="E38" s="101"/>
      <c r="F38" s="22"/>
      <c r="G38" s="25"/>
      <c r="H38" s="43"/>
      <c r="I38" s="50"/>
      <c r="J38" s="10"/>
      <c r="K38" s="50"/>
      <c r="L38" s="7"/>
      <c r="M38" s="50"/>
      <c r="N38" s="7"/>
      <c r="O38" s="50"/>
      <c r="P38" s="7"/>
      <c r="Q38" s="50"/>
      <c r="R38" s="7"/>
      <c r="S38" s="50"/>
      <c r="U38" s="18"/>
      <c r="V38" s="18"/>
      <c r="W38" s="18"/>
      <c r="X38" s="18"/>
      <c r="Y38" s="18"/>
    </row>
    <row r="39" spans="1:25" ht="24" customHeight="1" x14ac:dyDescent="0.3">
      <c r="A39" s="287"/>
      <c r="B39" s="24" t="s">
        <v>146</v>
      </c>
      <c r="C39" s="32"/>
      <c r="D39" s="32"/>
      <c r="E39" s="54"/>
      <c r="F39" s="22"/>
      <c r="G39" s="25"/>
      <c r="H39" s="43"/>
      <c r="I39" s="50"/>
      <c r="J39" s="10"/>
      <c r="K39" s="50"/>
      <c r="L39" s="7"/>
      <c r="M39" s="50"/>
      <c r="N39" s="7"/>
      <c r="O39" s="50"/>
      <c r="P39" s="7"/>
      <c r="Q39" s="50"/>
      <c r="R39" s="7"/>
      <c r="S39" s="50"/>
      <c r="U39" s="18"/>
      <c r="V39" s="18"/>
      <c r="W39" s="18"/>
      <c r="X39" s="18"/>
      <c r="Y39" s="18"/>
    </row>
    <row r="40" spans="1:25" ht="24" customHeight="1" x14ac:dyDescent="0.3">
      <c r="A40" s="287"/>
      <c r="B40" s="24" t="s">
        <v>136</v>
      </c>
      <c r="C40" s="32"/>
      <c r="D40" s="32"/>
      <c r="E40" s="54"/>
      <c r="F40" s="22"/>
      <c r="G40" s="25"/>
      <c r="H40" s="43"/>
      <c r="I40" s="50"/>
      <c r="J40" s="10"/>
      <c r="K40" s="50"/>
      <c r="L40" s="7"/>
      <c r="M40" s="50"/>
      <c r="N40" s="7"/>
      <c r="O40" s="50"/>
      <c r="P40" s="7"/>
      <c r="Q40" s="50"/>
      <c r="R40" s="7"/>
      <c r="S40" s="50"/>
      <c r="U40" s="18"/>
      <c r="V40" s="18"/>
      <c r="W40" s="18"/>
      <c r="X40" s="18"/>
      <c r="Y40" s="18"/>
    </row>
    <row r="41" spans="1:25" ht="24" customHeight="1" x14ac:dyDescent="0.3">
      <c r="A41" s="287"/>
      <c r="B41" s="24" t="s">
        <v>139</v>
      </c>
      <c r="C41" s="32"/>
      <c r="D41" s="32"/>
      <c r="E41" s="54"/>
      <c r="F41" s="22"/>
      <c r="G41" s="25"/>
      <c r="H41" s="10"/>
      <c r="I41" s="50"/>
      <c r="J41" s="10"/>
      <c r="K41" s="50"/>
      <c r="L41" s="7"/>
      <c r="M41" s="50"/>
      <c r="N41" s="7"/>
      <c r="O41" s="50"/>
      <c r="P41" s="7"/>
      <c r="Q41" s="50"/>
      <c r="R41" s="7"/>
      <c r="S41" s="50"/>
      <c r="U41" s="18"/>
      <c r="V41" s="18"/>
      <c r="W41" s="18"/>
      <c r="X41" s="18"/>
      <c r="Y41" s="18"/>
    </row>
    <row r="42" spans="1:25" ht="24" customHeight="1" x14ac:dyDescent="0.3">
      <c r="A42" s="287"/>
      <c r="B42" s="24" t="s">
        <v>137</v>
      </c>
      <c r="C42" s="32"/>
      <c r="D42" s="32"/>
      <c r="E42" s="54"/>
      <c r="F42" s="22"/>
      <c r="G42" s="25"/>
      <c r="H42" s="7"/>
      <c r="I42" s="50"/>
      <c r="J42" s="10"/>
      <c r="K42" s="50"/>
      <c r="L42" s="7"/>
      <c r="M42" s="50"/>
      <c r="N42" s="7"/>
      <c r="O42" s="50"/>
      <c r="P42" s="7"/>
      <c r="Q42" s="50"/>
      <c r="R42" s="7"/>
      <c r="S42" s="50"/>
      <c r="U42" s="18"/>
      <c r="V42" s="18"/>
      <c r="W42" s="18"/>
      <c r="X42" s="18"/>
      <c r="Y42" s="18"/>
    </row>
    <row r="43" spans="1:25" ht="27" thickBot="1" x14ac:dyDescent="0.35">
      <c r="A43" s="288"/>
      <c r="B43" s="26"/>
      <c r="C43" s="27">
        <f>SUM(C23:C42)</f>
        <v>5</v>
      </c>
      <c r="D43" s="27">
        <f>SUM(D23:D42)</f>
        <v>0</v>
      </c>
      <c r="E43" s="27">
        <f>SUM(E23:E42)</f>
        <v>2</v>
      </c>
      <c r="F43" s="27">
        <f>SUM(F23:F42)</f>
        <v>0</v>
      </c>
      <c r="G43" s="163"/>
      <c r="H43" s="2">
        <f t="shared" ref="H43:S43" si="2">SUM(H23:H42)</f>
        <v>0</v>
      </c>
      <c r="I43" s="2">
        <f t="shared" si="2"/>
        <v>1</v>
      </c>
      <c r="J43" s="2">
        <f t="shared" si="2"/>
        <v>0</v>
      </c>
      <c r="K43" s="2">
        <f t="shared" si="2"/>
        <v>0</v>
      </c>
      <c r="L43" s="2">
        <f t="shared" si="2"/>
        <v>3</v>
      </c>
      <c r="M43" s="2">
        <f t="shared" si="2"/>
        <v>0</v>
      </c>
      <c r="N43" s="2">
        <f t="shared" si="2"/>
        <v>0</v>
      </c>
      <c r="O43" s="2">
        <f t="shared" si="2"/>
        <v>0</v>
      </c>
      <c r="P43" s="2">
        <f t="shared" si="2"/>
        <v>0</v>
      </c>
      <c r="Q43" s="2">
        <f t="shared" si="2"/>
        <v>0</v>
      </c>
      <c r="R43" s="2">
        <f t="shared" si="2"/>
        <v>0</v>
      </c>
      <c r="S43" s="2">
        <f t="shared" si="2"/>
        <v>0</v>
      </c>
    </row>
    <row r="44" spans="1:25" ht="24" customHeight="1" thickTop="1" x14ac:dyDescent="0.3">
      <c r="A44" s="252" t="s">
        <v>13</v>
      </c>
      <c r="B44" s="3" t="s">
        <v>28</v>
      </c>
      <c r="C44" s="7"/>
      <c r="D44" s="7"/>
      <c r="E44" s="50"/>
      <c r="F44" s="50"/>
      <c r="G44" s="163"/>
      <c r="H44" s="7"/>
      <c r="I44" s="50"/>
      <c r="J44" s="10"/>
      <c r="K44" s="50"/>
      <c r="L44" s="7"/>
      <c r="M44" s="50"/>
      <c r="N44" s="7"/>
      <c r="O44" s="50"/>
      <c r="P44" s="7"/>
      <c r="Q44" s="50"/>
      <c r="R44" s="7"/>
      <c r="S44" s="50"/>
    </row>
    <row r="45" spans="1:25" ht="24" customHeight="1" x14ac:dyDescent="0.3">
      <c r="A45" s="252"/>
      <c r="B45" s="3" t="s">
        <v>29</v>
      </c>
      <c r="C45" s="77"/>
      <c r="D45" s="7"/>
      <c r="E45" s="50"/>
      <c r="F45" s="50"/>
      <c r="G45" s="163"/>
      <c r="H45" s="7"/>
      <c r="I45" s="50"/>
      <c r="J45" s="10"/>
      <c r="K45" s="50"/>
      <c r="L45" s="7"/>
      <c r="M45" s="50"/>
      <c r="N45" s="7"/>
      <c r="O45" s="50"/>
      <c r="P45" s="7"/>
      <c r="Q45" s="50"/>
      <c r="R45" s="7"/>
      <c r="S45" s="50"/>
    </row>
    <row r="46" spans="1:25" ht="24" customHeight="1" x14ac:dyDescent="0.3">
      <c r="A46" s="252"/>
      <c r="B46" s="3" t="s">
        <v>125</v>
      </c>
      <c r="C46" s="7"/>
      <c r="D46" s="7"/>
      <c r="E46" s="50"/>
      <c r="F46" s="50"/>
      <c r="G46" s="163"/>
      <c r="H46" s="7"/>
      <c r="I46" s="50"/>
      <c r="J46" s="10"/>
      <c r="K46" s="50"/>
      <c r="L46" s="7">
        <v>1</v>
      </c>
      <c r="M46" s="50">
        <v>1</v>
      </c>
      <c r="N46" s="7"/>
      <c r="O46" s="50"/>
      <c r="P46" s="7"/>
      <c r="Q46" s="50"/>
      <c r="R46" s="7"/>
      <c r="S46" s="50"/>
    </row>
    <row r="47" spans="1:25" ht="24" customHeight="1" x14ac:dyDescent="0.3">
      <c r="A47" s="252"/>
      <c r="B47" s="3" t="s">
        <v>121</v>
      </c>
      <c r="C47" s="7"/>
      <c r="D47" s="7"/>
      <c r="E47" s="50"/>
      <c r="F47" s="50"/>
      <c r="G47" s="163"/>
      <c r="H47" s="7">
        <v>1</v>
      </c>
      <c r="I47" s="50"/>
      <c r="J47" s="10"/>
      <c r="K47" s="50">
        <v>1</v>
      </c>
      <c r="L47" s="7"/>
      <c r="M47" s="50"/>
      <c r="N47" s="7"/>
      <c r="O47" s="50"/>
      <c r="P47" s="7"/>
      <c r="Q47" s="50"/>
      <c r="R47" s="7"/>
      <c r="S47" s="50"/>
    </row>
    <row r="48" spans="1:25" ht="24" customHeight="1" x14ac:dyDescent="0.3">
      <c r="A48" s="252"/>
      <c r="B48" s="3" t="s">
        <v>122</v>
      </c>
      <c r="C48" s="7"/>
      <c r="D48" s="7"/>
      <c r="E48" s="50"/>
      <c r="F48" s="50"/>
      <c r="G48" s="163"/>
      <c r="H48" s="7">
        <v>1</v>
      </c>
      <c r="I48" s="50"/>
      <c r="J48" s="10"/>
      <c r="K48" s="50"/>
      <c r="L48" s="7"/>
      <c r="M48" s="50"/>
      <c r="N48" s="7"/>
      <c r="O48" s="50"/>
      <c r="P48" s="7"/>
      <c r="Q48" s="50"/>
      <c r="R48" s="7"/>
      <c r="S48" s="50"/>
    </row>
    <row r="49" spans="1:37" ht="24" customHeight="1" x14ac:dyDescent="0.3">
      <c r="A49" s="252"/>
      <c r="B49" s="3" t="s">
        <v>123</v>
      </c>
      <c r="C49" s="7"/>
      <c r="D49" s="7"/>
      <c r="E49" s="50"/>
      <c r="F49" s="50"/>
      <c r="G49" s="163"/>
      <c r="H49" s="7"/>
      <c r="I49" s="50"/>
      <c r="J49" s="10"/>
      <c r="K49" s="50"/>
      <c r="L49" s="7"/>
      <c r="M49" s="50"/>
      <c r="N49" s="7"/>
      <c r="O49" s="50"/>
      <c r="P49" s="7"/>
      <c r="Q49" s="50"/>
      <c r="R49" s="7"/>
      <c r="S49" s="50"/>
    </row>
    <row r="50" spans="1:37" ht="24" customHeight="1" x14ac:dyDescent="0.3">
      <c r="A50" s="252"/>
      <c r="B50" s="100" t="s">
        <v>126</v>
      </c>
      <c r="C50" s="7"/>
      <c r="D50" s="7"/>
      <c r="E50" s="50"/>
      <c r="F50" s="50"/>
      <c r="G50" s="163"/>
      <c r="H50" s="7"/>
      <c r="I50" s="50"/>
      <c r="J50" s="10"/>
      <c r="K50" s="50"/>
      <c r="L50" s="7"/>
      <c r="M50" s="50"/>
      <c r="N50" s="7"/>
      <c r="O50" s="50"/>
      <c r="P50" s="7"/>
      <c r="Q50" s="50"/>
      <c r="R50" s="7"/>
      <c r="S50" s="50"/>
    </row>
    <row r="51" spans="1:37" ht="24" customHeight="1" x14ac:dyDescent="0.3">
      <c r="A51" s="252"/>
      <c r="B51" s="100" t="s">
        <v>124</v>
      </c>
      <c r="C51" s="7"/>
      <c r="D51" s="7"/>
      <c r="E51" s="50"/>
      <c r="F51" s="50"/>
      <c r="G51" s="163"/>
      <c r="H51" s="7">
        <v>2</v>
      </c>
      <c r="I51" s="50"/>
      <c r="J51" s="10"/>
      <c r="K51" s="50"/>
      <c r="L51" s="7"/>
      <c r="M51" s="50">
        <v>1</v>
      </c>
      <c r="N51" s="7"/>
      <c r="O51" s="50"/>
      <c r="P51" s="7"/>
      <c r="Q51" s="50"/>
      <c r="R51" s="7"/>
      <c r="S51" s="50"/>
    </row>
    <row r="52" spans="1:37" ht="26.25" x14ac:dyDescent="0.3">
      <c r="A52" s="279"/>
      <c r="B52" s="122"/>
      <c r="C52" s="123">
        <f>SUM(C44:C51)</f>
        <v>0</v>
      </c>
      <c r="D52" s="123">
        <f>SUM(D44:D51)</f>
        <v>0</v>
      </c>
      <c r="E52" s="123">
        <f>SUM(E44:E51)</f>
        <v>0</v>
      </c>
      <c r="F52" s="123">
        <f>SUM(F44:F51)</f>
        <v>0</v>
      </c>
      <c r="G52" s="163"/>
      <c r="H52" s="2">
        <f t="shared" ref="H52:S52" si="3">SUM(H44:H51)</f>
        <v>4</v>
      </c>
      <c r="I52" s="123">
        <f t="shared" si="3"/>
        <v>0</v>
      </c>
      <c r="J52" s="123">
        <f t="shared" si="3"/>
        <v>0</v>
      </c>
      <c r="K52" s="123">
        <f t="shared" si="3"/>
        <v>1</v>
      </c>
      <c r="L52" s="123">
        <f t="shared" si="3"/>
        <v>1</v>
      </c>
      <c r="M52" s="123">
        <f t="shared" si="3"/>
        <v>2</v>
      </c>
      <c r="N52" s="123">
        <f t="shared" si="3"/>
        <v>0</v>
      </c>
      <c r="O52" s="123">
        <f t="shared" si="3"/>
        <v>0</v>
      </c>
      <c r="P52" s="123">
        <f t="shared" si="3"/>
        <v>0</v>
      </c>
      <c r="Q52" s="123">
        <f t="shared" si="3"/>
        <v>0</v>
      </c>
      <c r="R52" s="123">
        <f t="shared" si="3"/>
        <v>0</v>
      </c>
      <c r="S52" s="123">
        <f t="shared" si="3"/>
        <v>0</v>
      </c>
      <c r="Y52" s="254"/>
      <c r="Z52" s="254"/>
      <c r="AA52" s="254"/>
      <c r="AB52" s="254"/>
      <c r="AD52" s="234"/>
      <c r="AE52" s="234"/>
      <c r="AF52" s="234"/>
      <c r="AG52" s="234"/>
      <c r="AH52" s="234"/>
      <c r="AJ52" s="234"/>
      <c r="AK52" s="234"/>
    </row>
    <row r="53" spans="1:37" ht="24" customHeight="1" x14ac:dyDescent="0.3">
      <c r="A53" s="253" t="s">
        <v>118</v>
      </c>
      <c r="B53" s="3" t="s">
        <v>171</v>
      </c>
      <c r="C53" s="7"/>
      <c r="D53" s="7"/>
      <c r="E53" s="50"/>
      <c r="F53" s="50"/>
      <c r="G53" s="163"/>
      <c r="H53" s="7"/>
      <c r="I53" s="50"/>
      <c r="J53" s="10"/>
      <c r="K53" s="50">
        <v>1</v>
      </c>
      <c r="L53" s="7"/>
      <c r="M53" s="50"/>
      <c r="N53" s="7"/>
      <c r="O53" s="50"/>
      <c r="P53" s="7"/>
      <c r="Q53" s="50"/>
      <c r="R53" s="7"/>
      <c r="S53" s="50"/>
    </row>
    <row r="54" spans="1:37" ht="24" customHeight="1" x14ac:dyDescent="0.3">
      <c r="A54" s="253"/>
      <c r="B54" s="3" t="s">
        <v>168</v>
      </c>
      <c r="C54" s="7"/>
      <c r="D54" s="7"/>
      <c r="E54" s="50"/>
      <c r="F54" s="50"/>
      <c r="G54" s="163"/>
      <c r="H54" s="7"/>
      <c r="I54" s="50"/>
      <c r="J54" s="10"/>
      <c r="K54" s="50"/>
      <c r="L54" s="7"/>
      <c r="M54" s="50"/>
      <c r="N54" s="7"/>
      <c r="O54" s="50"/>
      <c r="P54" s="7"/>
      <c r="Q54" s="50"/>
      <c r="R54" s="7"/>
      <c r="S54" s="50"/>
    </row>
    <row r="55" spans="1:37" ht="24" customHeight="1" x14ac:dyDescent="0.3">
      <c r="A55" s="253"/>
      <c r="B55" s="3" t="s">
        <v>170</v>
      </c>
      <c r="C55" s="7"/>
      <c r="D55" s="7"/>
      <c r="E55" s="50"/>
      <c r="F55" s="50"/>
      <c r="G55" s="163"/>
      <c r="H55" s="7"/>
      <c r="I55" s="50"/>
      <c r="J55" s="10"/>
      <c r="L55" s="7"/>
      <c r="M55" s="50"/>
      <c r="N55" s="7"/>
      <c r="O55" s="50"/>
      <c r="P55" s="7"/>
      <c r="Q55" s="50"/>
      <c r="R55" s="7"/>
      <c r="S55" s="50"/>
    </row>
    <row r="56" spans="1:37" ht="24" customHeight="1" x14ac:dyDescent="0.3">
      <c r="A56" s="253"/>
      <c r="B56" s="100" t="s">
        <v>166</v>
      </c>
      <c r="C56" s="7"/>
      <c r="D56" s="7"/>
      <c r="E56" s="50"/>
      <c r="F56" s="50"/>
      <c r="G56" s="163"/>
      <c r="H56" s="7"/>
      <c r="I56" s="50"/>
      <c r="J56" s="10"/>
      <c r="K56" s="50"/>
      <c r="L56" s="7"/>
      <c r="M56" s="50"/>
      <c r="N56" s="7"/>
      <c r="O56" s="50"/>
      <c r="P56" s="7"/>
      <c r="Q56" s="50"/>
      <c r="R56" s="7"/>
      <c r="S56" s="50"/>
    </row>
    <row r="57" spans="1:37" ht="24" customHeight="1" x14ac:dyDescent="0.3">
      <c r="A57" s="253"/>
      <c r="B57" s="100" t="s">
        <v>167</v>
      </c>
      <c r="C57" s="7"/>
      <c r="D57" s="7"/>
      <c r="E57" s="50"/>
      <c r="F57" s="50"/>
      <c r="G57" s="163"/>
      <c r="H57" s="7"/>
      <c r="I57" s="50"/>
      <c r="J57" s="10"/>
      <c r="K57" s="50"/>
      <c r="L57" s="7"/>
      <c r="M57" s="50"/>
      <c r="N57" s="7"/>
      <c r="O57" s="50"/>
      <c r="P57" s="7"/>
      <c r="Q57" s="50"/>
      <c r="R57" s="7"/>
      <c r="S57" s="50"/>
    </row>
    <row r="58" spans="1:37" ht="24" customHeight="1" x14ac:dyDescent="0.3">
      <c r="A58" s="253"/>
      <c r="B58" s="100" t="s">
        <v>172</v>
      </c>
      <c r="C58" s="7"/>
      <c r="D58" s="7"/>
      <c r="E58" s="50"/>
      <c r="F58" s="50"/>
      <c r="G58" s="163"/>
      <c r="H58" s="7"/>
      <c r="I58" s="50"/>
      <c r="J58" s="10"/>
      <c r="K58" s="50"/>
      <c r="L58" s="7">
        <v>2</v>
      </c>
      <c r="M58" s="50">
        <v>1</v>
      </c>
      <c r="N58" s="7">
        <v>2</v>
      </c>
      <c r="O58" s="50"/>
      <c r="P58" s="7"/>
      <c r="Q58" s="50"/>
      <c r="R58" s="7"/>
      <c r="S58" s="50"/>
    </row>
    <row r="59" spans="1:37" ht="24" customHeight="1" x14ac:dyDescent="0.3">
      <c r="A59" s="253"/>
      <c r="B59" s="100" t="s">
        <v>165</v>
      </c>
      <c r="C59" s="7"/>
      <c r="D59" s="7"/>
      <c r="E59" s="50"/>
      <c r="F59" s="50"/>
      <c r="G59" s="163"/>
      <c r="H59" s="7"/>
      <c r="I59" s="50"/>
      <c r="J59" s="10"/>
      <c r="K59" s="50"/>
      <c r="L59" s="7"/>
      <c r="M59" s="50"/>
      <c r="N59" s="7"/>
      <c r="O59" s="50"/>
      <c r="P59" s="7"/>
      <c r="Q59" s="50"/>
      <c r="R59" s="7"/>
      <c r="S59" s="50"/>
    </row>
    <row r="60" spans="1:37" ht="24" customHeight="1" x14ac:dyDescent="0.3">
      <c r="A60" s="253"/>
      <c r="B60" s="3" t="s">
        <v>173</v>
      </c>
      <c r="C60" s="7"/>
      <c r="D60" s="7"/>
      <c r="E60" s="50"/>
      <c r="F60" s="50"/>
      <c r="G60" s="163"/>
      <c r="H60" s="7"/>
      <c r="I60" s="50"/>
      <c r="J60" s="10"/>
      <c r="K60" s="50"/>
      <c r="L60" s="7"/>
      <c r="M60" s="50"/>
      <c r="N60" s="7"/>
      <c r="O60" s="50"/>
      <c r="P60" s="7"/>
      <c r="Q60" s="50"/>
      <c r="R60" s="7"/>
      <c r="S60" s="50"/>
    </row>
    <row r="61" spans="1:37" ht="24" customHeight="1" x14ac:dyDescent="0.3">
      <c r="A61" s="253"/>
      <c r="B61" s="3" t="s">
        <v>169</v>
      </c>
      <c r="C61" s="7"/>
      <c r="D61" s="7"/>
      <c r="E61" s="50"/>
      <c r="F61" s="50"/>
      <c r="G61" s="163"/>
      <c r="H61" s="7"/>
      <c r="I61" s="50"/>
      <c r="J61" s="10"/>
      <c r="K61" s="50"/>
      <c r="L61" s="7"/>
      <c r="M61" s="50"/>
      <c r="N61" s="7"/>
      <c r="O61" s="50"/>
      <c r="P61" s="7"/>
      <c r="Q61" s="50"/>
      <c r="R61" s="7"/>
      <c r="S61" s="50"/>
    </row>
    <row r="62" spans="1:37" ht="26.25" x14ac:dyDescent="0.3">
      <c r="A62" s="253"/>
      <c r="B62" s="2"/>
      <c r="C62" s="2">
        <f>SUM(C53:C61)</f>
        <v>0</v>
      </c>
      <c r="D62" s="2">
        <f>SUM(D53:D61)</f>
        <v>0</v>
      </c>
      <c r="E62" s="2">
        <f>SUM(E53:E61)</f>
        <v>0</v>
      </c>
      <c r="F62" s="2">
        <f>SUM(F53:F61)</f>
        <v>0</v>
      </c>
      <c r="G62" s="163"/>
      <c r="H62" s="2">
        <f t="shared" ref="H62:S62" si="4">SUM(H53:H61)</f>
        <v>0</v>
      </c>
      <c r="I62" s="2">
        <f t="shared" si="4"/>
        <v>0</v>
      </c>
      <c r="J62" s="2">
        <f t="shared" si="4"/>
        <v>0</v>
      </c>
      <c r="K62" s="2">
        <f t="shared" si="4"/>
        <v>1</v>
      </c>
      <c r="L62" s="2">
        <f t="shared" si="4"/>
        <v>2</v>
      </c>
      <c r="M62" s="2">
        <f t="shared" si="4"/>
        <v>1</v>
      </c>
      <c r="N62" s="2">
        <f t="shared" si="4"/>
        <v>2</v>
      </c>
      <c r="O62" s="2">
        <f t="shared" si="4"/>
        <v>0</v>
      </c>
      <c r="P62" s="2">
        <f t="shared" si="4"/>
        <v>0</v>
      </c>
      <c r="Q62" s="2">
        <f t="shared" si="4"/>
        <v>0</v>
      </c>
      <c r="R62" s="2">
        <f t="shared" si="4"/>
        <v>0</v>
      </c>
      <c r="S62" s="2">
        <f t="shared" si="4"/>
        <v>0</v>
      </c>
      <c r="Y62" s="254"/>
      <c r="Z62" s="254"/>
      <c r="AA62" s="254"/>
      <c r="AB62" s="254"/>
      <c r="AD62" s="234"/>
      <c r="AE62" s="234"/>
      <c r="AF62" s="234"/>
      <c r="AG62" s="234"/>
      <c r="AH62" s="234"/>
      <c r="AJ62" s="234"/>
      <c r="AK62" s="234"/>
    </row>
    <row r="64" spans="1:37" ht="19.5" customHeight="1" x14ac:dyDescent="0.35">
      <c r="A64" s="235" t="s">
        <v>23</v>
      </c>
      <c r="B64" s="235"/>
      <c r="C64" s="126">
        <v>47000</v>
      </c>
      <c r="D64" s="126">
        <v>4700</v>
      </c>
      <c r="E64" s="126">
        <v>58000</v>
      </c>
      <c r="F64" s="126">
        <v>5800</v>
      </c>
      <c r="H64" s="126">
        <v>5800</v>
      </c>
      <c r="I64" s="126">
        <v>4700</v>
      </c>
      <c r="J64" s="20">
        <v>6800</v>
      </c>
      <c r="K64" s="20">
        <v>5200</v>
      </c>
      <c r="L64" s="20">
        <v>20700</v>
      </c>
      <c r="M64" s="20">
        <v>6400</v>
      </c>
      <c r="N64" s="20">
        <v>18700</v>
      </c>
      <c r="O64" s="126">
        <v>25700</v>
      </c>
      <c r="P64" s="126">
        <v>8800</v>
      </c>
      <c r="Q64" s="20">
        <v>18700</v>
      </c>
      <c r="R64" s="20">
        <v>15000</v>
      </c>
      <c r="S64" s="20">
        <v>18000</v>
      </c>
      <c r="U64" s="236">
        <f>P67*0.85</f>
        <v>1200115</v>
      </c>
      <c r="V64" s="237"/>
      <c r="W64" s="238"/>
      <c r="Y64" s="242">
        <f>P69-P67</f>
        <v>0</v>
      </c>
      <c r="Z64" s="243"/>
      <c r="AA64" s="243"/>
      <c r="AB64" s="243"/>
      <c r="AD64" s="234"/>
      <c r="AE64" s="234"/>
      <c r="AF64" s="234"/>
      <c r="AG64" s="234"/>
      <c r="AH64" s="234"/>
      <c r="AJ64" s="234"/>
      <c r="AK64" s="234"/>
    </row>
    <row r="65" spans="1:37" ht="19.5" customHeight="1" x14ac:dyDescent="0.35">
      <c r="A65" s="235" t="s">
        <v>24</v>
      </c>
      <c r="B65" s="235"/>
      <c r="C65" s="20">
        <f>C64*C3</f>
        <v>846000</v>
      </c>
      <c r="D65" s="20">
        <f>D64*D3</f>
        <v>0</v>
      </c>
      <c r="E65" s="20">
        <f>E64*E3</f>
        <v>116000</v>
      </c>
      <c r="F65" s="20">
        <f>F64*F3</f>
        <v>174000</v>
      </c>
      <c r="H65" s="20">
        <f t="shared" ref="H65:S65" si="5">H64*H3</f>
        <v>34800</v>
      </c>
      <c r="I65" s="20">
        <f t="shared" si="5"/>
        <v>9400</v>
      </c>
      <c r="J65" s="20">
        <f t="shared" si="5"/>
        <v>6800</v>
      </c>
      <c r="K65" s="20">
        <f t="shared" si="5"/>
        <v>10400</v>
      </c>
      <c r="L65" s="20">
        <f t="shared" si="5"/>
        <v>124200</v>
      </c>
      <c r="M65" s="20">
        <f t="shared" si="5"/>
        <v>19200</v>
      </c>
      <c r="N65" s="20">
        <f t="shared" si="5"/>
        <v>56100</v>
      </c>
      <c r="O65" s="20">
        <f t="shared" si="5"/>
        <v>0</v>
      </c>
      <c r="P65" s="20">
        <f t="shared" si="5"/>
        <v>0</v>
      </c>
      <c r="Q65" s="20">
        <f t="shared" si="5"/>
        <v>0</v>
      </c>
      <c r="R65" s="20">
        <f t="shared" si="5"/>
        <v>15000</v>
      </c>
      <c r="S65" s="20">
        <f t="shared" si="5"/>
        <v>0</v>
      </c>
      <c r="U65" s="239"/>
      <c r="V65" s="240"/>
      <c r="W65" s="241"/>
      <c r="Y65" s="243"/>
      <c r="Z65" s="243"/>
      <c r="AA65" s="243"/>
      <c r="AB65" s="243"/>
      <c r="AD65" s="234"/>
      <c r="AE65" s="234"/>
      <c r="AF65" s="234"/>
      <c r="AG65" s="234"/>
      <c r="AH65" s="234"/>
      <c r="AJ65" s="234"/>
      <c r="AK65" s="234"/>
    </row>
    <row r="67" spans="1:37" ht="26.25" x14ac:dyDescent="0.3">
      <c r="P67" s="259">
        <f>SUM(C65:S65)</f>
        <v>1411900</v>
      </c>
      <c r="Q67" s="260"/>
      <c r="U67" s="247"/>
      <c r="V67" s="248"/>
      <c r="W67" s="248"/>
      <c r="Y67" s="249"/>
      <c r="Z67" s="250"/>
      <c r="AA67" s="250"/>
      <c r="AB67" s="251"/>
    </row>
    <row r="69" spans="1:37" ht="26.25" x14ac:dyDescent="0.3">
      <c r="C69" s="244"/>
      <c r="D69" s="245"/>
      <c r="P69" s="246">
        <v>1411900</v>
      </c>
      <c r="Q69" s="246"/>
      <c r="U69" s="247">
        <f>P69*0.85</f>
        <v>1200115</v>
      </c>
      <c r="V69" s="248"/>
      <c r="W69" s="248"/>
      <c r="Y69" s="249"/>
      <c r="Z69" s="250"/>
      <c r="AA69" s="250"/>
      <c r="AB69" s="251"/>
    </row>
    <row r="70" spans="1:37" x14ac:dyDescent="0.3">
      <c r="Q70" s="18"/>
      <c r="S70" s="18"/>
      <c r="U70" s="245"/>
      <c r="V70" s="245"/>
      <c r="W70" s="245"/>
      <c r="Y70" s="255"/>
      <c r="Z70" s="256"/>
      <c r="AA70" s="256"/>
      <c r="AB70" s="256"/>
    </row>
    <row r="71" spans="1:37" x14ac:dyDescent="0.3">
      <c r="P71" s="244"/>
      <c r="Q71" s="245"/>
      <c r="U71" s="245"/>
      <c r="V71" s="245"/>
      <c r="W71" s="245"/>
      <c r="Y71" s="245"/>
      <c r="Z71" s="245"/>
      <c r="AA71" s="245"/>
      <c r="AB71" s="245"/>
    </row>
    <row r="72" spans="1:37" x14ac:dyDescent="0.3">
      <c r="P72" s="245"/>
      <c r="Q72" s="245"/>
      <c r="U72" s="245"/>
      <c r="V72" s="245"/>
      <c r="W72" s="245"/>
      <c r="Y72" s="245"/>
      <c r="Z72" s="245"/>
      <c r="AA72" s="245"/>
      <c r="AB72" s="245"/>
    </row>
    <row r="73" spans="1:37" x14ac:dyDescent="0.3">
      <c r="P73" s="18"/>
      <c r="Q73" s="18"/>
      <c r="S73" s="18"/>
      <c r="Y73" s="245"/>
      <c r="Z73" s="245"/>
      <c r="AA73" s="245"/>
      <c r="AB73" s="245"/>
    </row>
    <row r="74" spans="1:37" x14ac:dyDescent="0.3">
      <c r="C74">
        <f>C64*0.85</f>
        <v>39950</v>
      </c>
      <c r="D74">
        <f t="shared" ref="D74:R74" si="6">D64*0.85</f>
        <v>3995</v>
      </c>
      <c r="E74">
        <f t="shared" si="6"/>
        <v>49300</v>
      </c>
      <c r="F74">
        <f t="shared" si="6"/>
        <v>4930</v>
      </c>
      <c r="H74">
        <f t="shared" si="6"/>
        <v>4930</v>
      </c>
      <c r="I74">
        <f t="shared" si="6"/>
        <v>3995</v>
      </c>
      <c r="J74">
        <f t="shared" si="6"/>
        <v>5780</v>
      </c>
      <c r="K74">
        <f t="shared" si="6"/>
        <v>4420</v>
      </c>
      <c r="L74">
        <f t="shared" si="6"/>
        <v>17595</v>
      </c>
      <c r="M74">
        <f t="shared" si="6"/>
        <v>5440</v>
      </c>
      <c r="N74">
        <f t="shared" si="6"/>
        <v>15895</v>
      </c>
      <c r="O74">
        <f t="shared" si="6"/>
        <v>21845</v>
      </c>
      <c r="P74">
        <f t="shared" si="6"/>
        <v>7480</v>
      </c>
      <c r="Q74">
        <f t="shared" si="6"/>
        <v>15895</v>
      </c>
      <c r="R74">
        <f t="shared" si="6"/>
        <v>12750</v>
      </c>
      <c r="S74">
        <f>S64*0.85</f>
        <v>15300</v>
      </c>
    </row>
    <row r="75" spans="1:37" x14ac:dyDescent="0.3">
      <c r="C75">
        <v>29500</v>
      </c>
      <c r="D75">
        <v>2950</v>
      </c>
      <c r="E75">
        <v>51000</v>
      </c>
      <c r="F75">
        <v>5100</v>
      </c>
      <c r="H75">
        <v>3600</v>
      </c>
      <c r="I75">
        <v>2950</v>
      </c>
      <c r="J75">
        <v>4000</v>
      </c>
      <c r="K75">
        <v>4200</v>
      </c>
      <c r="L75">
        <v>15000</v>
      </c>
      <c r="M75">
        <v>4500</v>
      </c>
      <c r="N75">
        <v>9500</v>
      </c>
      <c r="O75">
        <v>12000</v>
      </c>
      <c r="P75">
        <v>8000</v>
      </c>
      <c r="Q75">
        <v>12000</v>
      </c>
      <c r="R75">
        <v>8500</v>
      </c>
    </row>
    <row r="76" spans="1:37" x14ac:dyDescent="0.3">
      <c r="C76">
        <f>C74-C75</f>
        <v>10450</v>
      </c>
      <c r="D76">
        <f t="shared" ref="D76:R76" si="7">D74-D75</f>
        <v>1045</v>
      </c>
      <c r="E76">
        <f t="shared" si="7"/>
        <v>-1700</v>
      </c>
      <c r="F76">
        <f t="shared" si="7"/>
        <v>-170</v>
      </c>
      <c r="H76">
        <f t="shared" si="7"/>
        <v>1330</v>
      </c>
      <c r="I76">
        <f t="shared" si="7"/>
        <v>1045</v>
      </c>
      <c r="J76">
        <f t="shared" si="7"/>
        <v>1780</v>
      </c>
      <c r="K76">
        <f t="shared" si="7"/>
        <v>220</v>
      </c>
      <c r="L76">
        <f t="shared" si="7"/>
        <v>2595</v>
      </c>
      <c r="M76">
        <f t="shared" si="7"/>
        <v>940</v>
      </c>
      <c r="N76">
        <f t="shared" si="7"/>
        <v>6395</v>
      </c>
      <c r="O76">
        <f t="shared" si="7"/>
        <v>9845</v>
      </c>
      <c r="P76">
        <f t="shared" si="7"/>
        <v>-520</v>
      </c>
      <c r="Q76">
        <f t="shared" si="7"/>
        <v>3895</v>
      </c>
      <c r="R76">
        <f t="shared" si="7"/>
        <v>4250</v>
      </c>
    </row>
    <row r="77" spans="1:37" x14ac:dyDescent="0.3">
      <c r="C77">
        <f t="shared" ref="C77:R77" si="8">C76*C3</f>
        <v>188100</v>
      </c>
      <c r="D77">
        <f t="shared" si="8"/>
        <v>0</v>
      </c>
      <c r="E77">
        <f t="shared" si="8"/>
        <v>-3400</v>
      </c>
      <c r="F77">
        <f t="shared" si="8"/>
        <v>-5100</v>
      </c>
      <c r="G77">
        <f t="shared" si="8"/>
        <v>0</v>
      </c>
      <c r="H77">
        <f t="shared" si="8"/>
        <v>7980</v>
      </c>
      <c r="I77">
        <f t="shared" si="8"/>
        <v>2090</v>
      </c>
      <c r="J77">
        <f t="shared" si="8"/>
        <v>1780</v>
      </c>
      <c r="K77">
        <f t="shared" si="8"/>
        <v>440</v>
      </c>
      <c r="L77">
        <f t="shared" si="8"/>
        <v>15570</v>
      </c>
      <c r="M77">
        <f t="shared" si="8"/>
        <v>2820</v>
      </c>
      <c r="N77">
        <f t="shared" si="8"/>
        <v>19185</v>
      </c>
      <c r="O77">
        <f t="shared" si="8"/>
        <v>0</v>
      </c>
      <c r="P77">
        <f t="shared" si="8"/>
        <v>0</v>
      </c>
      <c r="Q77">
        <f t="shared" si="8"/>
        <v>0</v>
      </c>
      <c r="R77">
        <f t="shared" si="8"/>
        <v>4250</v>
      </c>
      <c r="X77" s="245"/>
      <c r="Y77" s="245"/>
      <c r="Z77" s="245"/>
      <c r="AA77" s="245"/>
      <c r="AB77" s="245"/>
    </row>
    <row r="78" spans="1:37" x14ac:dyDescent="0.3">
      <c r="X78" s="245"/>
      <c r="Y78" s="245"/>
      <c r="Z78" s="245"/>
      <c r="AA78" s="245"/>
      <c r="AB78" s="245"/>
    </row>
    <row r="79" spans="1:37" ht="26.25" x14ac:dyDescent="0.3">
      <c r="P79" s="257">
        <f>SUM(C77:R77)</f>
        <v>233715</v>
      </c>
      <c r="Q79" s="258"/>
    </row>
  </sheetData>
  <mergeCells count="31">
    <mergeCell ref="A1:B2"/>
    <mergeCell ref="C1:D1"/>
    <mergeCell ref="E1:F1"/>
    <mergeCell ref="A4:A22"/>
    <mergeCell ref="A23:A43"/>
    <mergeCell ref="A44:A52"/>
    <mergeCell ref="AD64:AH65"/>
    <mergeCell ref="AJ64:AK65"/>
    <mergeCell ref="A65:B65"/>
    <mergeCell ref="Y52:AB52"/>
    <mergeCell ref="AD52:AH52"/>
    <mergeCell ref="AJ52:AK52"/>
    <mergeCell ref="A53:A62"/>
    <mergeCell ref="Y62:AB62"/>
    <mergeCell ref="AD62:AH62"/>
    <mergeCell ref="AJ62:AK62"/>
    <mergeCell ref="C69:D69"/>
    <mergeCell ref="P69:Q69"/>
    <mergeCell ref="U69:W69"/>
    <mergeCell ref="Y69:AB69"/>
    <mergeCell ref="A64:B64"/>
    <mergeCell ref="U64:W65"/>
    <mergeCell ref="Y64:AB65"/>
    <mergeCell ref="U70:W72"/>
    <mergeCell ref="Y70:AB73"/>
    <mergeCell ref="P71:Q72"/>
    <mergeCell ref="X77:AB78"/>
    <mergeCell ref="P79:Q79"/>
    <mergeCell ref="P67:Q67"/>
    <mergeCell ref="U67:W67"/>
    <mergeCell ref="Y67:AB67"/>
  </mergeCells>
  <phoneticPr fontId="46" type="noConversion"/>
  <conditionalFormatting sqref="B7:B11">
    <cfRule type="duplicateValues" dxfId="85" priority="2"/>
  </conditionalFormatting>
  <conditionalFormatting sqref="B44:B51">
    <cfRule type="duplicateValues" dxfId="84" priority="3"/>
  </conditionalFormatting>
  <conditionalFormatting sqref="B12">
    <cfRule type="duplicateValues" dxfId="83" priority="1"/>
  </conditionalFormatting>
  <conditionalFormatting sqref="B4:B6 B13:B21">
    <cfRule type="expression" dxfId="82" priority="4" stopIfTrue="1">
      <formula>AND(COUNTIF($B$4:$B$6, B4)+COUNTIF($B$13:$B$21, B4)&gt;1,NOT(ISBLANK(B4)))</formula>
    </cfRule>
  </conditionalFormatting>
  <conditionalFormatting sqref="B53:B61">
    <cfRule type="duplicateValues" dxfId="81" priority="5"/>
  </conditionalFormatting>
  <conditionalFormatting sqref="B23:B42">
    <cfRule type="duplicateValues" dxfId="80" priority="6"/>
  </conditionalFormatting>
  <printOptions horizontalCentered="1" verticalCentered="1"/>
  <pageMargins left="0" right="0" top="7.874015748031496E-2" bottom="7.874015748031496E-2" header="0" footer="0"/>
  <pageSetup paperSize="9" scale="23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T18"/>
  <sheetViews>
    <sheetView zoomScale="70" zoomScaleNormal="70" workbookViewId="0">
      <pane ySplit="3" topLeftCell="A8" activePane="bottomLeft" state="frozen"/>
      <selection activeCell="I6" sqref="I6"/>
      <selection pane="bottomLeft" activeCell="I6" sqref="I6"/>
    </sheetView>
  </sheetViews>
  <sheetFormatPr defaultRowHeight="16.5" x14ac:dyDescent="0.3"/>
  <cols>
    <col min="1" max="1" width="32.875" customWidth="1"/>
    <col min="2" max="6" width="10" customWidth="1"/>
    <col min="7" max="7" width="5.75" customWidth="1"/>
    <col min="8" max="8" width="18.5" customWidth="1"/>
    <col min="9" max="20" width="10.875" customWidth="1"/>
  </cols>
  <sheetData>
    <row r="1" spans="1:20" ht="113.25" customHeight="1" x14ac:dyDescent="0.3">
      <c r="A1" s="222" t="s">
        <v>197</v>
      </c>
      <c r="B1" s="223"/>
      <c r="C1" s="267" t="s">
        <v>97</v>
      </c>
      <c r="D1" s="268"/>
      <c r="E1" s="228" t="s">
        <v>98</v>
      </c>
      <c r="F1" s="228"/>
      <c r="G1" s="8"/>
      <c r="H1" s="269" t="s">
        <v>18</v>
      </c>
      <c r="I1" s="72" t="s">
        <v>20</v>
      </c>
      <c r="J1" s="162" t="s">
        <v>21</v>
      </c>
      <c r="K1" s="5" t="s">
        <v>101</v>
      </c>
      <c r="L1" s="162" t="s">
        <v>100</v>
      </c>
      <c r="M1" s="5" t="s">
        <v>96</v>
      </c>
      <c r="N1" s="162" t="s">
        <v>183</v>
      </c>
      <c r="O1" s="5" t="s">
        <v>114</v>
      </c>
      <c r="P1" s="162" t="s">
        <v>115</v>
      </c>
      <c r="Q1" s="5" t="s">
        <v>190</v>
      </c>
      <c r="R1" s="162" t="s">
        <v>105</v>
      </c>
      <c r="S1" s="5" t="s">
        <v>106</v>
      </c>
      <c r="T1" s="162" t="s">
        <v>191</v>
      </c>
    </row>
    <row r="2" spans="1:20" ht="43.5" customHeight="1" x14ac:dyDescent="0.3">
      <c r="A2" s="224"/>
      <c r="B2" s="225"/>
      <c r="C2" s="73" t="s">
        <v>2</v>
      </c>
      <c r="D2" s="73" t="s">
        <v>22</v>
      </c>
      <c r="E2" s="1" t="s">
        <v>2</v>
      </c>
      <c r="F2" s="1" t="s">
        <v>1</v>
      </c>
      <c r="G2" s="9"/>
      <c r="H2" s="270"/>
      <c r="I2" s="6" t="s">
        <v>3</v>
      </c>
      <c r="J2" s="1" t="s">
        <v>1</v>
      </c>
      <c r="K2" s="6" t="s">
        <v>3</v>
      </c>
      <c r="L2" s="1" t="s">
        <v>1</v>
      </c>
      <c r="M2" s="6" t="s">
        <v>3</v>
      </c>
      <c r="N2" s="1" t="s">
        <v>1</v>
      </c>
      <c r="O2" s="6" t="s">
        <v>3</v>
      </c>
      <c r="P2" s="1" t="s">
        <v>1</v>
      </c>
      <c r="Q2" s="6" t="s">
        <v>3</v>
      </c>
      <c r="R2" s="1" t="s">
        <v>1</v>
      </c>
      <c r="S2" s="6" t="s">
        <v>3</v>
      </c>
      <c r="T2" s="1" t="s">
        <v>1</v>
      </c>
    </row>
    <row r="3" spans="1:20" ht="39" customHeight="1" thickBot="1" x14ac:dyDescent="0.35">
      <c r="A3" s="271" t="s">
        <v>10</v>
      </c>
      <c r="B3" s="272"/>
      <c r="C3" s="44">
        <f>SUM(C4:C20)</f>
        <v>62</v>
      </c>
      <c r="D3" s="44">
        <f>SUM(D4:D20)</f>
        <v>0</v>
      </c>
      <c r="E3" s="44">
        <f>SUM(E4:E20)</f>
        <v>2</v>
      </c>
      <c r="F3" s="44">
        <f>SUM(F4:F20)</f>
        <v>30</v>
      </c>
      <c r="G3" s="163"/>
      <c r="H3" s="13" t="s">
        <v>10</v>
      </c>
      <c r="I3" s="44">
        <f>SUM(I4:I15)</f>
        <v>6</v>
      </c>
      <c r="J3" s="44">
        <f t="shared" ref="J3:T3" si="0">SUM(J4:J15)</f>
        <v>2</v>
      </c>
      <c r="K3" s="44">
        <f t="shared" si="0"/>
        <v>1</v>
      </c>
      <c r="L3" s="44">
        <f t="shared" si="0"/>
        <v>2</v>
      </c>
      <c r="M3" s="44">
        <f t="shared" si="0"/>
        <v>6</v>
      </c>
      <c r="N3" s="44">
        <f t="shared" si="0"/>
        <v>3</v>
      </c>
      <c r="O3" s="44">
        <f t="shared" si="0"/>
        <v>3</v>
      </c>
      <c r="P3" s="44">
        <f t="shared" si="0"/>
        <v>0</v>
      </c>
      <c r="Q3" s="44">
        <f t="shared" si="0"/>
        <v>0</v>
      </c>
      <c r="R3" s="44">
        <f t="shared" si="0"/>
        <v>0</v>
      </c>
      <c r="S3" s="44">
        <f t="shared" si="0"/>
        <v>1</v>
      </c>
      <c r="T3" s="44">
        <f t="shared" si="0"/>
        <v>0</v>
      </c>
    </row>
    <row r="4" spans="1:20" ht="82.7" customHeight="1" thickTop="1" x14ac:dyDescent="0.3">
      <c r="A4" s="273" t="s">
        <v>15</v>
      </c>
      <c r="B4" s="274"/>
      <c r="C4" s="57">
        <f>'학교별04.24'!C22</f>
        <v>13</v>
      </c>
      <c r="D4" s="57">
        <f>'학교별04.24'!D22</f>
        <v>0</v>
      </c>
      <c r="E4" s="58">
        <f>'학교별04.24'!E22</f>
        <v>0</v>
      </c>
      <c r="F4" s="59">
        <f>'학교별04.24'!F22</f>
        <v>30</v>
      </c>
      <c r="G4" s="163"/>
      <c r="H4" s="49" t="s">
        <v>15</v>
      </c>
      <c r="I4" s="47">
        <f>'학교별04.24'!H22</f>
        <v>2</v>
      </c>
      <c r="J4" s="45">
        <f>'학교별04.24'!I22</f>
        <v>1</v>
      </c>
      <c r="K4" s="47">
        <f>'학교별04.24'!J22</f>
        <v>1</v>
      </c>
      <c r="L4" s="45">
        <f>'학교별04.24'!K22</f>
        <v>0</v>
      </c>
      <c r="M4" s="47">
        <f>'학교별04.24'!L22</f>
        <v>0</v>
      </c>
      <c r="N4" s="45">
        <f>'학교별04.24'!M22</f>
        <v>0</v>
      </c>
      <c r="O4" s="47">
        <f>'학교별04.24'!N22</f>
        <v>1</v>
      </c>
      <c r="P4" s="45">
        <f>'학교별04.24'!O22</f>
        <v>0</v>
      </c>
      <c r="Q4" s="47">
        <f>'학교별04.24'!P22</f>
        <v>0</v>
      </c>
      <c r="R4" s="45">
        <f>'학교별04.24'!Q22</f>
        <v>0</v>
      </c>
      <c r="S4" s="47">
        <f>'학교별04.24'!R22</f>
        <v>1</v>
      </c>
      <c r="T4" s="87">
        <f>'학교별04.24'!S22</f>
        <v>0</v>
      </c>
    </row>
    <row r="5" spans="1:20" ht="82.7" customHeight="1" x14ac:dyDescent="0.3">
      <c r="A5" s="289" t="s">
        <v>199</v>
      </c>
      <c r="B5" s="290"/>
      <c r="C5" s="165">
        <v>50</v>
      </c>
      <c r="D5" s="165"/>
      <c r="E5" s="166"/>
      <c r="F5" s="167"/>
      <c r="G5" s="164"/>
      <c r="H5" s="40"/>
      <c r="I5" s="41"/>
      <c r="J5" s="42"/>
      <c r="K5" s="41"/>
      <c r="L5" s="42"/>
      <c r="M5" s="41"/>
      <c r="N5" s="42"/>
      <c r="O5" s="41"/>
      <c r="P5" s="42"/>
      <c r="Q5" s="41"/>
      <c r="R5" s="42"/>
      <c r="S5" s="41"/>
      <c r="T5" s="88"/>
    </row>
    <row r="6" spans="1:20" ht="82.7" customHeight="1" thickBot="1" x14ac:dyDescent="0.35">
      <c r="A6" s="275" t="s">
        <v>198</v>
      </c>
      <c r="B6" s="276"/>
      <c r="C6" s="79">
        <v>-6</v>
      </c>
      <c r="D6" s="60"/>
      <c r="E6" s="62"/>
      <c r="F6" s="61"/>
      <c r="G6" s="163"/>
      <c r="H6" s="40"/>
      <c r="I6" s="83"/>
      <c r="J6" s="81"/>
      <c r="K6" s="95"/>
      <c r="L6" s="81"/>
      <c r="M6" s="84"/>
      <c r="N6" s="81"/>
      <c r="O6" s="83"/>
      <c r="P6" s="42"/>
      <c r="Q6" s="41"/>
      <c r="R6" s="42"/>
      <c r="S6" s="83"/>
      <c r="T6" s="88"/>
    </row>
    <row r="7" spans="1:20" ht="18" thickTop="1" thickBot="1" x14ac:dyDescent="0.35">
      <c r="H7" s="33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138"/>
    </row>
    <row r="8" spans="1:20" ht="82.7" customHeight="1" thickTop="1" x14ac:dyDescent="0.3">
      <c r="A8" s="277" t="s">
        <v>26</v>
      </c>
      <c r="B8" s="278"/>
      <c r="C8" s="47">
        <f>'학교별04.24'!C43</f>
        <v>5</v>
      </c>
      <c r="D8" s="47">
        <f>'학교별04.24'!D43</f>
        <v>0</v>
      </c>
      <c r="E8" s="45">
        <f>'학교별04.24'!E43</f>
        <v>2</v>
      </c>
      <c r="F8" s="45">
        <f>'학교별04.24'!F43</f>
        <v>0</v>
      </c>
      <c r="G8" s="37"/>
      <c r="H8" s="55" t="s">
        <v>17</v>
      </c>
      <c r="I8" s="48">
        <f>'학교별04.24'!H43</f>
        <v>0</v>
      </c>
      <c r="J8" s="46">
        <f>'학교별04.24'!I43</f>
        <v>1</v>
      </c>
      <c r="K8" s="48">
        <f>'학교별04.24'!J43</f>
        <v>0</v>
      </c>
      <c r="L8" s="46">
        <f>'학교별04.24'!K43</f>
        <v>0</v>
      </c>
      <c r="M8" s="48">
        <f>'학교별04.24'!L43</f>
        <v>3</v>
      </c>
      <c r="N8" s="46">
        <f>'학교별04.24'!M43</f>
        <v>0</v>
      </c>
      <c r="O8" s="48">
        <f>'학교별04.24'!N43</f>
        <v>0</v>
      </c>
      <c r="P8" s="46">
        <f>'학교별04.24'!O43</f>
        <v>0</v>
      </c>
      <c r="Q8" s="48">
        <f>'학교별04.24'!P43</f>
        <v>0</v>
      </c>
      <c r="R8" s="46">
        <f>'학교별04.24'!Q43</f>
        <v>0</v>
      </c>
      <c r="S8" s="48">
        <f>'학교별04.24'!R43</f>
        <v>0</v>
      </c>
      <c r="T8" s="90">
        <f>'학교별04.24'!S43</f>
        <v>0</v>
      </c>
    </row>
    <row r="9" spans="1:20" ht="82.7" customHeight="1" thickBot="1" x14ac:dyDescent="0.35">
      <c r="A9" s="261"/>
      <c r="B9" s="262"/>
      <c r="C9" s="75"/>
      <c r="D9" s="96"/>
      <c r="E9" s="78"/>
      <c r="F9" s="38"/>
      <c r="G9" s="39"/>
      <c r="H9" s="163"/>
      <c r="I9" s="41"/>
      <c r="J9" s="42"/>
      <c r="K9" s="41"/>
      <c r="L9" s="42"/>
      <c r="M9" s="41"/>
      <c r="N9" s="42"/>
      <c r="O9" s="41"/>
      <c r="P9" s="42"/>
      <c r="Q9" s="41"/>
      <c r="R9" s="98"/>
      <c r="S9" s="41"/>
      <c r="T9" s="88"/>
    </row>
    <row r="10" spans="1:20" ht="18" thickTop="1" thickBot="1" x14ac:dyDescent="0.35">
      <c r="H10" s="33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138"/>
    </row>
    <row r="11" spans="1:20" ht="82.7" customHeight="1" thickTop="1" x14ac:dyDescent="0.3">
      <c r="A11" s="263" t="s">
        <v>16</v>
      </c>
      <c r="B11" s="264"/>
      <c r="C11" s="65">
        <f>'학교별04.24'!C52</f>
        <v>0</v>
      </c>
      <c r="D11" s="65">
        <f>'학교별04.24'!D52</f>
        <v>0</v>
      </c>
      <c r="E11" s="66">
        <f>'학교별04.24'!E52</f>
        <v>0</v>
      </c>
      <c r="F11" s="67">
        <f>'학교별04.24'!F52</f>
        <v>0</v>
      </c>
      <c r="G11" s="163"/>
      <c r="H11" s="136" t="s">
        <v>25</v>
      </c>
      <c r="I11" s="127">
        <f>'학교별04.24'!H52</f>
        <v>4</v>
      </c>
      <c r="J11" s="128">
        <f>'학교별04.24'!I52</f>
        <v>0</v>
      </c>
      <c r="K11" s="127">
        <f>'학교별04.24'!J52</f>
        <v>0</v>
      </c>
      <c r="L11" s="128">
        <f>'학교별04.24'!K52</f>
        <v>1</v>
      </c>
      <c r="M11" s="127">
        <f>'학교별04.24'!L52</f>
        <v>1</v>
      </c>
      <c r="N11" s="128">
        <f>'학교별04.24'!M52</f>
        <v>2</v>
      </c>
      <c r="O11" s="127">
        <f>'학교별04.24'!N52</f>
        <v>0</v>
      </c>
      <c r="P11" s="128">
        <f>'학교별04.24'!O52</f>
        <v>0</v>
      </c>
      <c r="Q11" s="127">
        <f>'학교별04.24'!P52</f>
        <v>0</v>
      </c>
      <c r="R11" s="128">
        <f>'학교별04.24'!Q52</f>
        <v>0</v>
      </c>
      <c r="S11" s="127">
        <f>'학교별04.24'!R52</f>
        <v>0</v>
      </c>
      <c r="T11" s="137">
        <f>'학교별04.24'!S52</f>
        <v>0</v>
      </c>
    </row>
    <row r="12" spans="1:20" ht="82.7" customHeight="1" thickBot="1" x14ac:dyDescent="0.35">
      <c r="A12" s="265"/>
      <c r="B12" s="266"/>
      <c r="C12" s="68"/>
      <c r="D12" s="69"/>
      <c r="E12" s="144"/>
      <c r="F12" s="71"/>
      <c r="H12" s="33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138"/>
    </row>
    <row r="13" spans="1:20" ht="18" thickTop="1" thickBot="1" x14ac:dyDescent="0.35">
      <c r="H13" s="33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138"/>
    </row>
    <row r="14" spans="1:20" ht="82.7" customHeight="1" thickTop="1" x14ac:dyDescent="0.3">
      <c r="A14" s="282" t="s">
        <v>175</v>
      </c>
      <c r="B14" s="283"/>
      <c r="C14" s="129">
        <f>'학교별04.24'!C62</f>
        <v>0</v>
      </c>
      <c r="D14" s="129">
        <f>'학교별04.24'!D62</f>
        <v>0</v>
      </c>
      <c r="E14" s="130">
        <f>'학교별04.24'!E62</f>
        <v>0</v>
      </c>
      <c r="F14" s="131">
        <f>'학교별04.24'!F62</f>
        <v>0</v>
      </c>
      <c r="G14" s="163"/>
      <c r="H14" s="136" t="s">
        <v>174</v>
      </c>
      <c r="I14" s="127">
        <f>'학교별04.24'!H62</f>
        <v>0</v>
      </c>
      <c r="J14" s="128">
        <f>'학교별04.24'!I62</f>
        <v>0</v>
      </c>
      <c r="K14" s="127">
        <f>'학교별04.24'!J62</f>
        <v>0</v>
      </c>
      <c r="L14" s="128">
        <f>'학교별04.24'!K62</f>
        <v>1</v>
      </c>
      <c r="M14" s="127">
        <f>'학교별04.24'!L62</f>
        <v>2</v>
      </c>
      <c r="N14" s="128">
        <f>'학교별04.24'!M62</f>
        <v>1</v>
      </c>
      <c r="O14" s="127">
        <f>'학교별04.24'!N62</f>
        <v>2</v>
      </c>
      <c r="P14" s="128">
        <f>'학교별04.24'!O62</f>
        <v>0</v>
      </c>
      <c r="Q14" s="127">
        <f>'학교별04.24'!P62</f>
        <v>0</v>
      </c>
      <c r="R14" s="128">
        <f>'학교별04.24'!Q62</f>
        <v>0</v>
      </c>
      <c r="S14" s="127">
        <f>'학교별04.24'!R62</f>
        <v>0</v>
      </c>
      <c r="T14" s="137">
        <f>'학교별04.24'!S62</f>
        <v>0</v>
      </c>
    </row>
    <row r="15" spans="1:20" ht="82.7" customHeight="1" thickBot="1" x14ac:dyDescent="0.35">
      <c r="A15" s="280"/>
      <c r="B15" s="281"/>
      <c r="C15" s="132"/>
      <c r="D15" s="133"/>
      <c r="E15" s="134"/>
      <c r="F15" s="135"/>
      <c r="H15" s="64"/>
      <c r="I15" s="14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152"/>
    </row>
    <row r="16" spans="1:20" ht="17.25" thickTop="1" x14ac:dyDescent="0.3"/>
    <row r="18" spans="8:8" x14ac:dyDescent="0.3">
      <c r="H18" t="s">
        <v>83</v>
      </c>
    </row>
  </sheetData>
  <mergeCells count="14">
    <mergeCell ref="A5:B5"/>
    <mergeCell ref="A1:B2"/>
    <mergeCell ref="C1:D1"/>
    <mergeCell ref="E1:F1"/>
    <mergeCell ref="H1:H2"/>
    <mergeCell ref="A3:B3"/>
    <mergeCell ref="A4:B4"/>
    <mergeCell ref="A15:B15"/>
    <mergeCell ref="A6:B6"/>
    <mergeCell ref="A8:B8"/>
    <mergeCell ref="A9:B9"/>
    <mergeCell ref="A11:B11"/>
    <mergeCell ref="A12:B12"/>
    <mergeCell ref="A14:B14"/>
  </mergeCells>
  <phoneticPr fontId="46" type="noConversion"/>
  <conditionalFormatting sqref="A4:A6">
    <cfRule type="duplicateValues" dxfId="79" priority="2"/>
  </conditionalFormatting>
  <conditionalFormatting sqref="A8:A9">
    <cfRule type="duplicateValues" dxfId="78" priority="3"/>
  </conditionalFormatting>
  <conditionalFormatting sqref="A14">
    <cfRule type="duplicateValues" dxfId="77" priority="1"/>
  </conditionalFormatting>
  <conditionalFormatting sqref="A11">
    <cfRule type="duplicateValues" dxfId="76" priority="4"/>
  </conditionalFormatting>
  <printOptions horizontalCentered="1" verticalCentered="1"/>
  <pageMargins left="0" right="0" top="7.874015748031496E-2" bottom="7.874015748031496E-2" header="0" footer="0"/>
  <pageSetup paperSize="9" scale="5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79"/>
  <sheetViews>
    <sheetView zoomScale="70" zoomScaleNormal="70" workbookViewId="0">
      <pane ySplit="3" topLeftCell="A10" activePane="bottomLeft" state="frozen"/>
      <selection activeCell="Y8" sqref="Y8"/>
      <selection pane="bottomLeft" activeCell="Y8" sqref="Y8"/>
    </sheetView>
  </sheetViews>
  <sheetFormatPr defaultRowHeight="16.5" x14ac:dyDescent="0.3"/>
  <cols>
    <col min="1" max="1" width="9" customWidth="1"/>
    <col min="2" max="2" width="33.75" customWidth="1"/>
    <col min="3" max="3" width="10.75" customWidth="1"/>
    <col min="4" max="4" width="10" customWidth="1"/>
    <col min="5" max="5" width="10.5" customWidth="1"/>
    <col min="6" max="6" width="10" customWidth="1"/>
    <col min="7" max="7" width="4.125" customWidth="1"/>
    <col min="8" max="19" width="10.875" customWidth="1"/>
    <col min="20" max="20" width="5.5" customWidth="1"/>
    <col min="21" max="21" width="10.875" bestFit="1" customWidth="1"/>
  </cols>
  <sheetData>
    <row r="1" spans="1:23" ht="113.25" customHeight="1" x14ac:dyDescent="0.3">
      <c r="A1" s="222" t="s">
        <v>202</v>
      </c>
      <c r="B1" s="223"/>
      <c r="C1" s="226" t="s">
        <v>0</v>
      </c>
      <c r="D1" s="227"/>
      <c r="E1" s="228" t="s">
        <v>19</v>
      </c>
      <c r="F1" s="228"/>
      <c r="G1" s="8"/>
      <c r="H1" s="72" t="s">
        <v>20</v>
      </c>
      <c r="I1" s="168" t="s">
        <v>21</v>
      </c>
      <c r="J1" s="5" t="s">
        <v>7</v>
      </c>
      <c r="K1" s="168" t="s">
        <v>4</v>
      </c>
      <c r="L1" s="5" t="s">
        <v>6</v>
      </c>
      <c r="M1" s="168" t="s">
        <v>5</v>
      </c>
      <c r="N1" s="5" t="s">
        <v>9</v>
      </c>
      <c r="O1" s="168" t="s">
        <v>119</v>
      </c>
      <c r="P1" s="5" t="s">
        <v>8</v>
      </c>
      <c r="Q1" s="168" t="s">
        <v>12</v>
      </c>
      <c r="R1" s="5" t="s">
        <v>95</v>
      </c>
      <c r="S1" s="168" t="s">
        <v>11</v>
      </c>
    </row>
    <row r="2" spans="1:23" ht="43.5" customHeight="1" x14ac:dyDescent="0.3">
      <c r="A2" s="224"/>
      <c r="B2" s="225"/>
      <c r="C2" s="73" t="s">
        <v>2</v>
      </c>
      <c r="D2" s="21" t="s">
        <v>1</v>
      </c>
      <c r="E2" s="1" t="s">
        <v>2</v>
      </c>
      <c r="F2" s="1" t="s">
        <v>1</v>
      </c>
      <c r="G2" s="9"/>
      <c r="H2" s="6" t="s">
        <v>3</v>
      </c>
      <c r="I2" s="1" t="s">
        <v>1</v>
      </c>
      <c r="J2" s="6" t="s">
        <v>3</v>
      </c>
      <c r="K2" s="1" t="s">
        <v>1</v>
      </c>
      <c r="L2" s="6" t="s">
        <v>3</v>
      </c>
      <c r="M2" s="1" t="s">
        <v>1</v>
      </c>
      <c r="N2" s="6" t="s">
        <v>3</v>
      </c>
      <c r="O2" s="1" t="s">
        <v>1</v>
      </c>
      <c r="P2" s="6" t="s">
        <v>3</v>
      </c>
      <c r="Q2" s="1" t="s">
        <v>1</v>
      </c>
      <c r="R2" s="6" t="s">
        <v>3</v>
      </c>
      <c r="S2" s="1" t="s">
        <v>1</v>
      </c>
    </row>
    <row r="3" spans="1:23" ht="26.25" x14ac:dyDescent="0.3">
      <c r="A3" s="97" t="s">
        <v>14</v>
      </c>
      <c r="B3" s="12" t="s">
        <v>10</v>
      </c>
      <c r="C3" s="29">
        <f>C22+C43+C52+C62</f>
        <v>130</v>
      </c>
      <c r="D3" s="29">
        <f>D22+D43+D52+D62</f>
        <v>0</v>
      </c>
      <c r="E3" s="29">
        <f>E22+E43+E52+E62</f>
        <v>32</v>
      </c>
      <c r="F3" s="2">
        <f>F22+F43+F52+F62</f>
        <v>95</v>
      </c>
      <c r="G3" s="169"/>
      <c r="H3" s="2">
        <f t="shared" ref="H3:S3" si="0">H22+H43+H52+H62</f>
        <v>4</v>
      </c>
      <c r="I3" s="2">
        <f t="shared" si="0"/>
        <v>1</v>
      </c>
      <c r="J3" s="2">
        <f t="shared" si="0"/>
        <v>3</v>
      </c>
      <c r="K3" s="2">
        <f t="shared" si="0"/>
        <v>1</v>
      </c>
      <c r="L3" s="2">
        <f t="shared" si="0"/>
        <v>2</v>
      </c>
      <c r="M3" s="2">
        <f t="shared" si="0"/>
        <v>1</v>
      </c>
      <c r="N3" s="2">
        <f t="shared" si="0"/>
        <v>5</v>
      </c>
      <c r="O3" s="2">
        <f t="shared" si="0"/>
        <v>1</v>
      </c>
      <c r="P3" s="2">
        <f t="shared" si="0"/>
        <v>4</v>
      </c>
      <c r="Q3" s="2">
        <f t="shared" si="0"/>
        <v>0</v>
      </c>
      <c r="R3" s="2">
        <f t="shared" si="0"/>
        <v>3</v>
      </c>
      <c r="S3" s="2">
        <f t="shared" si="0"/>
        <v>0</v>
      </c>
      <c r="T3" s="4">
        <f>D3*10</f>
        <v>0</v>
      </c>
      <c r="U3">
        <f>F3*10+E3</f>
        <v>982</v>
      </c>
      <c r="V3" s="4">
        <f>SUM(H3:Q3)</f>
        <v>22</v>
      </c>
      <c r="W3" s="11">
        <f>SUM(T3:V3)</f>
        <v>1004</v>
      </c>
    </row>
    <row r="4" spans="1:23" ht="24" customHeight="1" x14ac:dyDescent="0.3">
      <c r="A4" s="229" t="s">
        <v>34</v>
      </c>
      <c r="B4" s="3" t="s">
        <v>160</v>
      </c>
      <c r="C4" s="7"/>
      <c r="D4" s="7"/>
      <c r="E4" s="50"/>
      <c r="F4" s="50"/>
      <c r="G4" s="169"/>
      <c r="H4" s="7"/>
      <c r="I4" s="50"/>
      <c r="J4" s="10"/>
      <c r="K4" s="50"/>
      <c r="L4" s="7"/>
      <c r="M4" s="50"/>
      <c r="N4" s="10"/>
      <c r="O4" s="50"/>
      <c r="P4" s="7"/>
      <c r="Q4" s="50"/>
      <c r="R4" s="7"/>
      <c r="S4" s="50"/>
    </row>
    <row r="5" spans="1:23" ht="24" customHeight="1" x14ac:dyDescent="0.3">
      <c r="A5" s="230"/>
      <c r="B5" s="3" t="s">
        <v>150</v>
      </c>
      <c r="C5" s="7"/>
      <c r="D5" s="7"/>
      <c r="E5" s="50"/>
      <c r="F5" s="50"/>
      <c r="G5" s="169"/>
      <c r="H5" s="7"/>
      <c r="I5" s="50"/>
      <c r="J5" s="10"/>
      <c r="K5" s="50"/>
      <c r="L5" s="7"/>
      <c r="M5" s="50"/>
      <c r="N5" s="10"/>
      <c r="O5" s="50"/>
      <c r="P5" s="7"/>
      <c r="Q5" s="50"/>
      <c r="R5" s="7"/>
      <c r="S5" s="50"/>
    </row>
    <row r="6" spans="1:23" ht="24" customHeight="1" x14ac:dyDescent="0.3">
      <c r="A6" s="230"/>
      <c r="B6" s="3" t="s">
        <v>149</v>
      </c>
      <c r="C6" s="7"/>
      <c r="D6" s="7"/>
      <c r="E6" s="50"/>
      <c r="F6" s="50"/>
      <c r="G6" s="169"/>
      <c r="H6" s="7"/>
      <c r="I6" s="50"/>
      <c r="J6" s="10"/>
      <c r="K6" s="50"/>
      <c r="L6" s="7"/>
      <c r="M6" s="50"/>
      <c r="N6" s="10">
        <v>1</v>
      </c>
      <c r="O6" s="50"/>
      <c r="P6" s="7"/>
      <c r="Q6" s="50"/>
      <c r="R6" s="7"/>
      <c r="S6" s="50"/>
    </row>
    <row r="7" spans="1:23" ht="24" customHeight="1" x14ac:dyDescent="0.3">
      <c r="A7" s="230"/>
      <c r="B7" s="3" t="s">
        <v>156</v>
      </c>
      <c r="C7" s="7"/>
      <c r="D7" s="7"/>
      <c r="E7" s="50"/>
      <c r="F7" s="50"/>
      <c r="G7" s="169"/>
      <c r="H7" s="7"/>
      <c r="I7" s="50"/>
      <c r="J7" s="10"/>
      <c r="K7" s="50"/>
      <c r="L7" s="7"/>
      <c r="M7" s="50"/>
      <c r="N7" s="10"/>
      <c r="O7" s="50"/>
      <c r="P7" s="7"/>
      <c r="Q7" s="50"/>
      <c r="R7" s="7"/>
      <c r="S7" s="50"/>
    </row>
    <row r="8" spans="1:23" ht="24" customHeight="1" x14ac:dyDescent="0.3">
      <c r="A8" s="230"/>
      <c r="B8" s="3" t="s">
        <v>148</v>
      </c>
      <c r="C8" s="77">
        <v>1</v>
      </c>
      <c r="D8" s="7"/>
      <c r="E8" s="50"/>
      <c r="F8" s="50">
        <v>10</v>
      </c>
      <c r="G8" s="63"/>
      <c r="H8" s="7"/>
      <c r="I8" s="50"/>
      <c r="J8" s="10"/>
      <c r="K8" s="50"/>
      <c r="L8" s="7"/>
      <c r="M8" s="50"/>
      <c r="N8" s="10"/>
      <c r="O8" s="50"/>
      <c r="P8" s="7"/>
      <c r="Q8" s="50"/>
      <c r="R8" s="7"/>
      <c r="S8" s="50"/>
    </row>
    <row r="9" spans="1:23" ht="24" customHeight="1" x14ac:dyDescent="0.3">
      <c r="A9" s="230"/>
      <c r="B9" s="3" t="s">
        <v>153</v>
      </c>
      <c r="C9" s="7"/>
      <c r="D9" s="7"/>
      <c r="E9" s="50"/>
      <c r="F9" s="50"/>
      <c r="G9" s="169"/>
      <c r="H9" s="7"/>
      <c r="I9" s="50"/>
      <c r="J9" s="10"/>
      <c r="K9" s="50"/>
      <c r="L9" s="7"/>
      <c r="M9" s="50"/>
      <c r="N9" s="10"/>
      <c r="O9" s="50"/>
      <c r="P9" s="7"/>
      <c r="Q9" s="50"/>
      <c r="R9" s="7"/>
      <c r="S9" s="50"/>
    </row>
    <row r="10" spans="1:23" ht="24" customHeight="1" x14ac:dyDescent="0.3">
      <c r="A10" s="230"/>
      <c r="B10" s="3" t="s">
        <v>158</v>
      </c>
      <c r="C10" s="7"/>
      <c r="D10" s="7"/>
      <c r="E10" s="50"/>
      <c r="F10" s="50"/>
      <c r="G10" s="169"/>
      <c r="H10" s="7"/>
      <c r="I10" s="50"/>
      <c r="J10" s="10"/>
      <c r="K10" s="50"/>
      <c r="L10" s="7"/>
      <c r="M10" s="50"/>
      <c r="N10" s="10"/>
      <c r="O10" s="50"/>
      <c r="P10" s="7"/>
      <c r="Q10" s="50"/>
      <c r="R10" s="7"/>
      <c r="S10" s="50"/>
    </row>
    <row r="11" spans="1:23" ht="24" customHeight="1" x14ac:dyDescent="0.3">
      <c r="A11" s="230"/>
      <c r="B11" s="3" t="s">
        <v>152</v>
      </c>
      <c r="C11" s="7"/>
      <c r="D11" s="7"/>
      <c r="E11" s="50"/>
      <c r="F11" s="50"/>
      <c r="G11" s="169"/>
      <c r="H11" s="7"/>
      <c r="I11" s="50"/>
      <c r="J11" s="10"/>
      <c r="K11" s="50"/>
      <c r="L11" s="7"/>
      <c r="M11" s="50"/>
      <c r="N11" s="10"/>
      <c r="O11" s="50"/>
      <c r="P11" s="7"/>
      <c r="Q11" s="50"/>
      <c r="R11" s="7"/>
      <c r="S11" s="50"/>
    </row>
    <row r="12" spans="1:23" ht="24" customHeight="1" x14ac:dyDescent="0.3">
      <c r="A12" s="230"/>
      <c r="B12" s="3" t="s">
        <v>161</v>
      </c>
      <c r="C12" s="7"/>
      <c r="D12" s="77"/>
      <c r="E12" s="76"/>
      <c r="F12" s="50"/>
      <c r="G12" s="80"/>
      <c r="H12" s="7"/>
      <c r="I12" s="76"/>
      <c r="J12" s="7"/>
      <c r="K12" s="50"/>
      <c r="L12" s="7"/>
      <c r="M12" s="50"/>
      <c r="N12" s="10"/>
      <c r="O12" s="50">
        <v>1</v>
      </c>
      <c r="P12" s="7"/>
      <c r="Q12" s="76"/>
      <c r="R12" s="10"/>
      <c r="S12" s="76"/>
    </row>
    <row r="13" spans="1:23" ht="24" customHeight="1" x14ac:dyDescent="0.3">
      <c r="A13" s="230"/>
      <c r="B13" s="3" t="s">
        <v>154</v>
      </c>
      <c r="C13" s="7"/>
      <c r="D13" s="7"/>
      <c r="E13" s="50"/>
      <c r="F13" s="50"/>
      <c r="G13" s="169"/>
      <c r="H13" s="7"/>
      <c r="I13" s="50">
        <v>1</v>
      </c>
      <c r="J13" s="10"/>
      <c r="K13" s="50"/>
      <c r="L13" s="7"/>
      <c r="M13" s="50"/>
      <c r="N13" s="10"/>
      <c r="O13" s="50"/>
      <c r="P13" s="7"/>
      <c r="Q13" s="50"/>
      <c r="R13" s="7">
        <v>1</v>
      </c>
      <c r="S13" s="50"/>
    </row>
    <row r="14" spans="1:23" ht="24" customHeight="1" x14ac:dyDescent="0.3">
      <c r="A14" s="230"/>
      <c r="B14" s="100" t="s">
        <v>164</v>
      </c>
      <c r="C14" s="7"/>
      <c r="D14" s="7"/>
      <c r="E14" s="50"/>
      <c r="F14" s="50"/>
      <c r="G14" s="169"/>
      <c r="H14" s="7"/>
      <c r="I14" s="50"/>
      <c r="J14" s="10"/>
      <c r="K14" s="50"/>
      <c r="L14" s="7"/>
      <c r="M14" s="50"/>
      <c r="N14" s="10"/>
      <c r="O14" s="50"/>
      <c r="P14" s="7"/>
      <c r="Q14" s="50"/>
      <c r="R14" s="7"/>
      <c r="S14" s="50"/>
    </row>
    <row r="15" spans="1:23" ht="24" customHeight="1" x14ac:dyDescent="0.3">
      <c r="A15" s="230"/>
      <c r="B15" s="3" t="s">
        <v>159</v>
      </c>
      <c r="C15" s="7"/>
      <c r="D15" s="7"/>
      <c r="E15" s="50"/>
      <c r="F15" s="50"/>
      <c r="G15" s="169"/>
      <c r="H15" s="7"/>
      <c r="I15" s="50"/>
      <c r="J15" s="10"/>
      <c r="K15" s="50"/>
      <c r="L15" s="7"/>
      <c r="M15" s="50"/>
      <c r="N15" s="10"/>
      <c r="O15" s="50"/>
      <c r="P15" s="7"/>
      <c r="Q15" s="50"/>
      <c r="R15" s="7"/>
      <c r="S15" s="50"/>
    </row>
    <row r="16" spans="1:23" ht="24" customHeight="1" x14ac:dyDescent="0.3">
      <c r="A16" s="230"/>
      <c r="B16" s="3" t="s">
        <v>147</v>
      </c>
      <c r="C16" s="7"/>
      <c r="D16" s="7"/>
      <c r="E16" s="50"/>
      <c r="F16" s="50"/>
      <c r="G16" s="169"/>
      <c r="H16" s="7"/>
      <c r="I16" s="50"/>
      <c r="J16" s="10"/>
      <c r="K16" s="50"/>
      <c r="L16" s="7"/>
      <c r="M16" s="50"/>
      <c r="N16" s="10"/>
      <c r="O16" s="50"/>
      <c r="P16" s="7"/>
      <c r="Q16" s="50"/>
      <c r="R16" s="7"/>
      <c r="S16" s="50"/>
    </row>
    <row r="17" spans="1:25" ht="24" customHeight="1" x14ac:dyDescent="0.3">
      <c r="A17" s="230"/>
      <c r="B17" s="3" t="s">
        <v>163</v>
      </c>
      <c r="C17" s="7"/>
      <c r="D17" s="7"/>
      <c r="E17" s="50"/>
      <c r="F17" s="50"/>
      <c r="G17" s="169"/>
      <c r="H17" s="7"/>
      <c r="I17" s="50"/>
      <c r="J17" s="10"/>
      <c r="K17" s="50"/>
      <c r="L17" s="7"/>
      <c r="M17" s="50"/>
      <c r="N17" s="10"/>
      <c r="O17" s="50"/>
      <c r="P17" s="7"/>
      <c r="Q17" s="50"/>
      <c r="R17" s="7"/>
      <c r="S17" s="50"/>
    </row>
    <row r="18" spans="1:25" ht="24" customHeight="1" x14ac:dyDescent="0.3">
      <c r="A18" s="230"/>
      <c r="B18" s="3" t="s">
        <v>162</v>
      </c>
      <c r="C18" s="7"/>
      <c r="D18" s="7"/>
      <c r="E18" s="50"/>
      <c r="F18" s="50"/>
      <c r="G18" s="169"/>
      <c r="H18" s="7"/>
      <c r="I18" s="50"/>
      <c r="J18" s="10"/>
      <c r="K18" s="50"/>
      <c r="L18" s="7"/>
      <c r="M18" s="50"/>
      <c r="N18" s="10"/>
      <c r="O18" s="50"/>
      <c r="P18" s="7"/>
      <c r="Q18" s="50"/>
      <c r="R18" s="7"/>
      <c r="S18" s="50"/>
    </row>
    <row r="19" spans="1:25" ht="24" customHeight="1" x14ac:dyDescent="0.3">
      <c r="A19" s="230"/>
      <c r="B19" s="3" t="s">
        <v>155</v>
      </c>
      <c r="C19" s="7"/>
      <c r="D19" s="7"/>
      <c r="E19" s="50"/>
      <c r="F19" s="50"/>
      <c r="G19" s="169"/>
      <c r="H19" s="7"/>
      <c r="I19" s="50"/>
      <c r="J19" s="10"/>
      <c r="K19" s="50"/>
      <c r="L19" s="7"/>
      <c r="M19" s="50"/>
      <c r="N19" s="10"/>
      <c r="O19" s="50"/>
      <c r="P19" s="7"/>
      <c r="Q19" s="50"/>
      <c r="R19" s="7"/>
      <c r="S19" s="50"/>
    </row>
    <row r="20" spans="1:25" ht="24" customHeight="1" x14ac:dyDescent="0.3">
      <c r="A20" s="230"/>
      <c r="B20" s="3" t="s">
        <v>157</v>
      </c>
      <c r="C20" s="7"/>
      <c r="D20" s="7"/>
      <c r="E20" s="50"/>
      <c r="F20" s="50"/>
      <c r="G20" s="169"/>
      <c r="H20" s="7">
        <v>1</v>
      </c>
      <c r="I20" s="50"/>
      <c r="J20" s="10"/>
      <c r="K20" s="50"/>
      <c r="L20" s="7"/>
      <c r="M20" s="50"/>
      <c r="N20" s="10"/>
      <c r="O20" s="50"/>
      <c r="P20" s="7"/>
      <c r="Q20" s="50"/>
      <c r="R20" s="7"/>
      <c r="S20" s="50"/>
    </row>
    <row r="21" spans="1:25" ht="24" customHeight="1" x14ac:dyDescent="0.3">
      <c r="A21" s="230"/>
      <c r="B21" s="3" t="s">
        <v>151</v>
      </c>
      <c r="C21" s="7"/>
      <c r="D21" s="7"/>
      <c r="E21" s="50"/>
      <c r="F21" s="50"/>
      <c r="G21" s="169"/>
      <c r="H21" s="7"/>
      <c r="I21" s="50"/>
      <c r="J21" s="10"/>
      <c r="K21" s="50"/>
      <c r="L21" s="7"/>
      <c r="M21" s="50"/>
      <c r="N21" s="10">
        <v>1</v>
      </c>
      <c r="O21" s="50"/>
      <c r="P21" s="7"/>
      <c r="Q21" s="50"/>
      <c r="R21" s="7">
        <v>1</v>
      </c>
      <c r="S21" s="50"/>
    </row>
    <row r="22" spans="1:25" ht="27" thickBot="1" x14ac:dyDescent="0.35">
      <c r="A22" s="231"/>
      <c r="B22" s="31"/>
      <c r="C22" s="31">
        <f>SUM(C4:C21)</f>
        <v>1</v>
      </c>
      <c r="D22" s="31">
        <f>SUM(D4:D21)</f>
        <v>0</v>
      </c>
      <c r="E22" s="31">
        <f>SUM(E4:E21)</f>
        <v>0</v>
      </c>
      <c r="F22" s="31">
        <f>SUM(F4:F21)</f>
        <v>10</v>
      </c>
      <c r="G22" s="169"/>
      <c r="H22" s="2">
        <f t="shared" ref="H22:S22" si="1">SUM(H4:H21)</f>
        <v>1</v>
      </c>
      <c r="I22" s="2">
        <f t="shared" si="1"/>
        <v>1</v>
      </c>
      <c r="J22" s="2">
        <f t="shared" si="1"/>
        <v>0</v>
      </c>
      <c r="K22" s="2">
        <f t="shared" si="1"/>
        <v>0</v>
      </c>
      <c r="L22" s="2">
        <f t="shared" si="1"/>
        <v>0</v>
      </c>
      <c r="M22" s="2">
        <f t="shared" si="1"/>
        <v>0</v>
      </c>
      <c r="N22" s="2">
        <f t="shared" si="1"/>
        <v>2</v>
      </c>
      <c r="O22" s="2">
        <f t="shared" si="1"/>
        <v>1</v>
      </c>
      <c r="P22" s="2">
        <f t="shared" si="1"/>
        <v>0</v>
      </c>
      <c r="Q22" s="2">
        <f t="shared" si="1"/>
        <v>0</v>
      </c>
      <c r="R22" s="2">
        <f t="shared" si="1"/>
        <v>2</v>
      </c>
      <c r="S22" s="2">
        <f t="shared" si="1"/>
        <v>0</v>
      </c>
      <c r="U22" s="35"/>
      <c r="V22" s="18"/>
      <c r="W22" s="18"/>
    </row>
    <row r="23" spans="1:25" ht="24" customHeight="1" thickTop="1" x14ac:dyDescent="0.3">
      <c r="A23" s="286" t="s">
        <v>27</v>
      </c>
      <c r="B23" s="23" t="s">
        <v>187</v>
      </c>
      <c r="C23" s="28"/>
      <c r="D23" s="28"/>
      <c r="E23" s="15"/>
      <c r="F23" s="16"/>
      <c r="G23" s="25"/>
      <c r="H23" s="43"/>
      <c r="I23" s="50"/>
      <c r="J23" s="10"/>
      <c r="K23" s="50"/>
      <c r="L23" s="7"/>
      <c r="M23" s="50"/>
      <c r="N23" s="7"/>
      <c r="O23" s="50"/>
      <c r="P23" s="7"/>
      <c r="Q23" s="50"/>
      <c r="R23" s="7"/>
      <c r="S23" s="50"/>
      <c r="U23" s="18"/>
      <c r="V23" s="18"/>
      <c r="W23" s="18"/>
      <c r="X23" s="18"/>
      <c r="Y23" s="18"/>
    </row>
    <row r="24" spans="1:25" ht="24" customHeight="1" x14ac:dyDescent="0.3">
      <c r="A24" s="287"/>
      <c r="B24" s="24" t="s">
        <v>188</v>
      </c>
      <c r="C24" s="32"/>
      <c r="D24" s="32"/>
      <c r="E24" s="54"/>
      <c r="F24" s="22"/>
      <c r="G24" s="25"/>
      <c r="H24" s="7"/>
      <c r="I24" s="50"/>
      <c r="J24" s="10"/>
      <c r="K24" s="50"/>
      <c r="L24" s="7"/>
      <c r="M24" s="50"/>
      <c r="N24" s="7"/>
      <c r="O24" s="50"/>
      <c r="P24" s="7"/>
      <c r="Q24" s="50"/>
      <c r="R24" s="7"/>
      <c r="S24" s="50"/>
      <c r="U24" s="18"/>
      <c r="V24" s="18"/>
      <c r="W24" s="18"/>
      <c r="X24" s="18"/>
      <c r="Y24" s="18"/>
    </row>
    <row r="25" spans="1:25" ht="24" customHeight="1" x14ac:dyDescent="0.3">
      <c r="A25" s="287"/>
      <c r="B25" s="24" t="s">
        <v>128</v>
      </c>
      <c r="C25" s="32"/>
      <c r="D25" s="32"/>
      <c r="E25" s="54"/>
      <c r="F25" s="22"/>
      <c r="G25" s="25"/>
      <c r="H25" s="43"/>
      <c r="I25" s="50"/>
      <c r="J25" s="10"/>
      <c r="K25" s="50"/>
      <c r="L25" s="7"/>
      <c r="M25" s="50"/>
      <c r="N25" s="7"/>
      <c r="O25" s="50"/>
      <c r="P25" s="7"/>
      <c r="Q25" s="50"/>
      <c r="R25" s="7"/>
      <c r="S25" s="50"/>
      <c r="U25" s="18"/>
      <c r="V25" s="18"/>
      <c r="W25" s="18"/>
      <c r="X25" s="18"/>
      <c r="Y25" s="18"/>
    </row>
    <row r="26" spans="1:25" ht="24" customHeight="1" x14ac:dyDescent="0.3">
      <c r="A26" s="287"/>
      <c r="B26" s="24" t="s">
        <v>127</v>
      </c>
      <c r="C26" s="32"/>
      <c r="D26" s="32"/>
      <c r="E26" s="54"/>
      <c r="F26" s="22"/>
      <c r="G26" s="25"/>
      <c r="H26" s="43"/>
      <c r="I26" s="50"/>
      <c r="J26" s="10"/>
      <c r="K26" s="50"/>
      <c r="L26" s="7"/>
      <c r="M26" s="50"/>
      <c r="N26" s="7">
        <v>1</v>
      </c>
      <c r="O26" s="50"/>
      <c r="P26" s="7"/>
      <c r="Q26" s="50"/>
      <c r="R26" s="7"/>
      <c r="S26" s="50"/>
      <c r="U26" s="18"/>
      <c r="V26" s="18"/>
      <c r="W26" s="18"/>
      <c r="X26" s="18"/>
      <c r="Y26" s="18"/>
    </row>
    <row r="27" spans="1:25" ht="24" customHeight="1" x14ac:dyDescent="0.3">
      <c r="A27" s="287"/>
      <c r="B27" s="24" t="s">
        <v>189</v>
      </c>
      <c r="C27" s="32"/>
      <c r="D27" s="32"/>
      <c r="E27" s="54"/>
      <c r="F27" s="22"/>
      <c r="G27" s="25"/>
      <c r="H27" s="10"/>
      <c r="I27" s="50"/>
      <c r="J27" s="10"/>
      <c r="K27" s="50"/>
      <c r="L27" s="7"/>
      <c r="M27" s="50"/>
      <c r="N27" s="7"/>
      <c r="O27" s="50"/>
      <c r="P27" s="7"/>
      <c r="Q27" s="50"/>
      <c r="R27" s="7"/>
      <c r="S27" s="50"/>
      <c r="U27" s="18"/>
      <c r="V27" s="18"/>
      <c r="W27" s="18"/>
      <c r="X27" s="18"/>
      <c r="Y27" s="18"/>
    </row>
    <row r="28" spans="1:25" ht="24" customHeight="1" x14ac:dyDescent="0.3">
      <c r="A28" s="287"/>
      <c r="B28" s="24" t="s">
        <v>140</v>
      </c>
      <c r="C28" s="32"/>
      <c r="D28" s="32"/>
      <c r="E28" s="54"/>
      <c r="F28" s="22"/>
      <c r="G28" s="25"/>
      <c r="H28" s="10"/>
      <c r="I28" s="50"/>
      <c r="J28" s="10"/>
      <c r="K28" s="50"/>
      <c r="L28" s="7"/>
      <c r="M28" s="50"/>
      <c r="N28" s="7"/>
      <c r="O28" s="50"/>
      <c r="P28" s="7"/>
      <c r="Q28" s="76"/>
      <c r="R28" s="7"/>
      <c r="S28" s="50"/>
      <c r="U28" s="18"/>
      <c r="V28" s="18"/>
      <c r="W28" s="18"/>
      <c r="X28" s="18"/>
      <c r="Y28" s="18"/>
    </row>
    <row r="29" spans="1:25" ht="24" customHeight="1" x14ac:dyDescent="0.3">
      <c r="A29" s="287"/>
      <c r="B29" s="24" t="s">
        <v>129</v>
      </c>
      <c r="C29" s="32"/>
      <c r="D29" s="32"/>
      <c r="E29" s="54"/>
      <c r="F29" s="22"/>
      <c r="G29" s="25"/>
      <c r="H29" s="43"/>
      <c r="I29" s="50"/>
      <c r="J29" s="10"/>
      <c r="K29" s="50"/>
      <c r="L29" s="7"/>
      <c r="M29" s="50"/>
      <c r="N29" s="7"/>
      <c r="O29" s="50"/>
      <c r="P29" s="7"/>
      <c r="Q29" s="50"/>
      <c r="R29" s="7"/>
      <c r="S29" s="50"/>
      <c r="U29" s="18"/>
      <c r="V29" s="18"/>
      <c r="W29" s="18"/>
      <c r="X29" s="18"/>
      <c r="Y29" s="18"/>
    </row>
    <row r="30" spans="1:25" ht="24" customHeight="1" x14ac:dyDescent="0.3">
      <c r="A30" s="287"/>
      <c r="B30" s="24" t="s">
        <v>145</v>
      </c>
      <c r="C30" s="32"/>
      <c r="D30" s="32"/>
      <c r="E30" s="54"/>
      <c r="F30" s="22"/>
      <c r="G30" s="25"/>
      <c r="H30" s="43"/>
      <c r="I30" s="50"/>
      <c r="J30" s="10"/>
      <c r="K30" s="50"/>
      <c r="L30" s="7"/>
      <c r="M30" s="50"/>
      <c r="N30" s="7">
        <v>1</v>
      </c>
      <c r="O30" s="50"/>
      <c r="P30" s="7"/>
      <c r="Q30" s="50"/>
      <c r="R30" s="7"/>
      <c r="S30" s="50"/>
      <c r="U30" s="18"/>
      <c r="V30" s="18"/>
      <c r="W30" s="18"/>
      <c r="X30" s="18"/>
      <c r="Y30" s="18"/>
    </row>
    <row r="31" spans="1:25" ht="24" customHeight="1" x14ac:dyDescent="0.3">
      <c r="A31" s="287"/>
      <c r="B31" s="24" t="s">
        <v>130</v>
      </c>
      <c r="C31" s="32"/>
      <c r="D31" s="32"/>
      <c r="E31" s="54"/>
      <c r="F31" s="22"/>
      <c r="G31" s="25"/>
      <c r="H31" s="43"/>
      <c r="I31" s="50"/>
      <c r="J31" s="10"/>
      <c r="K31" s="50"/>
      <c r="L31" s="7"/>
      <c r="M31" s="50"/>
      <c r="N31" s="7"/>
      <c r="O31" s="50"/>
      <c r="P31" s="7"/>
      <c r="Q31" s="50"/>
      <c r="R31" s="7"/>
      <c r="S31" s="50"/>
      <c r="U31" s="18"/>
      <c r="V31" s="18"/>
      <c r="W31" s="18"/>
      <c r="X31" s="18"/>
      <c r="Y31" s="18"/>
    </row>
    <row r="32" spans="1:25" ht="24" customHeight="1" x14ac:dyDescent="0.3">
      <c r="A32" s="287"/>
      <c r="B32" s="24" t="s">
        <v>131</v>
      </c>
      <c r="C32" s="32"/>
      <c r="D32" s="32"/>
      <c r="E32" s="54"/>
      <c r="F32" s="22"/>
      <c r="G32" s="25"/>
      <c r="H32" s="43"/>
      <c r="I32" s="50"/>
      <c r="J32" s="10"/>
      <c r="K32" s="50"/>
      <c r="L32" s="7"/>
      <c r="M32" s="50"/>
      <c r="N32" s="7"/>
      <c r="O32" s="50"/>
      <c r="P32" s="7"/>
      <c r="Q32" s="50"/>
      <c r="R32" s="7"/>
      <c r="S32" s="50"/>
      <c r="U32" s="18"/>
      <c r="V32" s="18"/>
      <c r="W32" s="18"/>
      <c r="X32" s="18"/>
      <c r="Y32" s="18"/>
    </row>
    <row r="33" spans="1:25" ht="24" customHeight="1" x14ac:dyDescent="0.3">
      <c r="A33" s="287"/>
      <c r="B33" s="24" t="s">
        <v>132</v>
      </c>
      <c r="C33" s="32"/>
      <c r="D33" s="32"/>
      <c r="E33" s="54"/>
      <c r="F33" s="22"/>
      <c r="G33" s="25"/>
      <c r="H33" s="43"/>
      <c r="I33" s="50"/>
      <c r="J33" s="10"/>
      <c r="K33" s="50"/>
      <c r="L33" s="7"/>
      <c r="M33" s="50"/>
      <c r="N33" s="7">
        <v>1</v>
      </c>
      <c r="O33" s="50"/>
      <c r="P33" s="7"/>
      <c r="Q33" s="50"/>
      <c r="R33" s="7"/>
      <c r="S33" s="50"/>
      <c r="U33" s="18"/>
      <c r="V33" s="18"/>
      <c r="W33" s="18"/>
      <c r="X33" s="18"/>
      <c r="Y33" s="18"/>
    </row>
    <row r="34" spans="1:25" ht="24" customHeight="1" x14ac:dyDescent="0.3">
      <c r="A34" s="287"/>
      <c r="B34" s="24" t="s">
        <v>133</v>
      </c>
      <c r="C34" s="32"/>
      <c r="D34" s="32"/>
      <c r="E34" s="54"/>
      <c r="F34" s="22"/>
      <c r="G34" s="25"/>
      <c r="H34" s="7"/>
      <c r="I34" s="50"/>
      <c r="J34" s="10"/>
      <c r="K34" s="50"/>
      <c r="L34" s="7"/>
      <c r="M34" s="50"/>
      <c r="N34" s="7"/>
      <c r="O34" s="50"/>
      <c r="P34" s="7"/>
      <c r="Q34" s="50"/>
      <c r="R34" s="7"/>
      <c r="S34" s="50"/>
      <c r="U34" s="18"/>
      <c r="V34" s="18"/>
      <c r="W34" s="18"/>
      <c r="X34" s="18"/>
      <c r="Y34" s="18"/>
    </row>
    <row r="35" spans="1:25" ht="24" customHeight="1" x14ac:dyDescent="0.3">
      <c r="A35" s="287"/>
      <c r="B35" s="24" t="s">
        <v>135</v>
      </c>
      <c r="C35" s="32"/>
      <c r="D35" s="32"/>
      <c r="E35" s="54"/>
      <c r="F35" s="22"/>
      <c r="G35" s="25"/>
      <c r="H35" s="7"/>
      <c r="I35" s="50"/>
      <c r="J35" s="10"/>
      <c r="K35" s="50"/>
      <c r="L35" s="7"/>
      <c r="M35" s="50"/>
      <c r="N35" s="7"/>
      <c r="O35" s="50"/>
      <c r="P35" s="7"/>
      <c r="Q35" s="50"/>
      <c r="R35" s="7"/>
      <c r="S35" s="50"/>
      <c r="U35" s="18"/>
      <c r="V35" s="18"/>
      <c r="W35" s="18"/>
      <c r="X35" s="18"/>
      <c r="Y35" s="18"/>
    </row>
    <row r="36" spans="1:25" ht="24" customHeight="1" x14ac:dyDescent="0.3">
      <c r="A36" s="287"/>
      <c r="B36" s="24" t="s">
        <v>141</v>
      </c>
      <c r="C36" s="32"/>
      <c r="D36" s="56"/>
      <c r="E36" s="54"/>
      <c r="F36" s="22"/>
      <c r="G36" s="25"/>
      <c r="H36" s="43"/>
      <c r="I36" s="50"/>
      <c r="J36" s="10"/>
      <c r="K36" s="50"/>
      <c r="L36" s="7"/>
      <c r="M36" s="50"/>
      <c r="N36" s="7"/>
      <c r="O36" s="50"/>
      <c r="P36" s="7"/>
      <c r="Q36" s="76"/>
      <c r="R36" s="7"/>
      <c r="S36" s="50"/>
      <c r="U36" s="18"/>
      <c r="V36" s="18"/>
      <c r="W36" s="18"/>
      <c r="X36" s="18"/>
      <c r="Y36" s="18"/>
    </row>
    <row r="37" spans="1:25" ht="24" customHeight="1" x14ac:dyDescent="0.3">
      <c r="A37" s="287"/>
      <c r="B37" s="24" t="s">
        <v>142</v>
      </c>
      <c r="C37" s="32"/>
      <c r="D37" s="32"/>
      <c r="E37" s="54"/>
      <c r="F37" s="22"/>
      <c r="G37" s="25"/>
      <c r="H37" s="43"/>
      <c r="I37" s="50"/>
      <c r="J37" s="10"/>
      <c r="K37" s="50"/>
      <c r="L37" s="7">
        <v>1</v>
      </c>
      <c r="M37" s="50"/>
      <c r="N37" s="7"/>
      <c r="O37" s="50"/>
      <c r="P37" s="7"/>
      <c r="Q37" s="50"/>
      <c r="R37" s="7"/>
      <c r="S37" s="50"/>
      <c r="U37" s="18"/>
      <c r="V37" s="18"/>
      <c r="W37" s="18"/>
      <c r="X37" s="18"/>
      <c r="Y37" s="18"/>
    </row>
    <row r="38" spans="1:25" ht="24" customHeight="1" x14ac:dyDescent="0.3">
      <c r="A38" s="287"/>
      <c r="B38" s="24" t="s">
        <v>144</v>
      </c>
      <c r="C38" s="32"/>
      <c r="D38" s="32"/>
      <c r="E38" s="101"/>
      <c r="F38" s="22"/>
      <c r="G38" s="25"/>
      <c r="H38" s="43"/>
      <c r="I38" s="50"/>
      <c r="J38" s="10"/>
      <c r="K38" s="50"/>
      <c r="L38" s="7"/>
      <c r="M38" s="50"/>
      <c r="N38" s="7"/>
      <c r="O38" s="50"/>
      <c r="P38" s="7"/>
      <c r="Q38" s="50"/>
      <c r="R38" s="7"/>
      <c r="S38" s="50"/>
      <c r="U38" s="18"/>
      <c r="V38" s="18"/>
      <c r="W38" s="18"/>
      <c r="X38" s="18"/>
      <c r="Y38" s="18"/>
    </row>
    <row r="39" spans="1:25" ht="24" customHeight="1" x14ac:dyDescent="0.3">
      <c r="A39" s="287"/>
      <c r="B39" s="24" t="s">
        <v>146</v>
      </c>
      <c r="C39" s="32"/>
      <c r="D39" s="32"/>
      <c r="E39" s="54"/>
      <c r="F39" s="22"/>
      <c r="G39" s="25"/>
      <c r="H39" s="43"/>
      <c r="I39" s="50"/>
      <c r="J39" s="10"/>
      <c r="K39" s="50"/>
      <c r="L39" s="7"/>
      <c r="M39" s="50"/>
      <c r="N39" s="7"/>
      <c r="O39" s="50"/>
      <c r="P39" s="7"/>
      <c r="Q39" s="50"/>
      <c r="R39" s="7"/>
      <c r="S39" s="50"/>
      <c r="U39" s="18"/>
      <c r="V39" s="18"/>
      <c r="W39" s="18"/>
      <c r="X39" s="18"/>
      <c r="Y39" s="18"/>
    </row>
    <row r="40" spans="1:25" ht="24" customHeight="1" x14ac:dyDescent="0.3">
      <c r="A40" s="287"/>
      <c r="B40" s="24" t="s">
        <v>136</v>
      </c>
      <c r="C40" s="32"/>
      <c r="D40" s="32"/>
      <c r="E40" s="54"/>
      <c r="F40" s="22"/>
      <c r="G40" s="25"/>
      <c r="H40" s="43"/>
      <c r="I40" s="50"/>
      <c r="J40" s="10"/>
      <c r="K40" s="50"/>
      <c r="L40" s="7"/>
      <c r="M40" s="50"/>
      <c r="N40" s="7"/>
      <c r="O40" s="50"/>
      <c r="P40" s="7"/>
      <c r="Q40" s="50"/>
      <c r="R40" s="7"/>
      <c r="S40" s="50"/>
      <c r="U40" s="18"/>
      <c r="V40" s="18"/>
      <c r="W40" s="18"/>
      <c r="X40" s="18"/>
      <c r="Y40" s="18"/>
    </row>
    <row r="41" spans="1:25" ht="24" customHeight="1" x14ac:dyDescent="0.3">
      <c r="A41" s="287"/>
      <c r="B41" s="24" t="s">
        <v>139</v>
      </c>
      <c r="C41" s="32"/>
      <c r="D41" s="32"/>
      <c r="E41" s="54"/>
      <c r="F41" s="22"/>
      <c r="G41" s="25"/>
      <c r="H41" s="10"/>
      <c r="I41" s="50"/>
      <c r="J41" s="10"/>
      <c r="K41" s="50"/>
      <c r="L41" s="7"/>
      <c r="M41" s="50"/>
      <c r="N41" s="7"/>
      <c r="O41" s="50"/>
      <c r="P41" s="7"/>
      <c r="Q41" s="50"/>
      <c r="R41" s="7"/>
      <c r="S41" s="50"/>
      <c r="U41" s="18"/>
      <c r="V41" s="18"/>
      <c r="W41" s="18"/>
      <c r="X41" s="18"/>
      <c r="Y41" s="18"/>
    </row>
    <row r="42" spans="1:25" ht="24" customHeight="1" x14ac:dyDescent="0.3">
      <c r="A42" s="287"/>
      <c r="B42" s="24" t="s">
        <v>137</v>
      </c>
      <c r="C42" s="32"/>
      <c r="D42" s="32"/>
      <c r="E42" s="54"/>
      <c r="F42" s="22"/>
      <c r="G42" s="25"/>
      <c r="H42" s="7"/>
      <c r="I42" s="50"/>
      <c r="J42" s="10"/>
      <c r="K42" s="50"/>
      <c r="L42" s="7"/>
      <c r="M42" s="50"/>
      <c r="N42" s="7"/>
      <c r="O42" s="50"/>
      <c r="P42" s="7"/>
      <c r="Q42" s="50"/>
      <c r="R42" s="7"/>
      <c r="S42" s="50"/>
      <c r="U42" s="18"/>
      <c r="V42" s="18"/>
      <c r="W42" s="18"/>
      <c r="X42" s="18"/>
      <c r="Y42" s="18"/>
    </row>
    <row r="43" spans="1:25" ht="27" thickBot="1" x14ac:dyDescent="0.35">
      <c r="A43" s="288"/>
      <c r="B43" s="26"/>
      <c r="C43" s="27">
        <f>SUM(C23:C42)</f>
        <v>0</v>
      </c>
      <c r="D43" s="27">
        <f>SUM(D23:D42)</f>
        <v>0</v>
      </c>
      <c r="E43" s="27">
        <f>SUM(E23:E42)</f>
        <v>0</v>
      </c>
      <c r="F43" s="27">
        <f>SUM(F23:F42)</f>
        <v>0</v>
      </c>
      <c r="G43" s="169"/>
      <c r="H43" s="2">
        <f t="shared" ref="H43:S43" si="2">SUM(H23:H42)</f>
        <v>0</v>
      </c>
      <c r="I43" s="2">
        <f t="shared" si="2"/>
        <v>0</v>
      </c>
      <c r="J43" s="2">
        <f t="shared" si="2"/>
        <v>0</v>
      </c>
      <c r="K43" s="2">
        <f t="shared" si="2"/>
        <v>0</v>
      </c>
      <c r="L43" s="2">
        <f t="shared" si="2"/>
        <v>1</v>
      </c>
      <c r="M43" s="2">
        <f t="shared" si="2"/>
        <v>0</v>
      </c>
      <c r="N43" s="2">
        <f t="shared" si="2"/>
        <v>3</v>
      </c>
      <c r="O43" s="2">
        <f t="shared" si="2"/>
        <v>0</v>
      </c>
      <c r="P43" s="2">
        <f t="shared" si="2"/>
        <v>0</v>
      </c>
      <c r="Q43" s="2">
        <f t="shared" si="2"/>
        <v>0</v>
      </c>
      <c r="R43" s="2">
        <f t="shared" si="2"/>
        <v>0</v>
      </c>
      <c r="S43" s="2">
        <f t="shared" si="2"/>
        <v>0</v>
      </c>
    </row>
    <row r="44" spans="1:25" ht="24" customHeight="1" thickTop="1" x14ac:dyDescent="0.3">
      <c r="A44" s="252" t="s">
        <v>13</v>
      </c>
      <c r="B44" s="3" t="s">
        <v>28</v>
      </c>
      <c r="C44" s="7">
        <v>4</v>
      </c>
      <c r="D44" s="7"/>
      <c r="E44" s="50"/>
      <c r="F44" s="50">
        <v>5</v>
      </c>
      <c r="G44" s="169"/>
      <c r="H44" s="7"/>
      <c r="I44" s="50"/>
      <c r="J44" s="10"/>
      <c r="K44" s="50"/>
      <c r="L44" s="7"/>
      <c r="M44" s="50"/>
      <c r="N44" s="7"/>
      <c r="O44" s="50"/>
      <c r="P44" s="7"/>
      <c r="Q44" s="50"/>
      <c r="R44" s="7"/>
      <c r="S44" s="50"/>
    </row>
    <row r="45" spans="1:25" ht="24" customHeight="1" x14ac:dyDescent="0.3">
      <c r="A45" s="252"/>
      <c r="B45" s="3" t="s">
        <v>29</v>
      </c>
      <c r="C45" s="77"/>
      <c r="D45" s="7"/>
      <c r="E45" s="50">
        <v>2</v>
      </c>
      <c r="F45" s="50"/>
      <c r="G45" s="169"/>
      <c r="H45" s="7"/>
      <c r="I45" s="50"/>
      <c r="J45" s="10"/>
      <c r="K45" s="50"/>
      <c r="L45" s="7"/>
      <c r="M45" s="50"/>
      <c r="N45" s="7"/>
      <c r="O45" s="50"/>
      <c r="P45" s="7"/>
      <c r="Q45" s="50"/>
      <c r="R45" s="7"/>
      <c r="S45" s="50"/>
    </row>
    <row r="46" spans="1:25" ht="24" customHeight="1" x14ac:dyDescent="0.3">
      <c r="A46" s="252"/>
      <c r="B46" s="3" t="s">
        <v>125</v>
      </c>
      <c r="C46" s="7"/>
      <c r="D46" s="7"/>
      <c r="E46" s="50"/>
      <c r="F46" s="50"/>
      <c r="G46" s="169"/>
      <c r="H46" s="7"/>
      <c r="I46" s="50"/>
      <c r="J46" s="10"/>
      <c r="K46" s="50"/>
      <c r="L46" s="7"/>
      <c r="M46" s="50">
        <v>1</v>
      </c>
      <c r="N46" s="7"/>
      <c r="O46" s="50"/>
      <c r="P46" s="7"/>
      <c r="Q46" s="50"/>
      <c r="R46" s="7"/>
      <c r="S46" s="50"/>
    </row>
    <row r="47" spans="1:25" ht="24" customHeight="1" x14ac:dyDescent="0.3">
      <c r="A47" s="252"/>
      <c r="B47" s="3" t="s">
        <v>121</v>
      </c>
      <c r="C47" s="7">
        <v>4</v>
      </c>
      <c r="D47" s="7"/>
      <c r="E47" s="50"/>
      <c r="F47" s="50">
        <v>10</v>
      </c>
      <c r="G47" s="169"/>
      <c r="H47" s="7"/>
      <c r="I47" s="50"/>
      <c r="J47" s="10">
        <v>1</v>
      </c>
      <c r="K47" s="50"/>
      <c r="L47" s="7"/>
      <c r="M47" s="50"/>
      <c r="N47" s="7"/>
      <c r="O47" s="50"/>
      <c r="P47" s="7"/>
      <c r="Q47" s="50"/>
      <c r="R47" s="7"/>
      <c r="S47" s="50"/>
    </row>
    <row r="48" spans="1:25" ht="24" customHeight="1" x14ac:dyDescent="0.3">
      <c r="A48" s="252"/>
      <c r="B48" s="3" t="s">
        <v>122</v>
      </c>
      <c r="C48" s="7">
        <v>3</v>
      </c>
      <c r="D48" s="7"/>
      <c r="E48" s="50"/>
      <c r="F48" s="50"/>
      <c r="G48" s="169"/>
      <c r="H48" s="7"/>
      <c r="I48" s="50"/>
      <c r="J48" s="10"/>
      <c r="K48" s="50"/>
      <c r="L48" s="7"/>
      <c r="M48" s="50"/>
      <c r="N48" s="7"/>
      <c r="O48" s="50"/>
      <c r="P48" s="7"/>
      <c r="Q48" s="50"/>
      <c r="R48" s="7"/>
      <c r="S48" s="50"/>
    </row>
    <row r="49" spans="1:37" ht="24" customHeight="1" x14ac:dyDescent="0.3">
      <c r="A49" s="252"/>
      <c r="B49" s="3" t="s">
        <v>123</v>
      </c>
      <c r="C49" s="7">
        <v>5</v>
      </c>
      <c r="D49" s="7"/>
      <c r="E49" s="50"/>
      <c r="F49" s="50">
        <v>5</v>
      </c>
      <c r="G49" s="169"/>
      <c r="H49" s="7"/>
      <c r="I49" s="50"/>
      <c r="J49" s="10"/>
      <c r="K49" s="50"/>
      <c r="L49" s="7"/>
      <c r="M49" s="50"/>
      <c r="N49" s="7"/>
      <c r="O49" s="50"/>
      <c r="P49" s="7"/>
      <c r="Q49" s="50"/>
      <c r="R49" s="7"/>
      <c r="S49" s="50"/>
    </row>
    <row r="50" spans="1:37" ht="24" customHeight="1" x14ac:dyDescent="0.3">
      <c r="A50" s="252"/>
      <c r="B50" s="100" t="s">
        <v>126</v>
      </c>
      <c r="C50" s="7">
        <v>35</v>
      </c>
      <c r="D50" s="7"/>
      <c r="E50" s="50">
        <v>8</v>
      </c>
      <c r="F50" s="50"/>
      <c r="G50" s="169"/>
      <c r="H50" s="7">
        <v>2</v>
      </c>
      <c r="I50" s="50"/>
      <c r="J50" s="10"/>
      <c r="K50" s="50"/>
      <c r="L50" s="7"/>
      <c r="M50" s="50"/>
      <c r="N50" s="7"/>
      <c r="O50" s="50"/>
      <c r="P50" s="7"/>
      <c r="Q50" s="50"/>
      <c r="R50" s="7"/>
      <c r="S50" s="50"/>
    </row>
    <row r="51" spans="1:37" ht="24" customHeight="1" x14ac:dyDescent="0.3">
      <c r="A51" s="252"/>
      <c r="B51" s="100" t="s">
        <v>124</v>
      </c>
      <c r="C51" s="7"/>
      <c r="D51" s="7"/>
      <c r="E51" s="50"/>
      <c r="F51" s="50"/>
      <c r="G51" s="169"/>
      <c r="H51" s="7"/>
      <c r="I51" s="50"/>
      <c r="J51" s="10"/>
      <c r="K51" s="50"/>
      <c r="L51" s="7"/>
      <c r="M51" s="50"/>
      <c r="N51" s="7"/>
      <c r="O51" s="50"/>
      <c r="P51" s="7"/>
      <c r="Q51" s="50"/>
      <c r="R51" s="7"/>
      <c r="S51" s="50"/>
    </row>
    <row r="52" spans="1:37" ht="26.25" x14ac:dyDescent="0.3">
      <c r="A52" s="279"/>
      <c r="B52" s="122"/>
      <c r="C52" s="123">
        <f>SUM(C44:C51)</f>
        <v>51</v>
      </c>
      <c r="D52" s="123">
        <f>SUM(D44:D51)</f>
        <v>0</v>
      </c>
      <c r="E52" s="123">
        <f>SUM(E44:E51)</f>
        <v>10</v>
      </c>
      <c r="F52" s="123">
        <f>SUM(F44:F51)</f>
        <v>20</v>
      </c>
      <c r="G52" s="169"/>
      <c r="H52" s="2">
        <f t="shared" ref="H52:S52" si="3">SUM(H44:H51)</f>
        <v>2</v>
      </c>
      <c r="I52" s="123">
        <f t="shared" si="3"/>
        <v>0</v>
      </c>
      <c r="J52" s="123">
        <f t="shared" si="3"/>
        <v>1</v>
      </c>
      <c r="K52" s="123">
        <f t="shared" si="3"/>
        <v>0</v>
      </c>
      <c r="L52" s="123">
        <f t="shared" si="3"/>
        <v>0</v>
      </c>
      <c r="M52" s="123">
        <f t="shared" si="3"/>
        <v>1</v>
      </c>
      <c r="N52" s="123">
        <f t="shared" si="3"/>
        <v>0</v>
      </c>
      <c r="O52" s="123">
        <f t="shared" si="3"/>
        <v>0</v>
      </c>
      <c r="P52" s="123">
        <f t="shared" si="3"/>
        <v>0</v>
      </c>
      <c r="Q52" s="123">
        <f t="shared" si="3"/>
        <v>0</v>
      </c>
      <c r="R52" s="123">
        <f t="shared" si="3"/>
        <v>0</v>
      </c>
      <c r="S52" s="123">
        <f t="shared" si="3"/>
        <v>0</v>
      </c>
      <c r="Y52" s="254"/>
      <c r="Z52" s="254"/>
      <c r="AA52" s="254"/>
      <c r="AB52" s="254"/>
      <c r="AD52" s="234"/>
      <c r="AE52" s="234"/>
      <c r="AF52" s="234"/>
      <c r="AG52" s="234"/>
      <c r="AH52" s="234"/>
      <c r="AJ52" s="234"/>
      <c r="AK52" s="234"/>
    </row>
    <row r="53" spans="1:37" ht="24" customHeight="1" x14ac:dyDescent="0.3">
      <c r="A53" s="253" t="s">
        <v>118</v>
      </c>
      <c r="B53" s="3" t="s">
        <v>171</v>
      </c>
      <c r="C53" s="7">
        <v>4</v>
      </c>
      <c r="D53" s="7"/>
      <c r="E53" s="50"/>
      <c r="F53" s="50">
        <v>2</v>
      </c>
      <c r="G53" s="169"/>
      <c r="H53" s="7"/>
      <c r="I53" s="50"/>
      <c r="J53" s="10"/>
      <c r="K53" s="50"/>
      <c r="L53" s="7">
        <v>1</v>
      </c>
      <c r="M53" s="50"/>
      <c r="N53" s="7"/>
      <c r="O53" s="50"/>
      <c r="P53" s="7"/>
      <c r="Q53" s="50"/>
      <c r="R53" s="7"/>
      <c r="S53" s="50"/>
    </row>
    <row r="54" spans="1:37" ht="24" customHeight="1" x14ac:dyDescent="0.3">
      <c r="A54" s="253"/>
      <c r="B54" s="3" t="s">
        <v>168</v>
      </c>
      <c r="C54" s="7"/>
      <c r="D54" s="7"/>
      <c r="E54" s="50"/>
      <c r="F54" s="50">
        <v>3</v>
      </c>
      <c r="G54" s="169"/>
      <c r="H54" s="7">
        <v>1</v>
      </c>
      <c r="I54" s="50"/>
      <c r="J54" s="10"/>
      <c r="K54" s="50">
        <v>1</v>
      </c>
      <c r="L54" s="7"/>
      <c r="M54" s="50"/>
      <c r="N54" s="7"/>
      <c r="O54" s="50"/>
      <c r="P54" s="7"/>
      <c r="Q54" s="50"/>
      <c r="R54" s="7"/>
      <c r="S54" s="50"/>
    </row>
    <row r="55" spans="1:37" ht="24" customHeight="1" x14ac:dyDescent="0.3">
      <c r="A55" s="253"/>
      <c r="B55" s="3" t="s">
        <v>170</v>
      </c>
      <c r="C55" s="7">
        <v>2</v>
      </c>
      <c r="D55" s="7"/>
      <c r="E55" s="50"/>
      <c r="F55" s="50">
        <v>7</v>
      </c>
      <c r="G55" s="169"/>
      <c r="H55" s="7"/>
      <c r="I55" s="50"/>
      <c r="J55" s="10"/>
      <c r="L55" s="7"/>
      <c r="M55" s="50"/>
      <c r="N55" s="7"/>
      <c r="O55" s="50"/>
      <c r="P55" s="7"/>
      <c r="Q55" s="50"/>
      <c r="R55" s="7"/>
      <c r="S55" s="50"/>
    </row>
    <row r="56" spans="1:37" ht="24" customHeight="1" x14ac:dyDescent="0.3">
      <c r="A56" s="253"/>
      <c r="B56" s="100" t="s">
        <v>166</v>
      </c>
      <c r="C56" s="7">
        <v>40</v>
      </c>
      <c r="D56" s="7"/>
      <c r="E56" s="50">
        <v>20</v>
      </c>
      <c r="F56" s="50"/>
      <c r="G56" s="169"/>
      <c r="H56" s="7"/>
      <c r="I56" s="50"/>
      <c r="J56" s="10"/>
      <c r="K56" s="50"/>
      <c r="L56" s="7"/>
      <c r="M56" s="50"/>
      <c r="N56" s="7"/>
      <c r="O56" s="50"/>
      <c r="P56" s="7">
        <v>2</v>
      </c>
      <c r="Q56" s="50"/>
      <c r="R56" s="7"/>
      <c r="S56" s="50"/>
    </row>
    <row r="57" spans="1:37" ht="24" customHeight="1" x14ac:dyDescent="0.3">
      <c r="A57" s="253"/>
      <c r="B57" s="100" t="s">
        <v>167</v>
      </c>
      <c r="C57" s="7">
        <v>6</v>
      </c>
      <c r="D57" s="7"/>
      <c r="E57" s="50">
        <v>2</v>
      </c>
      <c r="F57" s="50"/>
      <c r="G57" s="169"/>
      <c r="H57" s="7"/>
      <c r="I57" s="50"/>
      <c r="J57" s="10"/>
      <c r="K57" s="50"/>
      <c r="L57" s="7"/>
      <c r="M57" s="50"/>
      <c r="N57" s="7"/>
      <c r="O57" s="50"/>
      <c r="P57" s="7">
        <v>1</v>
      </c>
      <c r="Q57" s="50"/>
      <c r="R57" s="7"/>
      <c r="S57" s="50"/>
    </row>
    <row r="58" spans="1:37" ht="24" customHeight="1" x14ac:dyDescent="0.3">
      <c r="A58" s="253"/>
      <c r="B58" s="100" t="s">
        <v>172</v>
      </c>
      <c r="C58" s="7">
        <v>18</v>
      </c>
      <c r="D58" s="7"/>
      <c r="E58" s="50"/>
      <c r="F58" s="50">
        <v>25</v>
      </c>
      <c r="G58" s="169"/>
      <c r="H58" s="7"/>
      <c r="I58" s="50"/>
      <c r="J58" s="10">
        <v>2</v>
      </c>
      <c r="K58" s="50"/>
      <c r="L58" s="7"/>
      <c r="M58" s="50"/>
      <c r="N58" s="7"/>
      <c r="O58" s="50"/>
      <c r="P58" s="7"/>
      <c r="Q58" s="50"/>
      <c r="R58" s="7"/>
      <c r="S58" s="50"/>
    </row>
    <row r="59" spans="1:37" ht="24" customHeight="1" x14ac:dyDescent="0.3">
      <c r="A59" s="253"/>
      <c r="B59" s="100" t="s">
        <v>165</v>
      </c>
      <c r="C59" s="7">
        <v>5</v>
      </c>
      <c r="D59" s="7"/>
      <c r="E59" s="50"/>
      <c r="F59" s="50">
        <v>20</v>
      </c>
      <c r="G59" s="169"/>
      <c r="H59" s="7"/>
      <c r="I59" s="50"/>
      <c r="J59" s="10"/>
      <c r="K59" s="50"/>
      <c r="L59" s="7"/>
      <c r="M59" s="50"/>
      <c r="N59" s="7"/>
      <c r="O59" s="50"/>
      <c r="P59" s="7"/>
      <c r="Q59" s="50"/>
      <c r="R59" s="7"/>
      <c r="S59" s="50"/>
    </row>
    <row r="60" spans="1:37" ht="24" customHeight="1" x14ac:dyDescent="0.3">
      <c r="A60" s="253"/>
      <c r="B60" s="3" t="s">
        <v>173</v>
      </c>
      <c r="C60" s="7"/>
      <c r="D60" s="7"/>
      <c r="E60" s="50"/>
      <c r="F60" s="50"/>
      <c r="G60" s="169"/>
      <c r="H60" s="7"/>
      <c r="I60" s="50"/>
      <c r="J60" s="10"/>
      <c r="K60" s="50"/>
      <c r="L60" s="7"/>
      <c r="M60" s="50"/>
      <c r="N60" s="7"/>
      <c r="O60" s="50"/>
      <c r="P60" s="7"/>
      <c r="Q60" s="50"/>
      <c r="R60" s="7"/>
      <c r="S60" s="50"/>
    </row>
    <row r="61" spans="1:37" ht="24" customHeight="1" x14ac:dyDescent="0.3">
      <c r="A61" s="253"/>
      <c r="B61" s="3" t="s">
        <v>169</v>
      </c>
      <c r="C61" s="7">
        <v>3</v>
      </c>
      <c r="D61" s="7"/>
      <c r="E61" s="50"/>
      <c r="F61" s="50">
        <v>8</v>
      </c>
      <c r="G61" s="169"/>
      <c r="H61" s="7"/>
      <c r="I61" s="50"/>
      <c r="J61" s="10"/>
      <c r="K61" s="50"/>
      <c r="L61" s="7"/>
      <c r="M61" s="50"/>
      <c r="N61" s="7"/>
      <c r="O61" s="50"/>
      <c r="P61" s="7">
        <v>1</v>
      </c>
      <c r="Q61" s="50"/>
      <c r="R61" s="7">
        <v>1</v>
      </c>
      <c r="S61" s="50"/>
    </row>
    <row r="62" spans="1:37" ht="26.25" x14ac:dyDescent="0.3">
      <c r="A62" s="253"/>
      <c r="B62" s="2"/>
      <c r="C62" s="2">
        <f>SUM(C53:C61)</f>
        <v>78</v>
      </c>
      <c r="D62" s="2">
        <f>SUM(D53:D61)</f>
        <v>0</v>
      </c>
      <c r="E62" s="2">
        <f>SUM(E53:E61)</f>
        <v>22</v>
      </c>
      <c r="F62" s="2">
        <f>SUM(F53:F61)</f>
        <v>65</v>
      </c>
      <c r="G62" s="169"/>
      <c r="H62" s="2">
        <f t="shared" ref="H62:S62" si="4">SUM(H53:H61)</f>
        <v>1</v>
      </c>
      <c r="I62" s="2">
        <f t="shared" si="4"/>
        <v>0</v>
      </c>
      <c r="J62" s="2">
        <f t="shared" si="4"/>
        <v>2</v>
      </c>
      <c r="K62" s="2">
        <f t="shared" si="4"/>
        <v>1</v>
      </c>
      <c r="L62" s="2">
        <f t="shared" si="4"/>
        <v>1</v>
      </c>
      <c r="M62" s="2">
        <f t="shared" si="4"/>
        <v>0</v>
      </c>
      <c r="N62" s="2">
        <f t="shared" si="4"/>
        <v>0</v>
      </c>
      <c r="O62" s="2">
        <f t="shared" si="4"/>
        <v>0</v>
      </c>
      <c r="P62" s="2">
        <f t="shared" si="4"/>
        <v>4</v>
      </c>
      <c r="Q62" s="2">
        <f t="shared" si="4"/>
        <v>0</v>
      </c>
      <c r="R62" s="2">
        <f t="shared" si="4"/>
        <v>1</v>
      </c>
      <c r="S62" s="2">
        <f t="shared" si="4"/>
        <v>0</v>
      </c>
      <c r="Y62" s="254"/>
      <c r="Z62" s="254"/>
      <c r="AA62" s="254"/>
      <c r="AB62" s="254"/>
      <c r="AD62" s="234"/>
      <c r="AE62" s="234"/>
      <c r="AF62" s="234"/>
      <c r="AG62" s="234"/>
      <c r="AH62" s="234"/>
      <c r="AJ62" s="234"/>
      <c r="AK62" s="234"/>
    </row>
    <row r="64" spans="1:37" ht="19.5" customHeight="1" x14ac:dyDescent="0.35">
      <c r="A64" s="235" t="s">
        <v>23</v>
      </c>
      <c r="B64" s="235"/>
      <c r="C64" s="126">
        <v>47000</v>
      </c>
      <c r="D64" s="126">
        <v>4700</v>
      </c>
      <c r="E64" s="126">
        <v>58000</v>
      </c>
      <c r="F64" s="126">
        <v>5800</v>
      </c>
      <c r="H64" s="126">
        <v>5800</v>
      </c>
      <c r="I64" s="126">
        <v>4700</v>
      </c>
      <c r="J64" s="20">
        <v>6800</v>
      </c>
      <c r="K64" s="20">
        <v>5200</v>
      </c>
      <c r="L64" s="20">
        <v>20700</v>
      </c>
      <c r="M64" s="20">
        <v>6400</v>
      </c>
      <c r="N64" s="20">
        <v>18700</v>
      </c>
      <c r="O64" s="126">
        <v>25700</v>
      </c>
      <c r="P64" s="126">
        <v>8800</v>
      </c>
      <c r="Q64" s="20">
        <v>18700</v>
      </c>
      <c r="R64" s="20">
        <v>15000</v>
      </c>
      <c r="S64" s="20">
        <v>18000</v>
      </c>
      <c r="U64" s="236">
        <f>P67*0.85</f>
        <v>7495045</v>
      </c>
      <c r="V64" s="237"/>
      <c r="W64" s="238"/>
      <c r="Y64" s="242">
        <f>P69-P67</f>
        <v>0</v>
      </c>
      <c r="Z64" s="243"/>
      <c r="AA64" s="243"/>
      <c r="AB64" s="243"/>
      <c r="AD64" s="234"/>
      <c r="AE64" s="234"/>
      <c r="AF64" s="234"/>
      <c r="AG64" s="234"/>
      <c r="AH64" s="234"/>
      <c r="AJ64" s="234"/>
      <c r="AK64" s="234"/>
    </row>
    <row r="65" spans="1:37" ht="19.5" customHeight="1" x14ac:dyDescent="0.35">
      <c r="A65" s="235" t="s">
        <v>24</v>
      </c>
      <c r="B65" s="235"/>
      <c r="C65" s="20">
        <f>C64*C3</f>
        <v>6110000</v>
      </c>
      <c r="D65" s="20">
        <f>D64*D3</f>
        <v>0</v>
      </c>
      <c r="E65" s="20">
        <f>E64*E3</f>
        <v>1856000</v>
      </c>
      <c r="F65" s="20">
        <f>F64*F3</f>
        <v>551000</v>
      </c>
      <c r="H65" s="20">
        <f t="shared" ref="H65:S65" si="5">H64*H3</f>
        <v>23200</v>
      </c>
      <c r="I65" s="20">
        <f t="shared" si="5"/>
        <v>4700</v>
      </c>
      <c r="J65" s="20">
        <f t="shared" si="5"/>
        <v>20400</v>
      </c>
      <c r="K65" s="20">
        <f t="shared" si="5"/>
        <v>5200</v>
      </c>
      <c r="L65" s="20">
        <f t="shared" si="5"/>
        <v>41400</v>
      </c>
      <c r="M65" s="20">
        <f t="shared" si="5"/>
        <v>6400</v>
      </c>
      <c r="N65" s="20">
        <f t="shared" si="5"/>
        <v>93500</v>
      </c>
      <c r="O65" s="20">
        <f t="shared" si="5"/>
        <v>25700</v>
      </c>
      <c r="P65" s="20">
        <f t="shared" si="5"/>
        <v>35200</v>
      </c>
      <c r="Q65" s="20">
        <f t="shared" si="5"/>
        <v>0</v>
      </c>
      <c r="R65" s="20">
        <f t="shared" si="5"/>
        <v>45000</v>
      </c>
      <c r="S65" s="20">
        <f t="shared" si="5"/>
        <v>0</v>
      </c>
      <c r="U65" s="239"/>
      <c r="V65" s="240"/>
      <c r="W65" s="241"/>
      <c r="Y65" s="243"/>
      <c r="Z65" s="243"/>
      <c r="AA65" s="243"/>
      <c r="AB65" s="243"/>
      <c r="AD65" s="234"/>
      <c r="AE65" s="234"/>
      <c r="AF65" s="234"/>
      <c r="AG65" s="234"/>
      <c r="AH65" s="234"/>
      <c r="AJ65" s="234"/>
      <c r="AK65" s="234"/>
    </row>
    <row r="67" spans="1:37" ht="26.25" x14ac:dyDescent="0.3">
      <c r="P67" s="259">
        <f>SUM(C65:S65)</f>
        <v>8817700</v>
      </c>
      <c r="Q67" s="260"/>
      <c r="U67" s="247"/>
      <c r="V67" s="248"/>
      <c r="W67" s="248"/>
      <c r="Y67" s="249"/>
      <c r="Z67" s="250"/>
      <c r="AA67" s="250"/>
      <c r="AB67" s="251"/>
    </row>
    <row r="69" spans="1:37" ht="26.25" x14ac:dyDescent="0.3">
      <c r="C69" s="244"/>
      <c r="D69" s="245"/>
      <c r="P69" s="246">
        <v>8817700</v>
      </c>
      <c r="Q69" s="246"/>
      <c r="U69" s="247">
        <f>P69*0.85</f>
        <v>7495045</v>
      </c>
      <c r="V69" s="248"/>
      <c r="W69" s="248"/>
      <c r="Y69" s="249"/>
      <c r="Z69" s="250"/>
      <c r="AA69" s="250"/>
      <c r="AB69" s="251"/>
    </row>
    <row r="70" spans="1:37" x14ac:dyDescent="0.3">
      <c r="Q70" s="18"/>
      <c r="S70" s="18"/>
      <c r="U70" s="245"/>
      <c r="V70" s="245"/>
      <c r="W70" s="245"/>
      <c r="Y70" s="255"/>
      <c r="Z70" s="256"/>
      <c r="AA70" s="256"/>
      <c r="AB70" s="256"/>
    </row>
    <row r="71" spans="1:37" x14ac:dyDescent="0.3">
      <c r="P71" s="244"/>
      <c r="Q71" s="245"/>
      <c r="U71" s="245"/>
      <c r="V71" s="245"/>
      <c r="W71" s="245"/>
      <c r="Y71" s="245"/>
      <c r="Z71" s="245"/>
      <c r="AA71" s="245"/>
      <c r="AB71" s="245"/>
    </row>
    <row r="72" spans="1:37" x14ac:dyDescent="0.3">
      <c r="P72" s="245"/>
      <c r="Q72" s="245"/>
      <c r="U72" s="245"/>
      <c r="V72" s="245"/>
      <c r="W72" s="245"/>
      <c r="Y72" s="245"/>
      <c r="Z72" s="245"/>
      <c r="AA72" s="245"/>
      <c r="AB72" s="245"/>
    </row>
    <row r="73" spans="1:37" x14ac:dyDescent="0.3">
      <c r="P73" s="18"/>
      <c r="Q73" s="18"/>
      <c r="S73" s="18"/>
      <c r="Y73" s="245"/>
      <c r="Z73" s="245"/>
      <c r="AA73" s="245"/>
      <c r="AB73" s="245"/>
    </row>
    <row r="74" spans="1:37" x14ac:dyDescent="0.3">
      <c r="C74">
        <f>C64*0.85</f>
        <v>39950</v>
      </c>
      <c r="D74">
        <f t="shared" ref="D74:R74" si="6">D64*0.85</f>
        <v>3995</v>
      </c>
      <c r="E74">
        <f t="shared" si="6"/>
        <v>49300</v>
      </c>
      <c r="F74">
        <f t="shared" si="6"/>
        <v>4930</v>
      </c>
      <c r="H74">
        <f t="shared" si="6"/>
        <v>4930</v>
      </c>
      <c r="I74">
        <f t="shared" si="6"/>
        <v>3995</v>
      </c>
      <c r="J74">
        <f t="shared" si="6"/>
        <v>5780</v>
      </c>
      <c r="K74">
        <f t="shared" si="6"/>
        <v>4420</v>
      </c>
      <c r="L74">
        <f t="shared" si="6"/>
        <v>17595</v>
      </c>
      <c r="M74">
        <f t="shared" si="6"/>
        <v>5440</v>
      </c>
      <c r="N74">
        <f t="shared" si="6"/>
        <v>15895</v>
      </c>
      <c r="O74">
        <f t="shared" si="6"/>
        <v>21845</v>
      </c>
      <c r="P74">
        <f t="shared" si="6"/>
        <v>7480</v>
      </c>
      <c r="Q74">
        <f t="shared" si="6"/>
        <v>15895</v>
      </c>
      <c r="R74">
        <f t="shared" si="6"/>
        <v>12750</v>
      </c>
      <c r="S74">
        <f>S64*0.85</f>
        <v>15300</v>
      </c>
    </row>
    <row r="75" spans="1:37" x14ac:dyDescent="0.3">
      <c r="C75">
        <v>29500</v>
      </c>
      <c r="D75">
        <v>2950</v>
      </c>
      <c r="E75">
        <v>51000</v>
      </c>
      <c r="F75">
        <v>5100</v>
      </c>
      <c r="H75">
        <v>3600</v>
      </c>
      <c r="I75">
        <v>2950</v>
      </c>
      <c r="J75">
        <v>4000</v>
      </c>
      <c r="K75">
        <v>4200</v>
      </c>
      <c r="L75">
        <v>15000</v>
      </c>
      <c r="M75">
        <v>4500</v>
      </c>
      <c r="N75">
        <v>9500</v>
      </c>
      <c r="O75">
        <v>12000</v>
      </c>
      <c r="P75">
        <v>8000</v>
      </c>
      <c r="Q75">
        <v>12000</v>
      </c>
      <c r="R75">
        <v>8500</v>
      </c>
    </row>
    <row r="76" spans="1:37" x14ac:dyDescent="0.3">
      <c r="C76">
        <f>C74-C75</f>
        <v>10450</v>
      </c>
      <c r="D76">
        <f t="shared" ref="D76:R76" si="7">D74-D75</f>
        <v>1045</v>
      </c>
      <c r="E76">
        <f t="shared" si="7"/>
        <v>-1700</v>
      </c>
      <c r="F76">
        <f t="shared" si="7"/>
        <v>-170</v>
      </c>
      <c r="H76">
        <f t="shared" si="7"/>
        <v>1330</v>
      </c>
      <c r="I76">
        <f t="shared" si="7"/>
        <v>1045</v>
      </c>
      <c r="J76">
        <f t="shared" si="7"/>
        <v>1780</v>
      </c>
      <c r="K76">
        <f t="shared" si="7"/>
        <v>220</v>
      </c>
      <c r="L76">
        <f t="shared" si="7"/>
        <v>2595</v>
      </c>
      <c r="M76">
        <f t="shared" si="7"/>
        <v>940</v>
      </c>
      <c r="N76">
        <f t="shared" si="7"/>
        <v>6395</v>
      </c>
      <c r="O76">
        <f t="shared" si="7"/>
        <v>9845</v>
      </c>
      <c r="P76">
        <f t="shared" si="7"/>
        <v>-520</v>
      </c>
      <c r="Q76">
        <f t="shared" si="7"/>
        <v>3895</v>
      </c>
      <c r="R76">
        <f t="shared" si="7"/>
        <v>4250</v>
      </c>
    </row>
    <row r="77" spans="1:37" x14ac:dyDescent="0.3">
      <c r="C77">
        <f t="shared" ref="C77:R77" si="8">C76*C3</f>
        <v>1358500</v>
      </c>
      <c r="D77">
        <f t="shared" si="8"/>
        <v>0</v>
      </c>
      <c r="E77">
        <f t="shared" si="8"/>
        <v>-54400</v>
      </c>
      <c r="F77">
        <f t="shared" si="8"/>
        <v>-16150</v>
      </c>
      <c r="G77">
        <f t="shared" si="8"/>
        <v>0</v>
      </c>
      <c r="H77">
        <f t="shared" si="8"/>
        <v>5320</v>
      </c>
      <c r="I77">
        <f t="shared" si="8"/>
        <v>1045</v>
      </c>
      <c r="J77">
        <f t="shared" si="8"/>
        <v>5340</v>
      </c>
      <c r="K77">
        <f t="shared" si="8"/>
        <v>220</v>
      </c>
      <c r="L77">
        <f t="shared" si="8"/>
        <v>5190</v>
      </c>
      <c r="M77">
        <f t="shared" si="8"/>
        <v>940</v>
      </c>
      <c r="N77">
        <f t="shared" si="8"/>
        <v>31975</v>
      </c>
      <c r="O77">
        <f t="shared" si="8"/>
        <v>9845</v>
      </c>
      <c r="P77">
        <f t="shared" si="8"/>
        <v>-2080</v>
      </c>
      <c r="Q77">
        <f t="shared" si="8"/>
        <v>0</v>
      </c>
      <c r="R77">
        <f t="shared" si="8"/>
        <v>12750</v>
      </c>
      <c r="X77" s="245"/>
      <c r="Y77" s="245"/>
      <c r="Z77" s="245"/>
      <c r="AA77" s="245"/>
      <c r="AB77" s="245"/>
    </row>
    <row r="78" spans="1:37" x14ac:dyDescent="0.3">
      <c r="X78" s="245"/>
      <c r="Y78" s="245"/>
      <c r="Z78" s="245"/>
      <c r="AA78" s="245"/>
      <c r="AB78" s="245"/>
    </row>
    <row r="79" spans="1:37" ht="26.25" x14ac:dyDescent="0.3">
      <c r="P79" s="257">
        <f>SUM(C77:R77)</f>
        <v>1358495</v>
      </c>
      <c r="Q79" s="258"/>
    </row>
  </sheetData>
  <mergeCells count="31">
    <mergeCell ref="U70:W72"/>
    <mergeCell ref="Y70:AB73"/>
    <mergeCell ref="P71:Q72"/>
    <mergeCell ref="X77:AB78"/>
    <mergeCell ref="P79:Q79"/>
    <mergeCell ref="P67:Q67"/>
    <mergeCell ref="U67:W67"/>
    <mergeCell ref="Y67:AB67"/>
    <mergeCell ref="C69:D69"/>
    <mergeCell ref="P69:Q69"/>
    <mergeCell ref="U69:W69"/>
    <mergeCell ref="Y69:AB69"/>
    <mergeCell ref="A64:B64"/>
    <mergeCell ref="U64:W65"/>
    <mergeCell ref="Y64:AB65"/>
    <mergeCell ref="AD64:AH65"/>
    <mergeCell ref="AJ64:AK65"/>
    <mergeCell ref="A65:B65"/>
    <mergeCell ref="Y52:AB52"/>
    <mergeCell ref="AD52:AH52"/>
    <mergeCell ref="AJ52:AK52"/>
    <mergeCell ref="A53:A62"/>
    <mergeCell ref="Y62:AB62"/>
    <mergeCell ref="AD62:AH62"/>
    <mergeCell ref="AJ62:AK62"/>
    <mergeCell ref="A1:B2"/>
    <mergeCell ref="C1:D1"/>
    <mergeCell ref="E1:F1"/>
    <mergeCell ref="A4:A22"/>
    <mergeCell ref="A23:A43"/>
    <mergeCell ref="A44:A52"/>
  </mergeCells>
  <phoneticPr fontId="47" type="noConversion"/>
  <conditionalFormatting sqref="B7:B11">
    <cfRule type="duplicateValues" dxfId="75" priority="2"/>
  </conditionalFormatting>
  <conditionalFormatting sqref="B44:B51">
    <cfRule type="duplicateValues" dxfId="74" priority="3"/>
  </conditionalFormatting>
  <conditionalFormatting sqref="B12">
    <cfRule type="duplicateValues" dxfId="73" priority="1"/>
  </conditionalFormatting>
  <conditionalFormatting sqref="B4:B6 B13:B21">
    <cfRule type="expression" dxfId="72" priority="4" stopIfTrue="1">
      <formula>AND(COUNTIF($B$4:$B$6, B4)+COUNTIF($B$13:$B$21, B4)&gt;1,NOT(ISBLANK(B4)))</formula>
    </cfRule>
  </conditionalFormatting>
  <conditionalFormatting sqref="B53:B61">
    <cfRule type="duplicateValues" dxfId="71" priority="5"/>
  </conditionalFormatting>
  <conditionalFormatting sqref="B23:B42">
    <cfRule type="duplicateValues" dxfId="70" priority="6"/>
  </conditionalFormatting>
  <printOptions horizontalCentered="1" verticalCentered="1"/>
  <pageMargins left="0" right="0" top="7.874015748031496E-2" bottom="7.874015748031496E-2" header="0" footer="0"/>
  <pageSetup paperSize="9" scale="23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T18"/>
  <sheetViews>
    <sheetView zoomScale="70" zoomScaleNormal="70" workbookViewId="0">
      <pane ySplit="3" topLeftCell="A6" activePane="bottomLeft" state="frozen"/>
      <selection activeCell="Y8" sqref="Y8"/>
      <selection pane="bottomLeft" activeCell="Y8" sqref="Y8"/>
    </sheetView>
  </sheetViews>
  <sheetFormatPr defaultRowHeight="16.5" x14ac:dyDescent="0.3"/>
  <cols>
    <col min="1" max="1" width="32.875" customWidth="1"/>
    <col min="2" max="6" width="10" customWidth="1"/>
    <col min="7" max="7" width="5.75" customWidth="1"/>
    <col min="8" max="8" width="18.5" customWidth="1"/>
    <col min="9" max="20" width="10.875" customWidth="1"/>
  </cols>
  <sheetData>
    <row r="1" spans="1:20" ht="113.25" customHeight="1" x14ac:dyDescent="0.3">
      <c r="A1" s="222" t="s">
        <v>202</v>
      </c>
      <c r="B1" s="223"/>
      <c r="C1" s="267" t="s">
        <v>97</v>
      </c>
      <c r="D1" s="268"/>
      <c r="E1" s="228" t="s">
        <v>98</v>
      </c>
      <c r="F1" s="228"/>
      <c r="G1" s="8"/>
      <c r="H1" s="269" t="s">
        <v>18</v>
      </c>
      <c r="I1" s="72" t="s">
        <v>20</v>
      </c>
      <c r="J1" s="168" t="s">
        <v>21</v>
      </c>
      <c r="K1" s="5" t="s">
        <v>101</v>
      </c>
      <c r="L1" s="168" t="s">
        <v>100</v>
      </c>
      <c r="M1" s="5" t="s">
        <v>96</v>
      </c>
      <c r="N1" s="168" t="s">
        <v>183</v>
      </c>
      <c r="O1" s="5" t="s">
        <v>114</v>
      </c>
      <c r="P1" s="168" t="s">
        <v>115</v>
      </c>
      <c r="Q1" s="5" t="s">
        <v>190</v>
      </c>
      <c r="R1" s="168" t="s">
        <v>105</v>
      </c>
      <c r="S1" s="5" t="s">
        <v>106</v>
      </c>
      <c r="T1" s="168" t="s">
        <v>191</v>
      </c>
    </row>
    <row r="2" spans="1:20" ht="43.5" customHeight="1" x14ac:dyDescent="0.3">
      <c r="A2" s="224"/>
      <c r="B2" s="225"/>
      <c r="C2" s="73" t="s">
        <v>2</v>
      </c>
      <c r="D2" s="73" t="s">
        <v>22</v>
      </c>
      <c r="E2" s="1" t="s">
        <v>2</v>
      </c>
      <c r="F2" s="1" t="s">
        <v>1</v>
      </c>
      <c r="G2" s="9"/>
      <c r="H2" s="270"/>
      <c r="I2" s="6" t="s">
        <v>3</v>
      </c>
      <c r="J2" s="1" t="s">
        <v>1</v>
      </c>
      <c r="K2" s="6" t="s">
        <v>3</v>
      </c>
      <c r="L2" s="1" t="s">
        <v>1</v>
      </c>
      <c r="M2" s="6" t="s">
        <v>3</v>
      </c>
      <c r="N2" s="1" t="s">
        <v>1</v>
      </c>
      <c r="O2" s="6" t="s">
        <v>3</v>
      </c>
      <c r="P2" s="1" t="s">
        <v>1</v>
      </c>
      <c r="Q2" s="6" t="s">
        <v>3</v>
      </c>
      <c r="R2" s="1" t="s">
        <v>1</v>
      </c>
      <c r="S2" s="6" t="s">
        <v>3</v>
      </c>
      <c r="T2" s="1" t="s">
        <v>1</v>
      </c>
    </row>
    <row r="3" spans="1:20" ht="39" customHeight="1" thickBot="1" x14ac:dyDescent="0.35">
      <c r="A3" s="271" t="s">
        <v>10</v>
      </c>
      <c r="B3" s="272"/>
      <c r="C3" s="44">
        <f>SUM(C4:C20)</f>
        <v>135</v>
      </c>
      <c r="D3" s="44">
        <f>SUM(D4:D20)</f>
        <v>0</v>
      </c>
      <c r="E3" s="44">
        <f>SUM(E4:E20)</f>
        <v>32</v>
      </c>
      <c r="F3" s="44">
        <f>SUM(F4:F20)</f>
        <v>85</v>
      </c>
      <c r="G3" s="169"/>
      <c r="H3" s="13" t="s">
        <v>10</v>
      </c>
      <c r="I3" s="44">
        <f>SUM(I4:I15)</f>
        <v>4</v>
      </c>
      <c r="J3" s="44">
        <f t="shared" ref="J3:T3" si="0">SUM(J4:J15)</f>
        <v>1</v>
      </c>
      <c r="K3" s="44">
        <f t="shared" si="0"/>
        <v>3</v>
      </c>
      <c r="L3" s="44">
        <f t="shared" si="0"/>
        <v>1</v>
      </c>
      <c r="M3" s="44">
        <f t="shared" si="0"/>
        <v>2</v>
      </c>
      <c r="N3" s="44">
        <f t="shared" si="0"/>
        <v>1</v>
      </c>
      <c r="O3" s="44">
        <f t="shared" si="0"/>
        <v>5</v>
      </c>
      <c r="P3" s="44">
        <f t="shared" si="0"/>
        <v>1</v>
      </c>
      <c r="Q3" s="44">
        <f t="shared" si="0"/>
        <v>4</v>
      </c>
      <c r="R3" s="44">
        <f t="shared" si="0"/>
        <v>0</v>
      </c>
      <c r="S3" s="44">
        <f t="shared" si="0"/>
        <v>3</v>
      </c>
      <c r="T3" s="44">
        <f t="shared" si="0"/>
        <v>0</v>
      </c>
    </row>
    <row r="4" spans="1:20" ht="82.7" customHeight="1" thickTop="1" x14ac:dyDescent="0.3">
      <c r="A4" s="273" t="s">
        <v>15</v>
      </c>
      <c r="B4" s="274"/>
      <c r="C4" s="57">
        <f>'학교별04.30'!C22</f>
        <v>1</v>
      </c>
      <c r="D4" s="57">
        <f>'학교별04.30'!D22</f>
        <v>0</v>
      </c>
      <c r="E4" s="58">
        <f>'학교별04.30'!E22</f>
        <v>0</v>
      </c>
      <c r="F4" s="59">
        <f>'학교별04.30'!F22</f>
        <v>10</v>
      </c>
      <c r="G4" s="169"/>
      <c r="H4" s="49" t="s">
        <v>15</v>
      </c>
      <c r="I4" s="47">
        <f>'학교별04.30'!H22</f>
        <v>1</v>
      </c>
      <c r="J4" s="45">
        <f>'학교별04.30'!I22</f>
        <v>1</v>
      </c>
      <c r="K4" s="47">
        <f>'학교별04.30'!J22</f>
        <v>0</v>
      </c>
      <c r="L4" s="45">
        <f>'학교별04.30'!K22</f>
        <v>0</v>
      </c>
      <c r="M4" s="47">
        <f>'학교별04.30'!L22</f>
        <v>0</v>
      </c>
      <c r="N4" s="45">
        <f>'학교별04.30'!M22</f>
        <v>0</v>
      </c>
      <c r="O4" s="47">
        <f>'학교별04.30'!N22</f>
        <v>2</v>
      </c>
      <c r="P4" s="45">
        <f>'학교별04.30'!O22</f>
        <v>1</v>
      </c>
      <c r="Q4" s="47">
        <f>'학교별04.30'!P22</f>
        <v>0</v>
      </c>
      <c r="R4" s="45">
        <f>'학교별04.30'!Q22</f>
        <v>0</v>
      </c>
      <c r="S4" s="47">
        <f>'학교별04.30'!R22</f>
        <v>2</v>
      </c>
      <c r="T4" s="87">
        <f>'학교별04.30'!S22</f>
        <v>0</v>
      </c>
    </row>
    <row r="5" spans="1:20" ht="82.7" customHeight="1" x14ac:dyDescent="0.3">
      <c r="A5" s="289" t="s">
        <v>201</v>
      </c>
      <c r="B5" s="290"/>
      <c r="C5" s="172">
        <v>-1</v>
      </c>
      <c r="D5" s="165"/>
      <c r="E5" s="166"/>
      <c r="F5" s="173">
        <v>-10</v>
      </c>
      <c r="G5" s="169"/>
      <c r="H5" s="40"/>
      <c r="I5" s="41"/>
      <c r="J5" s="42"/>
      <c r="K5" s="41"/>
      <c r="L5" s="42"/>
      <c r="M5" s="41"/>
      <c r="N5" s="42"/>
      <c r="O5" s="41"/>
      <c r="P5" s="42"/>
      <c r="Q5" s="41"/>
      <c r="R5" s="42"/>
      <c r="S5" s="41"/>
      <c r="T5" s="88"/>
    </row>
    <row r="6" spans="1:20" ht="82.7" customHeight="1" thickBot="1" x14ac:dyDescent="0.35">
      <c r="A6" s="275" t="s">
        <v>200</v>
      </c>
      <c r="B6" s="276"/>
      <c r="C6" s="79">
        <v>6</v>
      </c>
      <c r="D6" s="60"/>
      <c r="E6" s="62"/>
      <c r="F6" s="61"/>
      <c r="G6" s="169"/>
      <c r="H6" s="40"/>
      <c r="I6" s="83"/>
      <c r="J6" s="81"/>
      <c r="K6" s="95"/>
      <c r="L6" s="81"/>
      <c r="M6" s="84"/>
      <c r="N6" s="81"/>
      <c r="O6" s="83"/>
      <c r="P6" s="42"/>
      <c r="Q6" s="41"/>
      <c r="R6" s="42"/>
      <c r="S6" s="83"/>
      <c r="T6" s="88"/>
    </row>
    <row r="7" spans="1:20" ht="18" thickTop="1" thickBot="1" x14ac:dyDescent="0.35">
      <c r="H7" s="33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138"/>
    </row>
    <row r="8" spans="1:20" ht="82.7" customHeight="1" thickTop="1" x14ac:dyDescent="0.3">
      <c r="A8" s="277" t="s">
        <v>26</v>
      </c>
      <c r="B8" s="278"/>
      <c r="C8" s="47">
        <f>'학교별04.30'!C43</f>
        <v>0</v>
      </c>
      <c r="D8" s="47">
        <f>'학교별04.30'!D43</f>
        <v>0</v>
      </c>
      <c r="E8" s="45">
        <f>'학교별04.30'!E43</f>
        <v>0</v>
      </c>
      <c r="F8" s="45">
        <f>'학교별04.30'!F43</f>
        <v>0</v>
      </c>
      <c r="G8" s="37"/>
      <c r="H8" s="55" t="s">
        <v>17</v>
      </c>
      <c r="I8" s="48">
        <f>'학교별04.30'!H43</f>
        <v>0</v>
      </c>
      <c r="J8" s="46">
        <f>'학교별04.30'!I43</f>
        <v>0</v>
      </c>
      <c r="K8" s="48">
        <f>'학교별04.30'!J43</f>
        <v>0</v>
      </c>
      <c r="L8" s="46">
        <f>'학교별04.30'!K43</f>
        <v>0</v>
      </c>
      <c r="M8" s="48">
        <f>'학교별04.30'!L43</f>
        <v>1</v>
      </c>
      <c r="N8" s="46">
        <f>'학교별04.30'!M43</f>
        <v>0</v>
      </c>
      <c r="O8" s="48">
        <f>'학교별04.30'!N43</f>
        <v>3</v>
      </c>
      <c r="P8" s="46">
        <f>'학교별04.30'!O43</f>
        <v>0</v>
      </c>
      <c r="Q8" s="48">
        <f>'학교별04.30'!P43</f>
        <v>0</v>
      </c>
      <c r="R8" s="46">
        <f>'학교별04.30'!Q43</f>
        <v>0</v>
      </c>
      <c r="S8" s="48">
        <f>'학교별04.30'!R43</f>
        <v>0</v>
      </c>
      <c r="T8" s="90">
        <f>'학교별04.30'!S43</f>
        <v>0</v>
      </c>
    </row>
    <row r="9" spans="1:20" ht="82.7" customHeight="1" thickBot="1" x14ac:dyDescent="0.35">
      <c r="A9" s="261"/>
      <c r="B9" s="262"/>
      <c r="C9" s="75"/>
      <c r="D9" s="96"/>
      <c r="E9" s="78"/>
      <c r="F9" s="38"/>
      <c r="G9" s="39"/>
      <c r="H9" s="169"/>
      <c r="I9" s="41"/>
      <c r="J9" s="42"/>
      <c r="K9" s="41"/>
      <c r="L9" s="42"/>
      <c r="M9" s="41"/>
      <c r="N9" s="42"/>
      <c r="O9" s="41"/>
      <c r="P9" s="42"/>
      <c r="Q9" s="41"/>
      <c r="R9" s="98"/>
      <c r="S9" s="41"/>
      <c r="T9" s="88"/>
    </row>
    <row r="10" spans="1:20" ht="18" thickTop="1" thickBot="1" x14ac:dyDescent="0.35">
      <c r="H10" s="33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138"/>
    </row>
    <row r="11" spans="1:20" ht="82.7" customHeight="1" thickTop="1" x14ac:dyDescent="0.3">
      <c r="A11" s="263" t="s">
        <v>16</v>
      </c>
      <c r="B11" s="264"/>
      <c r="C11" s="65">
        <f>'학교별04.30'!C52</f>
        <v>51</v>
      </c>
      <c r="D11" s="65">
        <f>'학교별04.30'!D52</f>
        <v>0</v>
      </c>
      <c r="E11" s="66">
        <f>'학교별04.30'!E52</f>
        <v>10</v>
      </c>
      <c r="F11" s="67">
        <f>'학교별04.30'!F52</f>
        <v>20</v>
      </c>
      <c r="G11" s="169"/>
      <c r="H11" s="136" t="s">
        <v>25</v>
      </c>
      <c r="I11" s="127">
        <f>'학교별04.30'!H52</f>
        <v>2</v>
      </c>
      <c r="J11" s="128">
        <f>'학교별04.30'!I52</f>
        <v>0</v>
      </c>
      <c r="K11" s="127">
        <f>'학교별04.30'!J52</f>
        <v>1</v>
      </c>
      <c r="L11" s="128">
        <f>'학교별04.30'!K52</f>
        <v>0</v>
      </c>
      <c r="M11" s="127">
        <f>'학교별04.30'!L52</f>
        <v>0</v>
      </c>
      <c r="N11" s="128">
        <f>'학교별04.30'!M52</f>
        <v>1</v>
      </c>
      <c r="O11" s="127">
        <f>'학교별04.30'!N52</f>
        <v>0</v>
      </c>
      <c r="P11" s="128">
        <f>'학교별04.30'!O52</f>
        <v>0</v>
      </c>
      <c r="Q11" s="127">
        <f>'학교별04.30'!P52</f>
        <v>0</v>
      </c>
      <c r="R11" s="128">
        <f>'학교별04.30'!Q52</f>
        <v>0</v>
      </c>
      <c r="S11" s="127">
        <f>'학교별04.30'!R52</f>
        <v>0</v>
      </c>
      <c r="T11" s="137">
        <f>'학교별04.30'!S52</f>
        <v>0</v>
      </c>
    </row>
    <row r="12" spans="1:20" ht="82.7" customHeight="1" thickBot="1" x14ac:dyDescent="0.35">
      <c r="A12" s="265"/>
      <c r="B12" s="266"/>
      <c r="C12" s="68"/>
      <c r="D12" s="69"/>
      <c r="E12" s="144"/>
      <c r="F12" s="71"/>
      <c r="H12" s="33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138"/>
    </row>
    <row r="13" spans="1:20" ht="18" thickTop="1" thickBot="1" x14ac:dyDescent="0.35">
      <c r="H13" s="33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138"/>
    </row>
    <row r="14" spans="1:20" ht="82.7" customHeight="1" thickTop="1" x14ac:dyDescent="0.3">
      <c r="A14" s="282" t="s">
        <v>175</v>
      </c>
      <c r="B14" s="283"/>
      <c r="C14" s="129">
        <f>'학교별04.30'!C62</f>
        <v>78</v>
      </c>
      <c r="D14" s="129">
        <f>'학교별04.30'!D62</f>
        <v>0</v>
      </c>
      <c r="E14" s="130">
        <f>'학교별04.30'!E62</f>
        <v>22</v>
      </c>
      <c r="F14" s="131">
        <f>'학교별04.30'!F62</f>
        <v>65</v>
      </c>
      <c r="G14" s="169"/>
      <c r="H14" s="136" t="s">
        <v>174</v>
      </c>
      <c r="I14" s="127">
        <f>'학교별04.30'!H62</f>
        <v>1</v>
      </c>
      <c r="J14" s="128">
        <f>'학교별04.30'!I62</f>
        <v>0</v>
      </c>
      <c r="K14" s="127">
        <f>'학교별04.30'!J62</f>
        <v>2</v>
      </c>
      <c r="L14" s="128">
        <f>'학교별04.30'!K62</f>
        <v>1</v>
      </c>
      <c r="M14" s="127">
        <f>'학교별04.30'!L62</f>
        <v>1</v>
      </c>
      <c r="N14" s="128">
        <f>'학교별04.30'!M62</f>
        <v>0</v>
      </c>
      <c r="O14" s="127">
        <f>'학교별04.30'!N62</f>
        <v>0</v>
      </c>
      <c r="P14" s="128">
        <f>'학교별04.30'!O62</f>
        <v>0</v>
      </c>
      <c r="Q14" s="127">
        <f>'학교별04.30'!P62</f>
        <v>4</v>
      </c>
      <c r="R14" s="128">
        <f>'학교별04.30'!Q62</f>
        <v>0</v>
      </c>
      <c r="S14" s="127">
        <f>'학교별04.30'!R62</f>
        <v>1</v>
      </c>
      <c r="T14" s="137">
        <f>'학교별04.30'!S62</f>
        <v>0</v>
      </c>
    </row>
    <row r="15" spans="1:20" ht="82.7" customHeight="1" thickBot="1" x14ac:dyDescent="0.35">
      <c r="A15" s="280"/>
      <c r="B15" s="281"/>
      <c r="C15" s="132"/>
      <c r="D15" s="133"/>
      <c r="E15" s="134"/>
      <c r="F15" s="135"/>
      <c r="H15" s="64"/>
      <c r="I15" s="14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152"/>
    </row>
    <row r="16" spans="1:20" ht="17.25" thickTop="1" x14ac:dyDescent="0.3"/>
    <row r="18" spans="8:8" x14ac:dyDescent="0.3">
      <c r="H18" t="s">
        <v>83</v>
      </c>
    </row>
  </sheetData>
  <mergeCells count="14">
    <mergeCell ref="A14:B14"/>
    <mergeCell ref="A15:B15"/>
    <mergeCell ref="A5:B5"/>
    <mergeCell ref="A6:B6"/>
    <mergeCell ref="A8:B8"/>
    <mergeCell ref="A9:B9"/>
    <mergeCell ref="A11:B11"/>
    <mergeCell ref="A12:B12"/>
    <mergeCell ref="A1:B2"/>
    <mergeCell ref="C1:D1"/>
    <mergeCell ref="E1:F1"/>
    <mergeCell ref="H1:H2"/>
    <mergeCell ref="A3:B3"/>
    <mergeCell ref="A4:B4"/>
  </mergeCells>
  <phoneticPr fontId="47" type="noConversion"/>
  <conditionalFormatting sqref="A4:A6">
    <cfRule type="duplicateValues" dxfId="69" priority="2"/>
  </conditionalFormatting>
  <conditionalFormatting sqref="A8:A9">
    <cfRule type="duplicateValues" dxfId="68" priority="3"/>
  </conditionalFormatting>
  <conditionalFormatting sqref="A14">
    <cfRule type="duplicateValues" dxfId="67" priority="1"/>
  </conditionalFormatting>
  <conditionalFormatting sqref="A11">
    <cfRule type="duplicateValues" dxfId="66" priority="4"/>
  </conditionalFormatting>
  <printOptions horizontalCentered="1" verticalCentered="1"/>
  <pageMargins left="0" right="0" top="7.874015748031496E-2" bottom="7.874015748031496E-2" header="0" footer="0"/>
  <pageSetup paperSize="9" scale="5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79"/>
  <sheetViews>
    <sheetView zoomScale="70" zoomScaleNormal="70" workbookViewId="0">
      <pane ySplit="3" topLeftCell="A12" activePane="bottomLeft" state="frozen"/>
      <selection activeCell="X5" sqref="X5"/>
      <selection pane="bottomLeft" activeCell="X5" sqref="X5"/>
    </sheetView>
  </sheetViews>
  <sheetFormatPr defaultRowHeight="16.5" x14ac:dyDescent="0.3"/>
  <cols>
    <col min="1" max="1" width="9" customWidth="1"/>
    <col min="2" max="2" width="33.75" customWidth="1"/>
    <col min="3" max="3" width="10.75" customWidth="1"/>
    <col min="4" max="4" width="10" customWidth="1"/>
    <col min="5" max="5" width="10.5" customWidth="1"/>
    <col min="6" max="6" width="10" customWidth="1"/>
    <col min="7" max="7" width="4.125" customWidth="1"/>
    <col min="8" max="19" width="10.875" customWidth="1"/>
    <col min="20" max="20" width="5.5" customWidth="1"/>
    <col min="21" max="21" width="10.875" bestFit="1" customWidth="1"/>
  </cols>
  <sheetData>
    <row r="1" spans="1:23" ht="113.25" customHeight="1" x14ac:dyDescent="0.3">
      <c r="A1" s="222" t="s">
        <v>203</v>
      </c>
      <c r="B1" s="223"/>
      <c r="C1" s="226" t="s">
        <v>0</v>
      </c>
      <c r="D1" s="227"/>
      <c r="E1" s="228" t="s">
        <v>19</v>
      </c>
      <c r="F1" s="228"/>
      <c r="G1" s="8"/>
      <c r="H1" s="72" t="s">
        <v>20</v>
      </c>
      <c r="I1" s="170" t="s">
        <v>21</v>
      </c>
      <c r="J1" s="5" t="s">
        <v>7</v>
      </c>
      <c r="K1" s="170" t="s">
        <v>4</v>
      </c>
      <c r="L1" s="5" t="s">
        <v>6</v>
      </c>
      <c r="M1" s="170" t="s">
        <v>5</v>
      </c>
      <c r="N1" s="5" t="s">
        <v>9</v>
      </c>
      <c r="O1" s="170" t="s">
        <v>119</v>
      </c>
      <c r="P1" s="5" t="s">
        <v>8</v>
      </c>
      <c r="Q1" s="170" t="s">
        <v>12</v>
      </c>
      <c r="R1" s="5" t="s">
        <v>95</v>
      </c>
      <c r="S1" s="170" t="s">
        <v>11</v>
      </c>
    </row>
    <row r="2" spans="1:23" ht="43.5" customHeight="1" x14ac:dyDescent="0.3">
      <c r="A2" s="224"/>
      <c r="B2" s="225"/>
      <c r="C2" s="73" t="s">
        <v>2</v>
      </c>
      <c r="D2" s="21" t="s">
        <v>1</v>
      </c>
      <c r="E2" s="1" t="s">
        <v>2</v>
      </c>
      <c r="F2" s="1" t="s">
        <v>1</v>
      </c>
      <c r="G2" s="9"/>
      <c r="H2" s="6" t="s">
        <v>3</v>
      </c>
      <c r="I2" s="1" t="s">
        <v>1</v>
      </c>
      <c r="J2" s="6" t="s">
        <v>3</v>
      </c>
      <c r="K2" s="1" t="s">
        <v>1</v>
      </c>
      <c r="L2" s="6" t="s">
        <v>3</v>
      </c>
      <c r="M2" s="1" t="s">
        <v>1</v>
      </c>
      <c r="N2" s="6" t="s">
        <v>3</v>
      </c>
      <c r="O2" s="1" t="s">
        <v>1</v>
      </c>
      <c r="P2" s="6" t="s">
        <v>3</v>
      </c>
      <c r="Q2" s="1" t="s">
        <v>1</v>
      </c>
      <c r="R2" s="6" t="s">
        <v>3</v>
      </c>
      <c r="S2" s="1" t="s">
        <v>1</v>
      </c>
    </row>
    <row r="3" spans="1:23" ht="26.25" x14ac:dyDescent="0.3">
      <c r="A3" s="97" t="s">
        <v>14</v>
      </c>
      <c r="B3" s="12" t="s">
        <v>10</v>
      </c>
      <c r="C3" s="29">
        <f>C22+C43+C52+C62</f>
        <v>14</v>
      </c>
      <c r="D3" s="29">
        <f>D22+D43+D52+D62</f>
        <v>0</v>
      </c>
      <c r="E3" s="29">
        <f>E22+E43+E52+E62</f>
        <v>4</v>
      </c>
      <c r="F3" s="2">
        <f>F22+F43+F52+F62</f>
        <v>8</v>
      </c>
      <c r="G3" s="171"/>
      <c r="H3" s="2">
        <f t="shared" ref="H3:S3" si="0">H22+H43+H52+H62</f>
        <v>0</v>
      </c>
      <c r="I3" s="2">
        <f t="shared" si="0"/>
        <v>0</v>
      </c>
      <c r="J3" s="2">
        <f t="shared" si="0"/>
        <v>1</v>
      </c>
      <c r="K3" s="2">
        <f t="shared" si="0"/>
        <v>3</v>
      </c>
      <c r="L3" s="2">
        <f t="shared" si="0"/>
        <v>6</v>
      </c>
      <c r="M3" s="2">
        <f t="shared" si="0"/>
        <v>7</v>
      </c>
      <c r="N3" s="2">
        <f t="shared" si="0"/>
        <v>0</v>
      </c>
      <c r="O3" s="2">
        <f t="shared" si="0"/>
        <v>0</v>
      </c>
      <c r="P3" s="2">
        <f t="shared" si="0"/>
        <v>0</v>
      </c>
      <c r="Q3" s="2">
        <f t="shared" si="0"/>
        <v>2</v>
      </c>
      <c r="R3" s="2">
        <f t="shared" si="0"/>
        <v>5</v>
      </c>
      <c r="S3" s="2">
        <f t="shared" si="0"/>
        <v>0</v>
      </c>
      <c r="T3" s="4">
        <f>D3*10</f>
        <v>0</v>
      </c>
      <c r="U3">
        <f>F3*10+E3</f>
        <v>84</v>
      </c>
      <c r="V3" s="4">
        <f>SUM(H3:Q3)</f>
        <v>19</v>
      </c>
      <c r="W3" s="11">
        <f>SUM(T3:V3)</f>
        <v>103</v>
      </c>
    </row>
    <row r="4" spans="1:23" ht="24" customHeight="1" x14ac:dyDescent="0.3">
      <c r="A4" s="229" t="s">
        <v>34</v>
      </c>
      <c r="B4" s="3" t="s">
        <v>160</v>
      </c>
      <c r="C4" s="7"/>
      <c r="D4" s="7"/>
      <c r="E4" s="50"/>
      <c r="F4" s="50"/>
      <c r="G4" s="171"/>
      <c r="H4" s="7"/>
      <c r="I4" s="50"/>
      <c r="J4" s="10"/>
      <c r="K4" s="50"/>
      <c r="L4" s="7"/>
      <c r="M4" s="50"/>
      <c r="N4" s="10"/>
      <c r="O4" s="50"/>
      <c r="P4" s="7"/>
      <c r="Q4" s="50"/>
      <c r="R4" s="7"/>
      <c r="S4" s="50"/>
    </row>
    <row r="5" spans="1:23" ht="24" customHeight="1" x14ac:dyDescent="0.3">
      <c r="A5" s="230"/>
      <c r="B5" s="3" t="s">
        <v>150</v>
      </c>
      <c r="C5" s="7"/>
      <c r="D5" s="7"/>
      <c r="E5" s="50"/>
      <c r="F5" s="50"/>
      <c r="G5" s="171"/>
      <c r="H5" s="7"/>
      <c r="I5" s="50"/>
      <c r="J5" s="10"/>
      <c r="K5" s="50"/>
      <c r="L5" s="7"/>
      <c r="M5" s="50"/>
      <c r="N5" s="10"/>
      <c r="O5" s="50"/>
      <c r="P5" s="7"/>
      <c r="Q5" s="50"/>
      <c r="R5" s="7"/>
      <c r="S5" s="50"/>
    </row>
    <row r="6" spans="1:23" ht="24" customHeight="1" x14ac:dyDescent="0.3">
      <c r="A6" s="230"/>
      <c r="B6" s="3" t="s">
        <v>149</v>
      </c>
      <c r="C6" s="7"/>
      <c r="D6" s="7"/>
      <c r="E6" s="50"/>
      <c r="F6" s="50"/>
      <c r="G6" s="171"/>
      <c r="H6" s="7"/>
      <c r="I6" s="50"/>
      <c r="J6" s="10"/>
      <c r="K6" s="50"/>
      <c r="L6" s="7"/>
      <c r="M6" s="50"/>
      <c r="N6" s="10"/>
      <c r="O6" s="50"/>
      <c r="P6" s="7"/>
      <c r="Q6" s="50"/>
      <c r="R6" s="7"/>
      <c r="S6" s="50"/>
    </row>
    <row r="7" spans="1:23" ht="24" customHeight="1" x14ac:dyDescent="0.3">
      <c r="A7" s="230"/>
      <c r="B7" s="3" t="s">
        <v>156</v>
      </c>
      <c r="C7" s="7"/>
      <c r="D7" s="7"/>
      <c r="E7" s="50"/>
      <c r="F7" s="50"/>
      <c r="G7" s="171"/>
      <c r="H7" s="7"/>
      <c r="I7" s="50"/>
      <c r="J7" s="10"/>
      <c r="K7" s="50">
        <v>1</v>
      </c>
      <c r="L7" s="7"/>
      <c r="M7" s="50"/>
      <c r="N7" s="10"/>
      <c r="O7" s="50"/>
      <c r="P7" s="7"/>
      <c r="Q7" s="50"/>
      <c r="R7" s="7"/>
      <c r="S7" s="50"/>
    </row>
    <row r="8" spans="1:23" ht="24" customHeight="1" x14ac:dyDescent="0.3">
      <c r="A8" s="230"/>
      <c r="B8" s="3" t="s">
        <v>148</v>
      </c>
      <c r="C8" s="77"/>
      <c r="D8" s="7"/>
      <c r="E8" s="50"/>
      <c r="F8" s="50"/>
      <c r="G8" s="63"/>
      <c r="H8" s="7"/>
      <c r="I8" s="50"/>
      <c r="J8" s="10"/>
      <c r="K8" s="50"/>
      <c r="L8" s="7"/>
      <c r="M8" s="50"/>
      <c r="N8" s="10"/>
      <c r="O8" s="50"/>
      <c r="P8" s="7"/>
      <c r="Q8" s="50"/>
      <c r="R8" s="7">
        <v>1</v>
      </c>
      <c r="S8" s="50"/>
    </row>
    <row r="9" spans="1:23" ht="24" customHeight="1" x14ac:dyDescent="0.3">
      <c r="A9" s="230"/>
      <c r="B9" s="3" t="s">
        <v>153</v>
      </c>
      <c r="C9" s="7"/>
      <c r="D9" s="7"/>
      <c r="E9" s="50"/>
      <c r="F9" s="50"/>
      <c r="G9" s="171"/>
      <c r="H9" s="7"/>
      <c r="I9" s="50"/>
      <c r="J9" s="10"/>
      <c r="K9" s="50"/>
      <c r="L9" s="7"/>
      <c r="M9" s="50">
        <v>1</v>
      </c>
      <c r="N9" s="10"/>
      <c r="O9" s="50"/>
      <c r="P9" s="7"/>
      <c r="Q9" s="50"/>
      <c r="R9" s="7"/>
      <c r="S9" s="50"/>
    </row>
    <row r="10" spans="1:23" ht="24" customHeight="1" x14ac:dyDescent="0.3">
      <c r="A10" s="230"/>
      <c r="B10" s="3" t="s">
        <v>158</v>
      </c>
      <c r="C10" s="7"/>
      <c r="D10" s="7"/>
      <c r="E10" s="50"/>
      <c r="F10" s="50"/>
      <c r="G10" s="171"/>
      <c r="H10" s="7"/>
      <c r="I10" s="50"/>
      <c r="J10" s="10"/>
      <c r="K10" s="50"/>
      <c r="L10" s="7"/>
      <c r="M10" s="50">
        <v>1</v>
      </c>
      <c r="N10" s="10"/>
      <c r="O10" s="50"/>
      <c r="P10" s="7"/>
      <c r="Q10" s="50"/>
      <c r="R10" s="7"/>
      <c r="S10" s="50"/>
    </row>
    <row r="11" spans="1:23" ht="24" customHeight="1" x14ac:dyDescent="0.3">
      <c r="A11" s="230"/>
      <c r="B11" s="3" t="s">
        <v>152</v>
      </c>
      <c r="C11" s="7"/>
      <c r="D11" s="7"/>
      <c r="E11" s="50"/>
      <c r="F11" s="50"/>
      <c r="G11" s="171"/>
      <c r="H11" s="7"/>
      <c r="I11" s="50"/>
      <c r="J11" s="10"/>
      <c r="K11" s="50"/>
      <c r="L11" s="7"/>
      <c r="M11" s="50"/>
      <c r="N11" s="10"/>
      <c r="O11" s="50"/>
      <c r="P11" s="7"/>
      <c r="Q11" s="50"/>
      <c r="R11" s="7"/>
      <c r="S11" s="50"/>
    </row>
    <row r="12" spans="1:23" ht="24" customHeight="1" x14ac:dyDescent="0.3">
      <c r="A12" s="230"/>
      <c r="B12" s="3" t="s">
        <v>161</v>
      </c>
      <c r="C12" s="7"/>
      <c r="D12" s="77"/>
      <c r="E12" s="76"/>
      <c r="F12" s="50"/>
      <c r="G12" s="80"/>
      <c r="H12" s="7"/>
      <c r="I12" s="76"/>
      <c r="J12" s="7"/>
      <c r="K12" s="50"/>
      <c r="L12" s="7"/>
      <c r="M12" s="50"/>
      <c r="N12" s="10"/>
      <c r="O12" s="50"/>
      <c r="P12" s="7"/>
      <c r="Q12" s="76"/>
      <c r="R12" s="10">
        <v>1</v>
      </c>
      <c r="S12" s="76"/>
    </row>
    <row r="13" spans="1:23" ht="24" customHeight="1" x14ac:dyDescent="0.3">
      <c r="A13" s="230"/>
      <c r="B13" s="3" t="s">
        <v>154</v>
      </c>
      <c r="C13" s="7"/>
      <c r="D13" s="7"/>
      <c r="E13" s="50"/>
      <c r="F13" s="50"/>
      <c r="G13" s="171"/>
      <c r="H13" s="7"/>
      <c r="I13" s="50"/>
      <c r="J13" s="10"/>
      <c r="K13" s="50"/>
      <c r="L13" s="7"/>
      <c r="M13" s="50"/>
      <c r="N13" s="10"/>
      <c r="O13" s="50"/>
      <c r="P13" s="7"/>
      <c r="Q13" s="50"/>
      <c r="R13" s="7"/>
      <c r="S13" s="50"/>
    </row>
    <row r="14" spans="1:23" ht="24" customHeight="1" x14ac:dyDescent="0.3">
      <c r="A14" s="230"/>
      <c r="B14" s="100" t="s">
        <v>164</v>
      </c>
      <c r="C14" s="7"/>
      <c r="D14" s="7"/>
      <c r="E14" s="50"/>
      <c r="F14" s="50"/>
      <c r="G14" s="171"/>
      <c r="H14" s="7"/>
      <c r="I14" s="50"/>
      <c r="J14" s="10"/>
      <c r="K14" s="50"/>
      <c r="L14" s="7"/>
      <c r="M14" s="50"/>
      <c r="N14" s="10"/>
      <c r="O14" s="50"/>
      <c r="P14" s="7"/>
      <c r="Q14" s="50"/>
      <c r="R14" s="7"/>
      <c r="S14" s="50"/>
    </row>
    <row r="15" spans="1:23" ht="24" customHeight="1" x14ac:dyDescent="0.3">
      <c r="A15" s="230"/>
      <c r="B15" s="3" t="s">
        <v>159</v>
      </c>
      <c r="C15" s="7"/>
      <c r="D15" s="7"/>
      <c r="E15" s="50"/>
      <c r="F15" s="50"/>
      <c r="G15" s="171"/>
      <c r="H15" s="7"/>
      <c r="I15" s="50"/>
      <c r="J15" s="10"/>
      <c r="K15" s="50"/>
      <c r="L15" s="7"/>
      <c r="M15" s="50"/>
      <c r="N15" s="10"/>
      <c r="O15" s="50"/>
      <c r="P15" s="7"/>
      <c r="Q15" s="50"/>
      <c r="R15" s="7"/>
      <c r="S15" s="50"/>
    </row>
    <row r="16" spans="1:23" ht="24" customHeight="1" x14ac:dyDescent="0.3">
      <c r="A16" s="230"/>
      <c r="B16" s="3" t="s">
        <v>147</v>
      </c>
      <c r="C16" s="7"/>
      <c r="D16" s="7"/>
      <c r="E16" s="50"/>
      <c r="F16" s="50"/>
      <c r="G16" s="171"/>
      <c r="H16" s="7"/>
      <c r="I16" s="50"/>
      <c r="J16" s="10"/>
      <c r="K16" s="50"/>
      <c r="L16" s="7"/>
      <c r="M16" s="50"/>
      <c r="N16" s="10"/>
      <c r="O16" s="50"/>
      <c r="P16" s="7"/>
      <c r="Q16" s="50"/>
      <c r="R16" s="7">
        <v>1</v>
      </c>
      <c r="S16" s="50"/>
    </row>
    <row r="17" spans="1:25" ht="24" customHeight="1" x14ac:dyDescent="0.3">
      <c r="A17" s="230"/>
      <c r="B17" s="3" t="s">
        <v>163</v>
      </c>
      <c r="C17" s="7"/>
      <c r="D17" s="7"/>
      <c r="E17" s="50"/>
      <c r="F17" s="50"/>
      <c r="G17" s="171"/>
      <c r="H17" s="7"/>
      <c r="I17" s="50"/>
      <c r="J17" s="10"/>
      <c r="K17" s="50"/>
      <c r="L17" s="7"/>
      <c r="M17" s="50"/>
      <c r="N17" s="10"/>
      <c r="O17" s="50"/>
      <c r="P17" s="7"/>
      <c r="Q17" s="50"/>
      <c r="R17" s="7"/>
      <c r="S17" s="50"/>
    </row>
    <row r="18" spans="1:25" ht="24" customHeight="1" x14ac:dyDescent="0.3">
      <c r="A18" s="230"/>
      <c r="B18" s="3" t="s">
        <v>162</v>
      </c>
      <c r="C18" s="7"/>
      <c r="D18" s="7"/>
      <c r="E18" s="50"/>
      <c r="F18" s="50"/>
      <c r="G18" s="171"/>
      <c r="H18" s="7"/>
      <c r="I18" s="50"/>
      <c r="J18" s="10"/>
      <c r="K18" s="50"/>
      <c r="L18" s="7"/>
      <c r="M18" s="50"/>
      <c r="N18" s="10"/>
      <c r="O18" s="50"/>
      <c r="P18" s="7"/>
      <c r="Q18" s="50"/>
      <c r="R18" s="7"/>
      <c r="S18" s="50"/>
    </row>
    <row r="19" spans="1:25" ht="24" customHeight="1" x14ac:dyDescent="0.3">
      <c r="A19" s="230"/>
      <c r="B19" s="3" t="s">
        <v>155</v>
      </c>
      <c r="C19" s="7"/>
      <c r="D19" s="7"/>
      <c r="E19" s="50"/>
      <c r="F19" s="50"/>
      <c r="G19" s="171"/>
      <c r="H19" s="7"/>
      <c r="I19" s="50"/>
      <c r="J19" s="10"/>
      <c r="K19" s="50"/>
      <c r="L19" s="7"/>
      <c r="M19" s="50"/>
      <c r="N19" s="10"/>
      <c r="O19" s="50"/>
      <c r="P19" s="7"/>
      <c r="Q19" s="50"/>
      <c r="R19" s="7"/>
      <c r="S19" s="50"/>
    </row>
    <row r="20" spans="1:25" ht="24" customHeight="1" x14ac:dyDescent="0.3">
      <c r="A20" s="230"/>
      <c r="B20" s="3" t="s">
        <v>157</v>
      </c>
      <c r="C20" s="7"/>
      <c r="D20" s="7"/>
      <c r="E20" s="50"/>
      <c r="F20" s="50"/>
      <c r="G20" s="171"/>
      <c r="H20" s="7"/>
      <c r="I20" s="50"/>
      <c r="J20" s="10"/>
      <c r="K20" s="50">
        <v>1</v>
      </c>
      <c r="L20" s="7"/>
      <c r="M20" s="50"/>
      <c r="N20" s="10"/>
      <c r="O20" s="50"/>
      <c r="P20" s="7"/>
      <c r="Q20" s="50"/>
      <c r="R20" s="7"/>
      <c r="S20" s="50"/>
    </row>
    <row r="21" spans="1:25" ht="24" customHeight="1" x14ac:dyDescent="0.3">
      <c r="A21" s="230"/>
      <c r="B21" s="3" t="s">
        <v>151</v>
      </c>
      <c r="C21" s="7"/>
      <c r="D21" s="7"/>
      <c r="E21" s="50"/>
      <c r="F21" s="50"/>
      <c r="G21" s="171"/>
      <c r="H21" s="7"/>
      <c r="I21" s="50"/>
      <c r="J21" s="10">
        <v>1</v>
      </c>
      <c r="K21" s="50"/>
      <c r="L21" s="7">
        <v>1</v>
      </c>
      <c r="M21" s="50"/>
      <c r="N21" s="10"/>
      <c r="O21" s="50"/>
      <c r="P21" s="7"/>
      <c r="Q21" s="50"/>
      <c r="R21" s="7"/>
      <c r="S21" s="50"/>
    </row>
    <row r="22" spans="1:25" ht="27" thickBot="1" x14ac:dyDescent="0.35">
      <c r="A22" s="231"/>
      <c r="B22" s="31"/>
      <c r="C22" s="31">
        <f>SUM(C4:C21)</f>
        <v>0</v>
      </c>
      <c r="D22" s="31">
        <f>SUM(D4:D21)</f>
        <v>0</v>
      </c>
      <c r="E22" s="31">
        <f>SUM(E4:E21)</f>
        <v>0</v>
      </c>
      <c r="F22" s="31">
        <f>SUM(F4:F21)</f>
        <v>0</v>
      </c>
      <c r="G22" s="171"/>
      <c r="H22" s="2">
        <f t="shared" ref="H22:S22" si="1">SUM(H4:H21)</f>
        <v>0</v>
      </c>
      <c r="I22" s="2">
        <f t="shared" si="1"/>
        <v>0</v>
      </c>
      <c r="J22" s="2">
        <f t="shared" si="1"/>
        <v>1</v>
      </c>
      <c r="K22" s="2">
        <f t="shared" si="1"/>
        <v>2</v>
      </c>
      <c r="L22" s="2">
        <f t="shared" si="1"/>
        <v>1</v>
      </c>
      <c r="M22" s="2">
        <f t="shared" si="1"/>
        <v>2</v>
      </c>
      <c r="N22" s="2">
        <f t="shared" si="1"/>
        <v>0</v>
      </c>
      <c r="O22" s="2">
        <f t="shared" si="1"/>
        <v>0</v>
      </c>
      <c r="P22" s="2">
        <f t="shared" si="1"/>
        <v>0</v>
      </c>
      <c r="Q22" s="2">
        <f t="shared" si="1"/>
        <v>0</v>
      </c>
      <c r="R22" s="2">
        <f t="shared" si="1"/>
        <v>3</v>
      </c>
      <c r="S22" s="2">
        <f t="shared" si="1"/>
        <v>0</v>
      </c>
      <c r="U22" s="35"/>
      <c r="V22" s="18"/>
      <c r="W22" s="18"/>
    </row>
    <row r="23" spans="1:25" ht="24" customHeight="1" thickTop="1" x14ac:dyDescent="0.3">
      <c r="A23" s="286" t="s">
        <v>27</v>
      </c>
      <c r="B23" s="23" t="s">
        <v>187</v>
      </c>
      <c r="C23" s="28"/>
      <c r="D23" s="28"/>
      <c r="E23" s="15"/>
      <c r="F23" s="16"/>
      <c r="G23" s="25"/>
      <c r="H23" s="43"/>
      <c r="I23" s="50"/>
      <c r="J23" s="10"/>
      <c r="K23" s="50"/>
      <c r="L23" s="7"/>
      <c r="M23" s="50"/>
      <c r="N23" s="7"/>
      <c r="O23" s="50"/>
      <c r="P23" s="7"/>
      <c r="Q23" s="50"/>
      <c r="R23" s="7"/>
      <c r="S23" s="50"/>
      <c r="U23" s="18"/>
      <c r="V23" s="18"/>
      <c r="W23" s="18"/>
      <c r="X23" s="18"/>
      <c r="Y23" s="18"/>
    </row>
    <row r="24" spans="1:25" ht="24" customHeight="1" x14ac:dyDescent="0.3">
      <c r="A24" s="287"/>
      <c r="B24" s="24" t="s">
        <v>188</v>
      </c>
      <c r="C24" s="32"/>
      <c r="D24" s="32"/>
      <c r="E24" s="54"/>
      <c r="F24" s="22"/>
      <c r="G24" s="25"/>
      <c r="H24" s="7"/>
      <c r="I24" s="50"/>
      <c r="J24" s="10"/>
      <c r="K24" s="50"/>
      <c r="L24" s="7"/>
      <c r="M24" s="50"/>
      <c r="N24" s="7"/>
      <c r="O24" s="50"/>
      <c r="P24" s="7"/>
      <c r="Q24" s="50"/>
      <c r="R24" s="7"/>
      <c r="S24" s="50"/>
      <c r="U24" s="18"/>
      <c r="V24" s="18"/>
      <c r="W24" s="18"/>
      <c r="X24" s="18"/>
      <c r="Y24" s="18"/>
    </row>
    <row r="25" spans="1:25" ht="24" customHeight="1" x14ac:dyDescent="0.3">
      <c r="A25" s="287"/>
      <c r="B25" s="24" t="s">
        <v>128</v>
      </c>
      <c r="C25" s="32"/>
      <c r="D25" s="32"/>
      <c r="E25" s="54"/>
      <c r="F25" s="22"/>
      <c r="G25" s="25"/>
      <c r="H25" s="43"/>
      <c r="I25" s="50"/>
      <c r="J25" s="10"/>
      <c r="K25" s="50"/>
      <c r="L25" s="7"/>
      <c r="M25" s="50"/>
      <c r="N25" s="7"/>
      <c r="O25" s="50"/>
      <c r="P25" s="7"/>
      <c r="Q25" s="50"/>
      <c r="R25" s="7"/>
      <c r="S25" s="50"/>
      <c r="U25" s="18"/>
      <c r="V25" s="18"/>
      <c r="W25" s="18"/>
      <c r="X25" s="18"/>
      <c r="Y25" s="18"/>
    </row>
    <row r="26" spans="1:25" ht="24" customHeight="1" x14ac:dyDescent="0.3">
      <c r="A26" s="287"/>
      <c r="B26" s="24" t="s">
        <v>127</v>
      </c>
      <c r="C26" s="32"/>
      <c r="D26" s="32"/>
      <c r="E26" s="54"/>
      <c r="F26" s="22"/>
      <c r="G26" s="25"/>
      <c r="H26" s="43"/>
      <c r="I26" s="50"/>
      <c r="J26" s="10"/>
      <c r="K26" s="50"/>
      <c r="L26" s="7"/>
      <c r="M26" s="50"/>
      <c r="N26" s="7"/>
      <c r="O26" s="50"/>
      <c r="P26" s="7"/>
      <c r="Q26" s="50"/>
      <c r="R26" s="7"/>
      <c r="S26" s="50"/>
      <c r="U26" s="18"/>
      <c r="V26" s="18"/>
      <c r="W26" s="18"/>
      <c r="X26" s="18"/>
      <c r="Y26" s="18"/>
    </row>
    <row r="27" spans="1:25" ht="24" customHeight="1" x14ac:dyDescent="0.3">
      <c r="A27" s="287"/>
      <c r="B27" s="24" t="s">
        <v>189</v>
      </c>
      <c r="C27" s="32"/>
      <c r="D27" s="32"/>
      <c r="E27" s="54"/>
      <c r="F27" s="22"/>
      <c r="G27" s="25"/>
      <c r="H27" s="10"/>
      <c r="I27" s="50"/>
      <c r="J27" s="10"/>
      <c r="K27" s="50"/>
      <c r="L27" s="7"/>
      <c r="M27" s="50"/>
      <c r="N27" s="7"/>
      <c r="O27" s="50"/>
      <c r="P27" s="7"/>
      <c r="Q27" s="50"/>
      <c r="R27" s="7"/>
      <c r="S27" s="50"/>
      <c r="U27" s="18"/>
      <c r="V27" s="18"/>
      <c r="W27" s="18"/>
      <c r="X27" s="18"/>
      <c r="Y27" s="18"/>
    </row>
    <row r="28" spans="1:25" ht="24" customHeight="1" x14ac:dyDescent="0.3">
      <c r="A28" s="287"/>
      <c r="B28" s="24" t="s">
        <v>140</v>
      </c>
      <c r="C28" s="32"/>
      <c r="D28" s="32"/>
      <c r="E28" s="54"/>
      <c r="F28" s="22"/>
      <c r="G28" s="25"/>
      <c r="H28" s="10"/>
      <c r="I28" s="50"/>
      <c r="J28" s="10"/>
      <c r="K28" s="50"/>
      <c r="L28" s="7"/>
      <c r="M28" s="50"/>
      <c r="N28" s="7"/>
      <c r="O28" s="50"/>
      <c r="P28" s="7"/>
      <c r="Q28" s="76"/>
      <c r="R28" s="7"/>
      <c r="S28" s="50"/>
      <c r="U28" s="18"/>
      <c r="V28" s="18"/>
      <c r="W28" s="18"/>
      <c r="X28" s="18"/>
      <c r="Y28" s="18"/>
    </row>
    <row r="29" spans="1:25" ht="24" customHeight="1" x14ac:dyDescent="0.3">
      <c r="A29" s="287"/>
      <c r="B29" s="24" t="s">
        <v>129</v>
      </c>
      <c r="C29" s="32"/>
      <c r="D29" s="32"/>
      <c r="E29" s="54"/>
      <c r="F29" s="22"/>
      <c r="G29" s="25"/>
      <c r="H29" s="43"/>
      <c r="I29" s="50"/>
      <c r="J29" s="10"/>
      <c r="K29" s="50"/>
      <c r="L29" s="7"/>
      <c r="M29" s="50"/>
      <c r="N29" s="7"/>
      <c r="O29" s="50"/>
      <c r="P29" s="7"/>
      <c r="Q29" s="50"/>
      <c r="R29" s="7"/>
      <c r="S29" s="50"/>
      <c r="U29" s="18"/>
      <c r="V29" s="18"/>
      <c r="W29" s="18"/>
      <c r="X29" s="18"/>
      <c r="Y29" s="18"/>
    </row>
    <row r="30" spans="1:25" ht="24" customHeight="1" x14ac:dyDescent="0.3">
      <c r="A30" s="287"/>
      <c r="B30" s="24" t="s">
        <v>145</v>
      </c>
      <c r="C30" s="32"/>
      <c r="D30" s="32"/>
      <c r="E30" s="54"/>
      <c r="F30" s="22"/>
      <c r="G30" s="25"/>
      <c r="H30" s="43"/>
      <c r="I30" s="50"/>
      <c r="J30" s="10"/>
      <c r="K30" s="50"/>
      <c r="L30" s="7">
        <v>1</v>
      </c>
      <c r="M30" s="50">
        <v>1</v>
      </c>
      <c r="N30" s="7"/>
      <c r="O30" s="50"/>
      <c r="P30" s="7"/>
      <c r="Q30" s="50"/>
      <c r="R30" s="7"/>
      <c r="S30" s="50"/>
      <c r="U30" s="18"/>
      <c r="V30" s="18"/>
      <c r="W30" s="18"/>
      <c r="X30" s="18"/>
      <c r="Y30" s="18"/>
    </row>
    <row r="31" spans="1:25" ht="24" customHeight="1" x14ac:dyDescent="0.3">
      <c r="A31" s="287"/>
      <c r="B31" s="24" t="s">
        <v>130</v>
      </c>
      <c r="C31" s="32"/>
      <c r="D31" s="32"/>
      <c r="E31" s="54"/>
      <c r="F31" s="22"/>
      <c r="G31" s="25"/>
      <c r="H31" s="43"/>
      <c r="I31" s="50"/>
      <c r="J31" s="10"/>
      <c r="K31" s="50"/>
      <c r="L31" s="7"/>
      <c r="M31" s="50"/>
      <c r="N31" s="7"/>
      <c r="O31" s="50"/>
      <c r="P31" s="7"/>
      <c r="Q31" s="50"/>
      <c r="R31" s="7"/>
      <c r="S31" s="50"/>
      <c r="U31" s="18"/>
      <c r="V31" s="18"/>
      <c r="W31" s="18"/>
      <c r="X31" s="18"/>
      <c r="Y31" s="18"/>
    </row>
    <row r="32" spans="1:25" ht="24" customHeight="1" x14ac:dyDescent="0.3">
      <c r="A32" s="287"/>
      <c r="B32" s="24" t="s">
        <v>131</v>
      </c>
      <c r="C32" s="32"/>
      <c r="D32" s="32"/>
      <c r="E32" s="54"/>
      <c r="F32" s="22"/>
      <c r="G32" s="25"/>
      <c r="H32" s="43"/>
      <c r="I32" s="50"/>
      <c r="J32" s="10"/>
      <c r="K32" s="50"/>
      <c r="L32" s="7"/>
      <c r="M32" s="50"/>
      <c r="N32" s="7"/>
      <c r="O32" s="50"/>
      <c r="P32" s="7"/>
      <c r="Q32" s="50"/>
      <c r="R32" s="7"/>
      <c r="S32" s="50"/>
      <c r="U32" s="18"/>
      <c r="V32" s="18"/>
      <c r="W32" s="18"/>
      <c r="X32" s="18"/>
      <c r="Y32" s="18"/>
    </row>
    <row r="33" spans="1:25" ht="24" customHeight="1" x14ac:dyDescent="0.3">
      <c r="A33" s="287"/>
      <c r="B33" s="24" t="s">
        <v>132</v>
      </c>
      <c r="C33" s="32"/>
      <c r="D33" s="32"/>
      <c r="E33" s="54"/>
      <c r="F33" s="22"/>
      <c r="G33" s="25"/>
      <c r="H33" s="43"/>
      <c r="I33" s="50"/>
      <c r="J33" s="10"/>
      <c r="K33" s="50"/>
      <c r="L33" s="7">
        <v>1</v>
      </c>
      <c r="M33" s="50"/>
      <c r="N33" s="7"/>
      <c r="O33" s="50"/>
      <c r="P33" s="7"/>
      <c r="Q33" s="50"/>
      <c r="R33" s="7"/>
      <c r="S33" s="50"/>
      <c r="U33" s="18"/>
      <c r="V33" s="18"/>
      <c r="W33" s="18"/>
      <c r="X33" s="18"/>
      <c r="Y33" s="18"/>
    </row>
    <row r="34" spans="1:25" ht="24" customHeight="1" x14ac:dyDescent="0.3">
      <c r="A34" s="287"/>
      <c r="B34" s="24" t="s">
        <v>133</v>
      </c>
      <c r="C34" s="32"/>
      <c r="D34" s="32"/>
      <c r="E34" s="54"/>
      <c r="F34" s="22"/>
      <c r="G34" s="25"/>
      <c r="H34" s="7"/>
      <c r="I34" s="50"/>
      <c r="J34" s="10"/>
      <c r="K34" s="50"/>
      <c r="L34" s="7"/>
      <c r="M34" s="50"/>
      <c r="N34" s="7"/>
      <c r="O34" s="50"/>
      <c r="P34" s="7"/>
      <c r="Q34" s="50"/>
      <c r="R34" s="7"/>
      <c r="S34" s="50"/>
      <c r="U34" s="18"/>
      <c r="V34" s="18"/>
      <c r="W34" s="18"/>
      <c r="X34" s="18"/>
      <c r="Y34" s="18"/>
    </row>
    <row r="35" spans="1:25" ht="24" customHeight="1" x14ac:dyDescent="0.3">
      <c r="A35" s="287"/>
      <c r="B35" s="24" t="s">
        <v>135</v>
      </c>
      <c r="C35" s="32"/>
      <c r="D35" s="32"/>
      <c r="E35" s="54"/>
      <c r="F35" s="22"/>
      <c r="G35" s="25"/>
      <c r="H35" s="7"/>
      <c r="I35" s="50"/>
      <c r="J35" s="10"/>
      <c r="K35" s="50"/>
      <c r="L35" s="7"/>
      <c r="M35" s="50"/>
      <c r="N35" s="7"/>
      <c r="O35" s="50"/>
      <c r="P35" s="7"/>
      <c r="Q35" s="50"/>
      <c r="R35" s="7"/>
      <c r="S35" s="50"/>
      <c r="U35" s="18"/>
      <c r="V35" s="18"/>
      <c r="W35" s="18"/>
      <c r="X35" s="18"/>
      <c r="Y35" s="18"/>
    </row>
    <row r="36" spans="1:25" ht="24" customHeight="1" x14ac:dyDescent="0.3">
      <c r="A36" s="287"/>
      <c r="B36" s="24" t="s">
        <v>141</v>
      </c>
      <c r="C36" s="32"/>
      <c r="D36" s="56"/>
      <c r="E36" s="54"/>
      <c r="F36" s="22"/>
      <c r="G36" s="25"/>
      <c r="H36" s="43"/>
      <c r="I36" s="50"/>
      <c r="J36" s="10"/>
      <c r="K36" s="50"/>
      <c r="L36" s="7"/>
      <c r="M36" s="50"/>
      <c r="N36" s="7"/>
      <c r="O36" s="50"/>
      <c r="P36" s="7"/>
      <c r="Q36" s="76"/>
      <c r="R36" s="7"/>
      <c r="S36" s="50"/>
      <c r="U36" s="18"/>
      <c r="V36" s="18"/>
      <c r="W36" s="18"/>
      <c r="X36" s="18"/>
      <c r="Y36" s="18"/>
    </row>
    <row r="37" spans="1:25" ht="24" customHeight="1" x14ac:dyDescent="0.3">
      <c r="A37" s="287"/>
      <c r="B37" s="24" t="s">
        <v>142</v>
      </c>
      <c r="C37" s="32"/>
      <c r="D37" s="32"/>
      <c r="E37" s="54"/>
      <c r="F37" s="22"/>
      <c r="G37" s="25"/>
      <c r="H37" s="43"/>
      <c r="I37" s="50"/>
      <c r="J37" s="10"/>
      <c r="K37" s="50"/>
      <c r="L37" s="7"/>
      <c r="M37" s="50"/>
      <c r="N37" s="7"/>
      <c r="O37" s="50"/>
      <c r="P37" s="7"/>
      <c r="Q37" s="50"/>
      <c r="R37" s="7"/>
      <c r="S37" s="50"/>
      <c r="U37" s="18"/>
      <c r="V37" s="18"/>
      <c r="W37" s="18"/>
      <c r="X37" s="18"/>
      <c r="Y37" s="18"/>
    </row>
    <row r="38" spans="1:25" ht="24" customHeight="1" x14ac:dyDescent="0.3">
      <c r="A38" s="287"/>
      <c r="B38" s="24" t="s">
        <v>144</v>
      </c>
      <c r="C38" s="32"/>
      <c r="D38" s="32"/>
      <c r="E38" s="101"/>
      <c r="F38" s="22"/>
      <c r="G38" s="25"/>
      <c r="H38" s="43"/>
      <c r="I38" s="50"/>
      <c r="J38" s="10"/>
      <c r="K38" s="50"/>
      <c r="L38" s="7"/>
      <c r="M38" s="50"/>
      <c r="N38" s="7"/>
      <c r="O38" s="50"/>
      <c r="P38" s="7"/>
      <c r="Q38" s="50"/>
      <c r="R38" s="7"/>
      <c r="S38" s="50"/>
      <c r="U38" s="18"/>
      <c r="V38" s="18"/>
      <c r="W38" s="18"/>
      <c r="X38" s="18"/>
      <c r="Y38" s="18"/>
    </row>
    <row r="39" spans="1:25" ht="24" customHeight="1" x14ac:dyDescent="0.3">
      <c r="A39" s="287"/>
      <c r="B39" s="24" t="s">
        <v>146</v>
      </c>
      <c r="C39" s="32"/>
      <c r="D39" s="32"/>
      <c r="E39" s="54"/>
      <c r="F39" s="22"/>
      <c r="G39" s="25"/>
      <c r="H39" s="43"/>
      <c r="I39" s="50"/>
      <c r="J39" s="10"/>
      <c r="K39" s="50"/>
      <c r="L39" s="7"/>
      <c r="M39" s="50"/>
      <c r="N39" s="7"/>
      <c r="O39" s="50"/>
      <c r="P39" s="7"/>
      <c r="Q39" s="50"/>
      <c r="R39" s="7"/>
      <c r="S39" s="50"/>
      <c r="U39" s="18"/>
      <c r="V39" s="18"/>
      <c r="W39" s="18"/>
      <c r="X39" s="18"/>
      <c r="Y39" s="18"/>
    </row>
    <row r="40" spans="1:25" ht="24" customHeight="1" x14ac:dyDescent="0.3">
      <c r="A40" s="287"/>
      <c r="B40" s="24" t="s">
        <v>136</v>
      </c>
      <c r="C40" s="32"/>
      <c r="D40" s="32"/>
      <c r="E40" s="54"/>
      <c r="F40" s="22"/>
      <c r="G40" s="25"/>
      <c r="H40" s="43"/>
      <c r="I40" s="50"/>
      <c r="J40" s="10"/>
      <c r="K40" s="50"/>
      <c r="L40" s="7"/>
      <c r="M40" s="50"/>
      <c r="N40" s="7"/>
      <c r="O40" s="50"/>
      <c r="P40" s="7"/>
      <c r="Q40" s="50"/>
      <c r="R40" s="7"/>
      <c r="S40" s="50"/>
      <c r="U40" s="18"/>
      <c r="V40" s="18"/>
      <c r="W40" s="18"/>
      <c r="X40" s="18"/>
      <c r="Y40" s="18"/>
    </row>
    <row r="41" spans="1:25" ht="24" customHeight="1" x14ac:dyDescent="0.3">
      <c r="A41" s="287"/>
      <c r="B41" s="24" t="s">
        <v>139</v>
      </c>
      <c r="C41" s="32"/>
      <c r="D41" s="32"/>
      <c r="E41" s="54"/>
      <c r="F41" s="22"/>
      <c r="G41" s="25"/>
      <c r="H41" s="10"/>
      <c r="I41" s="50"/>
      <c r="J41" s="10"/>
      <c r="K41" s="50"/>
      <c r="L41" s="7"/>
      <c r="M41" s="50"/>
      <c r="N41" s="7"/>
      <c r="O41" s="50"/>
      <c r="P41" s="7"/>
      <c r="Q41" s="50"/>
      <c r="R41" s="7"/>
      <c r="S41" s="50"/>
      <c r="U41" s="18"/>
      <c r="V41" s="18"/>
      <c r="W41" s="18"/>
      <c r="X41" s="18"/>
      <c r="Y41" s="18"/>
    </row>
    <row r="42" spans="1:25" ht="24" customHeight="1" x14ac:dyDescent="0.3">
      <c r="A42" s="287"/>
      <c r="B42" s="24" t="s">
        <v>137</v>
      </c>
      <c r="C42" s="32"/>
      <c r="D42" s="32"/>
      <c r="E42" s="54"/>
      <c r="F42" s="22"/>
      <c r="G42" s="25"/>
      <c r="H42" s="7"/>
      <c r="I42" s="50"/>
      <c r="J42" s="10"/>
      <c r="K42" s="50"/>
      <c r="L42" s="7"/>
      <c r="M42" s="50"/>
      <c r="N42" s="7"/>
      <c r="O42" s="50"/>
      <c r="P42" s="7"/>
      <c r="Q42" s="50"/>
      <c r="R42" s="7"/>
      <c r="S42" s="50"/>
      <c r="U42" s="18"/>
      <c r="V42" s="18"/>
      <c r="W42" s="18"/>
      <c r="X42" s="18"/>
      <c r="Y42" s="18"/>
    </row>
    <row r="43" spans="1:25" ht="27" thickBot="1" x14ac:dyDescent="0.35">
      <c r="A43" s="288"/>
      <c r="B43" s="26"/>
      <c r="C43" s="27">
        <f>SUM(C23:C42)</f>
        <v>0</v>
      </c>
      <c r="D43" s="27">
        <f>SUM(D23:D42)</f>
        <v>0</v>
      </c>
      <c r="E43" s="27">
        <f>SUM(E23:E42)</f>
        <v>0</v>
      </c>
      <c r="F43" s="27">
        <f>SUM(F23:F42)</f>
        <v>0</v>
      </c>
      <c r="G43" s="171"/>
      <c r="H43" s="2">
        <f t="shared" ref="H43:S43" si="2">SUM(H23:H42)</f>
        <v>0</v>
      </c>
      <c r="I43" s="2">
        <f t="shared" si="2"/>
        <v>0</v>
      </c>
      <c r="J43" s="2">
        <f t="shared" si="2"/>
        <v>0</v>
      </c>
      <c r="K43" s="2">
        <f t="shared" si="2"/>
        <v>0</v>
      </c>
      <c r="L43" s="2">
        <f t="shared" si="2"/>
        <v>2</v>
      </c>
      <c r="M43" s="2">
        <f t="shared" si="2"/>
        <v>1</v>
      </c>
      <c r="N43" s="2">
        <f t="shared" si="2"/>
        <v>0</v>
      </c>
      <c r="O43" s="2">
        <f t="shared" si="2"/>
        <v>0</v>
      </c>
      <c r="P43" s="2">
        <f t="shared" si="2"/>
        <v>0</v>
      </c>
      <c r="Q43" s="2">
        <f t="shared" si="2"/>
        <v>0</v>
      </c>
      <c r="R43" s="2">
        <f t="shared" si="2"/>
        <v>0</v>
      </c>
      <c r="S43" s="2">
        <f t="shared" si="2"/>
        <v>0</v>
      </c>
    </row>
    <row r="44" spans="1:25" ht="24" customHeight="1" thickTop="1" x14ac:dyDescent="0.3">
      <c r="A44" s="252" t="s">
        <v>13</v>
      </c>
      <c r="B44" s="3" t="s">
        <v>28</v>
      </c>
      <c r="C44" s="7"/>
      <c r="D44" s="7"/>
      <c r="E44" s="50"/>
      <c r="F44" s="50"/>
      <c r="G44" s="171"/>
      <c r="H44" s="7"/>
      <c r="I44" s="50"/>
      <c r="J44" s="10"/>
      <c r="K44" s="50"/>
      <c r="L44" s="7"/>
      <c r="M44" s="50"/>
      <c r="N44" s="7"/>
      <c r="O44" s="50"/>
      <c r="P44" s="7"/>
      <c r="Q44" s="50"/>
      <c r="R44" s="7"/>
      <c r="S44" s="50"/>
    </row>
    <row r="45" spans="1:25" ht="24" customHeight="1" x14ac:dyDescent="0.3">
      <c r="A45" s="252"/>
      <c r="B45" s="3" t="s">
        <v>29</v>
      </c>
      <c r="C45" s="77"/>
      <c r="D45" s="7"/>
      <c r="E45" s="50">
        <v>2</v>
      </c>
      <c r="F45" s="50"/>
      <c r="G45" s="171"/>
      <c r="H45" s="7"/>
      <c r="I45" s="50"/>
      <c r="J45" s="10"/>
      <c r="K45" s="50"/>
      <c r="L45" s="7"/>
      <c r="M45" s="50"/>
      <c r="N45" s="7"/>
      <c r="O45" s="50"/>
      <c r="P45" s="7"/>
      <c r="Q45" s="50"/>
      <c r="R45" s="7"/>
      <c r="S45" s="50"/>
    </row>
    <row r="46" spans="1:25" ht="24" customHeight="1" x14ac:dyDescent="0.3">
      <c r="A46" s="252"/>
      <c r="B46" s="3" t="s">
        <v>125</v>
      </c>
      <c r="C46" s="7"/>
      <c r="D46" s="7"/>
      <c r="E46" s="50"/>
      <c r="F46" s="50"/>
      <c r="G46" s="171"/>
      <c r="H46" s="7"/>
      <c r="I46" s="50"/>
      <c r="J46" s="10"/>
      <c r="K46" s="50"/>
      <c r="L46" s="7"/>
      <c r="M46" s="50"/>
      <c r="N46" s="7"/>
      <c r="O46" s="50"/>
      <c r="P46" s="7"/>
      <c r="Q46" s="50"/>
      <c r="R46" s="7"/>
      <c r="S46" s="50"/>
    </row>
    <row r="47" spans="1:25" ht="24" customHeight="1" x14ac:dyDescent="0.3">
      <c r="A47" s="252"/>
      <c r="B47" s="3" t="s">
        <v>121</v>
      </c>
      <c r="C47" s="7">
        <v>4</v>
      </c>
      <c r="D47" s="7"/>
      <c r="E47" s="50"/>
      <c r="F47" s="50"/>
      <c r="G47" s="171"/>
      <c r="H47" s="7"/>
      <c r="I47" s="50"/>
      <c r="J47" s="10"/>
      <c r="K47" s="50">
        <v>1</v>
      </c>
      <c r="L47" s="7"/>
      <c r="M47" s="50"/>
      <c r="N47" s="7"/>
      <c r="O47" s="50"/>
      <c r="P47" s="7"/>
      <c r="Q47" s="50"/>
      <c r="R47" s="7">
        <v>1</v>
      </c>
      <c r="S47" s="50"/>
    </row>
    <row r="48" spans="1:25" ht="24" customHeight="1" x14ac:dyDescent="0.3">
      <c r="A48" s="252"/>
      <c r="B48" s="3" t="s">
        <v>122</v>
      </c>
      <c r="C48" s="7"/>
      <c r="D48" s="7"/>
      <c r="E48" s="50"/>
      <c r="F48" s="50"/>
      <c r="G48" s="171"/>
      <c r="H48" s="7"/>
      <c r="I48" s="50"/>
      <c r="J48" s="10"/>
      <c r="K48" s="50"/>
      <c r="L48" s="7"/>
      <c r="M48" s="50"/>
      <c r="N48" s="7"/>
      <c r="O48" s="50"/>
      <c r="P48" s="7"/>
      <c r="Q48" s="50"/>
      <c r="R48" s="7"/>
      <c r="S48" s="50"/>
    </row>
    <row r="49" spans="1:37" ht="24" customHeight="1" x14ac:dyDescent="0.3">
      <c r="A49" s="252"/>
      <c r="B49" s="3" t="s">
        <v>123</v>
      </c>
      <c r="C49" s="7"/>
      <c r="D49" s="7"/>
      <c r="E49" s="50"/>
      <c r="F49" s="50"/>
      <c r="G49" s="171"/>
      <c r="H49" s="7"/>
      <c r="I49" s="50"/>
      <c r="J49" s="10"/>
      <c r="K49" s="50"/>
      <c r="L49" s="7"/>
      <c r="M49" s="50"/>
      <c r="N49" s="7"/>
      <c r="O49" s="50"/>
      <c r="P49" s="7"/>
      <c r="Q49" s="50"/>
      <c r="R49" s="7"/>
      <c r="S49" s="50"/>
    </row>
    <row r="50" spans="1:37" ht="24" customHeight="1" x14ac:dyDescent="0.3">
      <c r="A50" s="252"/>
      <c r="B50" s="100" t="s">
        <v>126</v>
      </c>
      <c r="C50" s="7"/>
      <c r="D50" s="7"/>
      <c r="E50" s="50"/>
      <c r="F50" s="50"/>
      <c r="G50" s="171"/>
      <c r="H50" s="7"/>
      <c r="I50" s="50"/>
      <c r="J50" s="10"/>
      <c r="K50" s="50"/>
      <c r="L50" s="7"/>
      <c r="M50" s="50"/>
      <c r="N50" s="7"/>
      <c r="O50" s="50"/>
      <c r="P50" s="7"/>
      <c r="Q50" s="50"/>
      <c r="R50" s="7"/>
      <c r="S50" s="50"/>
    </row>
    <row r="51" spans="1:37" ht="24" customHeight="1" x14ac:dyDescent="0.3">
      <c r="A51" s="252"/>
      <c r="B51" s="100" t="s">
        <v>124</v>
      </c>
      <c r="C51" s="7"/>
      <c r="D51" s="7"/>
      <c r="E51" s="50"/>
      <c r="F51" s="50"/>
      <c r="G51" s="171"/>
      <c r="H51" s="7"/>
      <c r="I51" s="50"/>
      <c r="J51" s="10"/>
      <c r="K51" s="50"/>
      <c r="L51" s="7"/>
      <c r="M51" s="50"/>
      <c r="N51" s="7"/>
      <c r="O51" s="50"/>
      <c r="P51" s="7"/>
      <c r="Q51" s="50"/>
      <c r="R51" s="7"/>
      <c r="S51" s="50"/>
    </row>
    <row r="52" spans="1:37" ht="26.25" x14ac:dyDescent="0.3">
      <c r="A52" s="279"/>
      <c r="B52" s="122"/>
      <c r="C52" s="123">
        <f>SUM(C44:C51)</f>
        <v>4</v>
      </c>
      <c r="D52" s="123">
        <f>SUM(D44:D51)</f>
        <v>0</v>
      </c>
      <c r="E52" s="123">
        <f>SUM(E44:E51)</f>
        <v>2</v>
      </c>
      <c r="F52" s="123">
        <f>SUM(F44:F51)</f>
        <v>0</v>
      </c>
      <c r="G52" s="171"/>
      <c r="H52" s="2">
        <f t="shared" ref="H52:S52" si="3">SUM(H44:H51)</f>
        <v>0</v>
      </c>
      <c r="I52" s="123">
        <f t="shared" si="3"/>
        <v>0</v>
      </c>
      <c r="J52" s="123">
        <f t="shared" si="3"/>
        <v>0</v>
      </c>
      <c r="K52" s="123">
        <f t="shared" si="3"/>
        <v>1</v>
      </c>
      <c r="L52" s="123">
        <f t="shared" si="3"/>
        <v>0</v>
      </c>
      <c r="M52" s="123">
        <f t="shared" si="3"/>
        <v>0</v>
      </c>
      <c r="N52" s="123">
        <f t="shared" si="3"/>
        <v>0</v>
      </c>
      <c r="O52" s="123">
        <f t="shared" si="3"/>
        <v>0</v>
      </c>
      <c r="P52" s="123">
        <f t="shared" si="3"/>
        <v>0</v>
      </c>
      <c r="Q52" s="123">
        <f t="shared" si="3"/>
        <v>0</v>
      </c>
      <c r="R52" s="123">
        <f t="shared" si="3"/>
        <v>1</v>
      </c>
      <c r="S52" s="123">
        <f t="shared" si="3"/>
        <v>0</v>
      </c>
      <c r="Y52" s="254"/>
      <c r="Z52" s="254"/>
      <c r="AA52" s="254"/>
      <c r="AB52" s="254"/>
      <c r="AD52" s="234"/>
      <c r="AE52" s="234"/>
      <c r="AF52" s="234"/>
      <c r="AG52" s="234"/>
      <c r="AH52" s="234"/>
      <c r="AJ52" s="234"/>
      <c r="AK52" s="234"/>
    </row>
    <row r="53" spans="1:37" ht="24" customHeight="1" x14ac:dyDescent="0.3">
      <c r="A53" s="253" t="s">
        <v>118</v>
      </c>
      <c r="B53" s="3" t="s">
        <v>171</v>
      </c>
      <c r="C53" s="7"/>
      <c r="D53" s="7"/>
      <c r="E53" s="50"/>
      <c r="F53" s="50">
        <v>2</v>
      </c>
      <c r="G53" s="171"/>
      <c r="H53" s="7"/>
      <c r="I53" s="50"/>
      <c r="J53" s="10"/>
      <c r="K53" s="50"/>
      <c r="L53" s="7"/>
      <c r="M53" s="50"/>
      <c r="N53" s="7"/>
      <c r="O53" s="50"/>
      <c r="P53" s="7"/>
      <c r="Q53" s="50"/>
      <c r="R53" s="7"/>
      <c r="S53" s="50"/>
    </row>
    <row r="54" spans="1:37" ht="24" customHeight="1" x14ac:dyDescent="0.3">
      <c r="A54" s="253"/>
      <c r="B54" s="3" t="s">
        <v>168</v>
      </c>
      <c r="C54" s="7"/>
      <c r="D54" s="7"/>
      <c r="E54" s="50"/>
      <c r="F54" s="50">
        <v>5</v>
      </c>
      <c r="G54" s="171"/>
      <c r="H54" s="7"/>
      <c r="I54" s="50"/>
      <c r="J54" s="10"/>
      <c r="K54" s="50"/>
      <c r="L54" s="7">
        <v>1</v>
      </c>
      <c r="M54" s="50"/>
      <c r="N54" s="7"/>
      <c r="O54" s="50"/>
      <c r="P54" s="7"/>
      <c r="Q54" s="50"/>
      <c r="R54" s="7"/>
      <c r="S54" s="50"/>
    </row>
    <row r="55" spans="1:37" ht="24" customHeight="1" x14ac:dyDescent="0.3">
      <c r="A55" s="253"/>
      <c r="B55" s="3" t="s">
        <v>170</v>
      </c>
      <c r="C55" s="7"/>
      <c r="D55" s="7"/>
      <c r="E55" s="50"/>
      <c r="F55" s="50"/>
      <c r="G55" s="171"/>
      <c r="H55" s="7"/>
      <c r="I55" s="50"/>
      <c r="J55" s="10"/>
      <c r="L55" s="7"/>
      <c r="M55" s="50"/>
      <c r="N55" s="7"/>
      <c r="O55" s="50"/>
      <c r="P55" s="7"/>
      <c r="Q55" s="50"/>
      <c r="R55" s="7"/>
      <c r="S55" s="50"/>
    </row>
    <row r="56" spans="1:37" ht="24" customHeight="1" x14ac:dyDescent="0.3">
      <c r="A56" s="253"/>
      <c r="B56" s="100" t="s">
        <v>166</v>
      </c>
      <c r="C56" s="7"/>
      <c r="D56" s="7"/>
      <c r="E56" s="50"/>
      <c r="F56" s="50"/>
      <c r="G56" s="171"/>
      <c r="H56" s="7"/>
      <c r="I56" s="50"/>
      <c r="J56" s="10"/>
      <c r="K56" s="50"/>
      <c r="L56" s="7"/>
      <c r="M56" s="50">
        <v>2</v>
      </c>
      <c r="N56" s="7"/>
      <c r="O56" s="50"/>
      <c r="P56" s="7"/>
      <c r="Q56" s="50">
        <v>2</v>
      </c>
      <c r="R56" s="7"/>
      <c r="S56" s="50"/>
    </row>
    <row r="57" spans="1:37" ht="24" customHeight="1" x14ac:dyDescent="0.3">
      <c r="A57" s="253"/>
      <c r="B57" s="100" t="s">
        <v>167</v>
      </c>
      <c r="C57" s="7">
        <v>8</v>
      </c>
      <c r="D57" s="7"/>
      <c r="E57" s="50">
        <v>2</v>
      </c>
      <c r="F57" s="50"/>
      <c r="G57" s="171"/>
      <c r="H57" s="7"/>
      <c r="I57" s="50"/>
      <c r="J57" s="10"/>
      <c r="K57" s="50"/>
      <c r="L57" s="7"/>
      <c r="M57" s="50">
        <v>1</v>
      </c>
      <c r="N57" s="7"/>
      <c r="O57" s="50"/>
      <c r="P57" s="7"/>
      <c r="Q57" s="50"/>
      <c r="R57" s="7">
        <v>1</v>
      </c>
      <c r="S57" s="50"/>
    </row>
    <row r="58" spans="1:37" ht="24" customHeight="1" x14ac:dyDescent="0.3">
      <c r="A58" s="253"/>
      <c r="B58" s="100" t="s">
        <v>172</v>
      </c>
      <c r="C58" s="7"/>
      <c r="D58" s="7"/>
      <c r="E58" s="50"/>
      <c r="F58" s="50"/>
      <c r="G58" s="171"/>
      <c r="H58" s="7"/>
      <c r="I58" s="50"/>
      <c r="J58" s="10"/>
      <c r="K58" s="50"/>
      <c r="L58" s="7"/>
      <c r="M58" s="50">
        <v>1</v>
      </c>
      <c r="N58" s="7"/>
      <c r="O58" s="50"/>
      <c r="P58" s="7"/>
      <c r="Q58" s="50"/>
      <c r="R58" s="7"/>
      <c r="S58" s="50"/>
    </row>
    <row r="59" spans="1:37" ht="24" customHeight="1" x14ac:dyDescent="0.3">
      <c r="A59" s="253"/>
      <c r="B59" s="100" t="s">
        <v>165</v>
      </c>
      <c r="C59" s="7"/>
      <c r="D59" s="7"/>
      <c r="E59" s="50"/>
      <c r="F59" s="50"/>
      <c r="G59" s="171"/>
      <c r="H59" s="7"/>
      <c r="I59" s="50"/>
      <c r="J59" s="10"/>
      <c r="K59" s="50"/>
      <c r="L59" s="7"/>
      <c r="M59" s="50"/>
      <c r="N59" s="7"/>
      <c r="O59" s="50"/>
      <c r="P59" s="7"/>
      <c r="Q59" s="50"/>
      <c r="R59" s="7"/>
      <c r="S59" s="50"/>
    </row>
    <row r="60" spans="1:37" ht="24" customHeight="1" x14ac:dyDescent="0.3">
      <c r="A60" s="253"/>
      <c r="B60" s="3" t="s">
        <v>173</v>
      </c>
      <c r="C60" s="7">
        <v>2</v>
      </c>
      <c r="D60" s="7"/>
      <c r="E60" s="50"/>
      <c r="F60" s="50">
        <v>1</v>
      </c>
      <c r="G60" s="171"/>
      <c r="H60" s="7"/>
      <c r="I60" s="50"/>
      <c r="J60" s="10"/>
      <c r="K60" s="50"/>
      <c r="L60" s="7">
        <v>1</v>
      </c>
      <c r="M60" s="50"/>
      <c r="N60" s="7"/>
      <c r="O60" s="50"/>
      <c r="P60" s="7"/>
      <c r="Q60" s="50"/>
      <c r="R60" s="7"/>
      <c r="S60" s="50"/>
    </row>
    <row r="61" spans="1:37" ht="24" customHeight="1" x14ac:dyDescent="0.3">
      <c r="A61" s="253"/>
      <c r="B61" s="3" t="s">
        <v>169</v>
      </c>
      <c r="C61" s="7"/>
      <c r="D61" s="7"/>
      <c r="E61" s="50"/>
      <c r="F61" s="50"/>
      <c r="G61" s="171"/>
      <c r="H61" s="7"/>
      <c r="I61" s="50"/>
      <c r="J61" s="10"/>
      <c r="K61" s="50"/>
      <c r="L61" s="7">
        <v>1</v>
      </c>
      <c r="M61" s="50"/>
      <c r="N61" s="7"/>
      <c r="O61" s="50"/>
      <c r="P61" s="7"/>
      <c r="Q61" s="50"/>
      <c r="R61" s="7"/>
      <c r="S61" s="50"/>
    </row>
    <row r="62" spans="1:37" ht="26.25" x14ac:dyDescent="0.3">
      <c r="A62" s="253"/>
      <c r="B62" s="2"/>
      <c r="C62" s="2">
        <f>SUM(C53:C61)</f>
        <v>10</v>
      </c>
      <c r="D62" s="2">
        <f>SUM(D53:D61)</f>
        <v>0</v>
      </c>
      <c r="E62" s="2">
        <f>SUM(E53:E61)</f>
        <v>2</v>
      </c>
      <c r="F62" s="2">
        <f>SUM(F53:F61)</f>
        <v>8</v>
      </c>
      <c r="G62" s="171"/>
      <c r="H62" s="2">
        <f t="shared" ref="H62:S62" si="4">SUM(H53:H61)</f>
        <v>0</v>
      </c>
      <c r="I62" s="2">
        <f t="shared" si="4"/>
        <v>0</v>
      </c>
      <c r="J62" s="2">
        <f t="shared" si="4"/>
        <v>0</v>
      </c>
      <c r="K62" s="2">
        <f t="shared" si="4"/>
        <v>0</v>
      </c>
      <c r="L62" s="2">
        <f t="shared" si="4"/>
        <v>3</v>
      </c>
      <c r="M62" s="2">
        <f t="shared" si="4"/>
        <v>4</v>
      </c>
      <c r="N62" s="2">
        <f t="shared" si="4"/>
        <v>0</v>
      </c>
      <c r="O62" s="2">
        <f t="shared" si="4"/>
        <v>0</v>
      </c>
      <c r="P62" s="2">
        <f t="shared" si="4"/>
        <v>0</v>
      </c>
      <c r="Q62" s="2">
        <f t="shared" si="4"/>
        <v>2</v>
      </c>
      <c r="R62" s="2">
        <f t="shared" si="4"/>
        <v>1</v>
      </c>
      <c r="S62" s="2">
        <f t="shared" si="4"/>
        <v>0</v>
      </c>
      <c r="Y62" s="254"/>
      <c r="Z62" s="254"/>
      <c r="AA62" s="254"/>
      <c r="AB62" s="254"/>
      <c r="AD62" s="234"/>
      <c r="AE62" s="234"/>
      <c r="AF62" s="234"/>
      <c r="AG62" s="234"/>
      <c r="AH62" s="234"/>
      <c r="AJ62" s="234"/>
      <c r="AK62" s="234"/>
    </row>
    <row r="64" spans="1:37" ht="19.5" customHeight="1" x14ac:dyDescent="0.35">
      <c r="A64" s="235" t="s">
        <v>23</v>
      </c>
      <c r="B64" s="235"/>
      <c r="C64" s="126">
        <v>47000</v>
      </c>
      <c r="D64" s="126">
        <v>4700</v>
      </c>
      <c r="E64" s="126">
        <v>58000</v>
      </c>
      <c r="F64" s="126">
        <v>5800</v>
      </c>
      <c r="H64" s="126">
        <v>5800</v>
      </c>
      <c r="I64" s="126">
        <v>4700</v>
      </c>
      <c r="J64" s="20">
        <v>6800</v>
      </c>
      <c r="K64" s="20">
        <v>5200</v>
      </c>
      <c r="L64" s="20">
        <v>20700</v>
      </c>
      <c r="M64" s="20">
        <v>6400</v>
      </c>
      <c r="N64" s="20">
        <v>18700</v>
      </c>
      <c r="O64" s="126">
        <v>25700</v>
      </c>
      <c r="P64" s="126">
        <v>8800</v>
      </c>
      <c r="Q64" s="20">
        <v>18700</v>
      </c>
      <c r="R64" s="20">
        <v>15000</v>
      </c>
      <c r="S64" s="20">
        <v>18000</v>
      </c>
      <c r="U64" s="236">
        <f>P67*0.85</f>
        <v>1054170</v>
      </c>
      <c r="V64" s="237"/>
      <c r="W64" s="238"/>
      <c r="Y64" s="242">
        <f>P69-P67</f>
        <v>0</v>
      </c>
      <c r="Z64" s="243"/>
      <c r="AA64" s="243"/>
      <c r="AB64" s="243"/>
      <c r="AD64" s="234"/>
      <c r="AE64" s="234"/>
      <c r="AF64" s="234"/>
      <c r="AG64" s="234"/>
      <c r="AH64" s="234"/>
      <c r="AJ64" s="234"/>
      <c r="AK64" s="234"/>
    </row>
    <row r="65" spans="1:37" ht="19.5" customHeight="1" x14ac:dyDescent="0.35">
      <c r="A65" s="235" t="s">
        <v>24</v>
      </c>
      <c r="B65" s="235"/>
      <c r="C65" s="20">
        <f>C64*C3</f>
        <v>658000</v>
      </c>
      <c r="D65" s="20">
        <f>D64*D3</f>
        <v>0</v>
      </c>
      <c r="E65" s="20">
        <f>E64*E3</f>
        <v>232000</v>
      </c>
      <c r="F65" s="20">
        <f>F64*F3</f>
        <v>46400</v>
      </c>
      <c r="H65" s="20">
        <f t="shared" ref="H65:S65" si="5">H64*H3</f>
        <v>0</v>
      </c>
      <c r="I65" s="20">
        <f t="shared" si="5"/>
        <v>0</v>
      </c>
      <c r="J65" s="20">
        <f t="shared" si="5"/>
        <v>6800</v>
      </c>
      <c r="K65" s="20">
        <f t="shared" si="5"/>
        <v>15600</v>
      </c>
      <c r="L65" s="20">
        <f t="shared" si="5"/>
        <v>124200</v>
      </c>
      <c r="M65" s="20">
        <f t="shared" si="5"/>
        <v>44800</v>
      </c>
      <c r="N65" s="20">
        <f t="shared" si="5"/>
        <v>0</v>
      </c>
      <c r="O65" s="20">
        <f t="shared" si="5"/>
        <v>0</v>
      </c>
      <c r="P65" s="20">
        <f t="shared" si="5"/>
        <v>0</v>
      </c>
      <c r="Q65" s="20">
        <f t="shared" si="5"/>
        <v>37400</v>
      </c>
      <c r="R65" s="20">
        <f t="shared" si="5"/>
        <v>75000</v>
      </c>
      <c r="S65" s="20">
        <f t="shared" si="5"/>
        <v>0</v>
      </c>
      <c r="U65" s="239"/>
      <c r="V65" s="240"/>
      <c r="W65" s="241"/>
      <c r="Y65" s="243"/>
      <c r="Z65" s="243"/>
      <c r="AA65" s="243"/>
      <c r="AB65" s="243"/>
      <c r="AD65" s="234"/>
      <c r="AE65" s="234"/>
      <c r="AF65" s="234"/>
      <c r="AG65" s="234"/>
      <c r="AH65" s="234"/>
      <c r="AJ65" s="234"/>
      <c r="AK65" s="234"/>
    </row>
    <row r="67" spans="1:37" ht="26.25" x14ac:dyDescent="0.3">
      <c r="P67" s="259">
        <f>SUM(C65:S65)</f>
        <v>1240200</v>
      </c>
      <c r="Q67" s="260"/>
      <c r="U67" s="247"/>
      <c r="V67" s="248"/>
      <c r="W67" s="248"/>
      <c r="Y67" s="249"/>
      <c r="Z67" s="250"/>
      <c r="AA67" s="250"/>
      <c r="AB67" s="251"/>
    </row>
    <row r="69" spans="1:37" ht="26.25" x14ac:dyDescent="0.3">
      <c r="C69" s="244"/>
      <c r="D69" s="245"/>
      <c r="P69" s="246">
        <v>1240200</v>
      </c>
      <c r="Q69" s="246"/>
      <c r="U69" s="247">
        <f>P69*0.85</f>
        <v>1054170</v>
      </c>
      <c r="V69" s="248"/>
      <c r="W69" s="248"/>
      <c r="Y69" s="249"/>
      <c r="Z69" s="250"/>
      <c r="AA69" s="250"/>
      <c r="AB69" s="251"/>
    </row>
    <row r="70" spans="1:37" x14ac:dyDescent="0.3">
      <c r="Q70" s="18"/>
      <c r="S70" s="18"/>
      <c r="U70" s="245"/>
      <c r="V70" s="245"/>
      <c r="W70" s="245"/>
      <c r="Y70" s="255"/>
      <c r="Z70" s="256"/>
      <c r="AA70" s="256"/>
      <c r="AB70" s="256"/>
    </row>
    <row r="71" spans="1:37" x14ac:dyDescent="0.3">
      <c r="P71" s="244"/>
      <c r="Q71" s="245"/>
      <c r="U71" s="245"/>
      <c r="V71" s="245"/>
      <c r="W71" s="245"/>
      <c r="Y71" s="245"/>
      <c r="Z71" s="245"/>
      <c r="AA71" s="245"/>
      <c r="AB71" s="245"/>
    </row>
    <row r="72" spans="1:37" x14ac:dyDescent="0.3">
      <c r="P72" s="245"/>
      <c r="Q72" s="245"/>
      <c r="U72" s="245"/>
      <c r="V72" s="245"/>
      <c r="W72" s="245"/>
      <c r="Y72" s="245"/>
      <c r="Z72" s="245"/>
      <c r="AA72" s="245"/>
      <c r="AB72" s="245"/>
    </row>
    <row r="73" spans="1:37" x14ac:dyDescent="0.3">
      <c r="P73" s="18"/>
      <c r="Q73" s="18"/>
      <c r="S73" s="18"/>
      <c r="Y73" s="245"/>
      <c r="Z73" s="245"/>
      <c r="AA73" s="245"/>
      <c r="AB73" s="245"/>
    </row>
    <row r="74" spans="1:37" x14ac:dyDescent="0.3">
      <c r="C74">
        <f>C64*0.85</f>
        <v>39950</v>
      </c>
      <c r="D74">
        <f t="shared" ref="D74:R74" si="6">D64*0.85</f>
        <v>3995</v>
      </c>
      <c r="E74">
        <f t="shared" si="6"/>
        <v>49300</v>
      </c>
      <c r="F74">
        <f t="shared" si="6"/>
        <v>4930</v>
      </c>
      <c r="H74">
        <f t="shared" si="6"/>
        <v>4930</v>
      </c>
      <c r="I74">
        <f t="shared" si="6"/>
        <v>3995</v>
      </c>
      <c r="J74">
        <f t="shared" si="6"/>
        <v>5780</v>
      </c>
      <c r="K74">
        <f t="shared" si="6"/>
        <v>4420</v>
      </c>
      <c r="L74">
        <f t="shared" si="6"/>
        <v>17595</v>
      </c>
      <c r="M74">
        <f t="shared" si="6"/>
        <v>5440</v>
      </c>
      <c r="N74">
        <f t="shared" si="6"/>
        <v>15895</v>
      </c>
      <c r="O74">
        <f t="shared" si="6"/>
        <v>21845</v>
      </c>
      <c r="P74">
        <f t="shared" si="6"/>
        <v>7480</v>
      </c>
      <c r="Q74">
        <f t="shared" si="6"/>
        <v>15895</v>
      </c>
      <c r="R74">
        <f t="shared" si="6"/>
        <v>12750</v>
      </c>
      <c r="S74">
        <f>S64*0.85</f>
        <v>15300</v>
      </c>
    </row>
    <row r="75" spans="1:37" x14ac:dyDescent="0.3">
      <c r="C75">
        <v>29500</v>
      </c>
      <c r="D75">
        <v>2950</v>
      </c>
      <c r="E75">
        <v>51000</v>
      </c>
      <c r="F75">
        <v>5100</v>
      </c>
      <c r="H75">
        <v>3600</v>
      </c>
      <c r="I75">
        <v>2950</v>
      </c>
      <c r="J75">
        <v>4000</v>
      </c>
      <c r="K75">
        <v>4200</v>
      </c>
      <c r="L75">
        <v>15000</v>
      </c>
      <c r="M75">
        <v>4500</v>
      </c>
      <c r="N75">
        <v>9500</v>
      </c>
      <c r="O75">
        <v>12000</v>
      </c>
      <c r="P75">
        <v>8000</v>
      </c>
      <c r="Q75">
        <v>12000</v>
      </c>
      <c r="R75">
        <v>8500</v>
      </c>
    </row>
    <row r="76" spans="1:37" x14ac:dyDescent="0.3">
      <c r="C76">
        <f>C74-C75</f>
        <v>10450</v>
      </c>
      <c r="D76">
        <f t="shared" ref="D76:R76" si="7">D74-D75</f>
        <v>1045</v>
      </c>
      <c r="E76">
        <f t="shared" si="7"/>
        <v>-1700</v>
      </c>
      <c r="F76">
        <f t="shared" si="7"/>
        <v>-170</v>
      </c>
      <c r="H76">
        <f t="shared" si="7"/>
        <v>1330</v>
      </c>
      <c r="I76">
        <f t="shared" si="7"/>
        <v>1045</v>
      </c>
      <c r="J76">
        <f t="shared" si="7"/>
        <v>1780</v>
      </c>
      <c r="K76">
        <f t="shared" si="7"/>
        <v>220</v>
      </c>
      <c r="L76">
        <f t="shared" si="7"/>
        <v>2595</v>
      </c>
      <c r="M76">
        <f t="shared" si="7"/>
        <v>940</v>
      </c>
      <c r="N76">
        <f t="shared" si="7"/>
        <v>6395</v>
      </c>
      <c r="O76">
        <f t="shared" si="7"/>
        <v>9845</v>
      </c>
      <c r="P76">
        <f t="shared" si="7"/>
        <v>-520</v>
      </c>
      <c r="Q76">
        <f t="shared" si="7"/>
        <v>3895</v>
      </c>
      <c r="R76">
        <f t="shared" si="7"/>
        <v>4250</v>
      </c>
    </row>
    <row r="77" spans="1:37" x14ac:dyDescent="0.3">
      <c r="C77">
        <f t="shared" ref="C77:R77" si="8">C76*C3</f>
        <v>146300</v>
      </c>
      <c r="D77">
        <f t="shared" si="8"/>
        <v>0</v>
      </c>
      <c r="E77">
        <f t="shared" si="8"/>
        <v>-6800</v>
      </c>
      <c r="F77">
        <f t="shared" si="8"/>
        <v>-1360</v>
      </c>
      <c r="G77">
        <f t="shared" si="8"/>
        <v>0</v>
      </c>
      <c r="H77">
        <f t="shared" si="8"/>
        <v>0</v>
      </c>
      <c r="I77">
        <f t="shared" si="8"/>
        <v>0</v>
      </c>
      <c r="J77">
        <f t="shared" si="8"/>
        <v>1780</v>
      </c>
      <c r="K77">
        <f t="shared" si="8"/>
        <v>660</v>
      </c>
      <c r="L77">
        <f t="shared" si="8"/>
        <v>15570</v>
      </c>
      <c r="M77">
        <f t="shared" si="8"/>
        <v>6580</v>
      </c>
      <c r="N77">
        <f t="shared" si="8"/>
        <v>0</v>
      </c>
      <c r="O77">
        <f t="shared" si="8"/>
        <v>0</v>
      </c>
      <c r="P77">
        <f t="shared" si="8"/>
        <v>0</v>
      </c>
      <c r="Q77">
        <f t="shared" si="8"/>
        <v>7790</v>
      </c>
      <c r="R77">
        <f t="shared" si="8"/>
        <v>21250</v>
      </c>
      <c r="X77" s="245"/>
      <c r="Y77" s="245"/>
      <c r="Z77" s="245"/>
      <c r="AA77" s="245"/>
      <c r="AB77" s="245"/>
    </row>
    <row r="78" spans="1:37" x14ac:dyDescent="0.3">
      <c r="X78" s="245"/>
      <c r="Y78" s="245"/>
      <c r="Z78" s="245"/>
      <c r="AA78" s="245"/>
      <c r="AB78" s="245"/>
    </row>
    <row r="79" spans="1:37" ht="26.25" x14ac:dyDescent="0.3">
      <c r="P79" s="257">
        <f>SUM(C77:R77)</f>
        <v>191770</v>
      </c>
      <c r="Q79" s="258"/>
    </row>
  </sheetData>
  <mergeCells count="31">
    <mergeCell ref="A1:B2"/>
    <mergeCell ref="C1:D1"/>
    <mergeCell ref="E1:F1"/>
    <mergeCell ref="A4:A22"/>
    <mergeCell ref="A23:A43"/>
    <mergeCell ref="A44:A52"/>
    <mergeCell ref="AD64:AH65"/>
    <mergeCell ref="AJ64:AK65"/>
    <mergeCell ref="A65:B65"/>
    <mergeCell ref="Y52:AB52"/>
    <mergeCell ref="AD52:AH52"/>
    <mergeCell ref="AJ52:AK52"/>
    <mergeCell ref="A53:A62"/>
    <mergeCell ref="Y62:AB62"/>
    <mergeCell ref="AD62:AH62"/>
    <mergeCell ref="AJ62:AK62"/>
    <mergeCell ref="C69:D69"/>
    <mergeCell ref="P69:Q69"/>
    <mergeCell ref="U69:W69"/>
    <mergeCell ref="Y69:AB69"/>
    <mergeCell ref="A64:B64"/>
    <mergeCell ref="U64:W65"/>
    <mergeCell ref="Y64:AB65"/>
    <mergeCell ref="U70:W72"/>
    <mergeCell ref="Y70:AB73"/>
    <mergeCell ref="P71:Q72"/>
    <mergeCell ref="X77:AB78"/>
    <mergeCell ref="P79:Q79"/>
    <mergeCell ref="P67:Q67"/>
    <mergeCell ref="U67:W67"/>
    <mergeCell ref="Y67:AB67"/>
  </mergeCells>
  <phoneticPr fontId="48" type="noConversion"/>
  <conditionalFormatting sqref="B7:B11">
    <cfRule type="duplicateValues" dxfId="65" priority="2"/>
  </conditionalFormatting>
  <conditionalFormatting sqref="B44:B51">
    <cfRule type="duplicateValues" dxfId="64" priority="3"/>
  </conditionalFormatting>
  <conditionalFormatting sqref="B12">
    <cfRule type="duplicateValues" dxfId="63" priority="1"/>
  </conditionalFormatting>
  <conditionalFormatting sqref="B4:B6 B13:B21">
    <cfRule type="expression" dxfId="62" priority="4" stopIfTrue="1">
      <formula>AND(COUNTIF($B$4:$B$6, B4)+COUNTIF($B$13:$B$21, B4)&gt;1,NOT(ISBLANK(B4)))</formula>
    </cfRule>
  </conditionalFormatting>
  <conditionalFormatting sqref="B53:B61">
    <cfRule type="duplicateValues" dxfId="61" priority="5"/>
  </conditionalFormatting>
  <conditionalFormatting sqref="B23:B42">
    <cfRule type="duplicateValues" dxfId="60" priority="6"/>
  </conditionalFormatting>
  <printOptions horizontalCentered="1" verticalCentered="1"/>
  <pageMargins left="0" right="0" top="7.874015748031496E-2" bottom="7.874015748031496E-2" header="0" footer="0"/>
  <pageSetup paperSize="9" scale="23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T18"/>
  <sheetViews>
    <sheetView zoomScale="70" zoomScaleNormal="70" workbookViewId="0">
      <pane ySplit="3" topLeftCell="A6" activePane="bottomLeft" state="frozen"/>
      <selection activeCell="X5" sqref="X5"/>
      <selection pane="bottomLeft" activeCell="X5" sqref="X5"/>
    </sheetView>
  </sheetViews>
  <sheetFormatPr defaultRowHeight="16.5" x14ac:dyDescent="0.3"/>
  <cols>
    <col min="1" max="1" width="32.875" customWidth="1"/>
    <col min="2" max="6" width="10" customWidth="1"/>
    <col min="7" max="7" width="5.75" customWidth="1"/>
    <col min="8" max="8" width="18.5" customWidth="1"/>
    <col min="9" max="20" width="10.875" customWidth="1"/>
  </cols>
  <sheetData>
    <row r="1" spans="1:20" ht="113.25" customHeight="1" x14ac:dyDescent="0.3">
      <c r="A1" s="222" t="s">
        <v>203</v>
      </c>
      <c r="B1" s="223"/>
      <c r="C1" s="267" t="s">
        <v>97</v>
      </c>
      <c r="D1" s="268"/>
      <c r="E1" s="228" t="s">
        <v>98</v>
      </c>
      <c r="F1" s="228"/>
      <c r="G1" s="8"/>
      <c r="H1" s="269" t="s">
        <v>18</v>
      </c>
      <c r="I1" s="72" t="s">
        <v>20</v>
      </c>
      <c r="J1" s="170" t="s">
        <v>21</v>
      </c>
      <c r="K1" s="5" t="s">
        <v>101</v>
      </c>
      <c r="L1" s="170" t="s">
        <v>100</v>
      </c>
      <c r="M1" s="5" t="s">
        <v>96</v>
      </c>
      <c r="N1" s="170" t="s">
        <v>183</v>
      </c>
      <c r="O1" s="5" t="s">
        <v>114</v>
      </c>
      <c r="P1" s="170" t="s">
        <v>115</v>
      </c>
      <c r="Q1" s="5" t="s">
        <v>190</v>
      </c>
      <c r="R1" s="170" t="s">
        <v>105</v>
      </c>
      <c r="S1" s="5" t="s">
        <v>106</v>
      </c>
      <c r="T1" s="170" t="s">
        <v>191</v>
      </c>
    </row>
    <row r="2" spans="1:20" ht="43.5" customHeight="1" x14ac:dyDescent="0.3">
      <c r="A2" s="224"/>
      <c r="B2" s="225"/>
      <c r="C2" s="73" t="s">
        <v>2</v>
      </c>
      <c r="D2" s="73" t="s">
        <v>22</v>
      </c>
      <c r="E2" s="1" t="s">
        <v>2</v>
      </c>
      <c r="F2" s="1" t="s">
        <v>1</v>
      </c>
      <c r="G2" s="9"/>
      <c r="H2" s="270"/>
      <c r="I2" s="6" t="s">
        <v>3</v>
      </c>
      <c r="J2" s="1" t="s">
        <v>1</v>
      </c>
      <c r="K2" s="6" t="s">
        <v>3</v>
      </c>
      <c r="L2" s="1" t="s">
        <v>1</v>
      </c>
      <c r="M2" s="6" t="s">
        <v>3</v>
      </c>
      <c r="N2" s="1" t="s">
        <v>1</v>
      </c>
      <c r="O2" s="6" t="s">
        <v>3</v>
      </c>
      <c r="P2" s="1" t="s">
        <v>1</v>
      </c>
      <c r="Q2" s="6" t="s">
        <v>3</v>
      </c>
      <c r="R2" s="1" t="s">
        <v>1</v>
      </c>
      <c r="S2" s="6" t="s">
        <v>3</v>
      </c>
      <c r="T2" s="1" t="s">
        <v>1</v>
      </c>
    </row>
    <row r="3" spans="1:20" ht="39" customHeight="1" thickBot="1" x14ac:dyDescent="0.35">
      <c r="A3" s="271" t="s">
        <v>10</v>
      </c>
      <c r="B3" s="272"/>
      <c r="C3" s="44">
        <f>SUM(C4:C20)</f>
        <v>14</v>
      </c>
      <c r="D3" s="44">
        <f>SUM(D4:D20)</f>
        <v>0</v>
      </c>
      <c r="E3" s="44">
        <f>SUM(E4:E20)</f>
        <v>4</v>
      </c>
      <c r="F3" s="44">
        <f>SUM(F4:F20)</f>
        <v>8</v>
      </c>
      <c r="G3" s="171"/>
      <c r="H3" s="13" t="s">
        <v>10</v>
      </c>
      <c r="I3" s="44">
        <f>SUM(I4:I15)</f>
        <v>0</v>
      </c>
      <c r="J3" s="44">
        <f t="shared" ref="J3:T3" si="0">SUM(J4:J15)</f>
        <v>0</v>
      </c>
      <c r="K3" s="44">
        <f t="shared" si="0"/>
        <v>1</v>
      </c>
      <c r="L3" s="44">
        <f t="shared" si="0"/>
        <v>3</v>
      </c>
      <c r="M3" s="44">
        <f t="shared" si="0"/>
        <v>6</v>
      </c>
      <c r="N3" s="44">
        <f t="shared" si="0"/>
        <v>7</v>
      </c>
      <c r="O3" s="44">
        <f t="shared" si="0"/>
        <v>0</v>
      </c>
      <c r="P3" s="44">
        <f t="shared" si="0"/>
        <v>0</v>
      </c>
      <c r="Q3" s="44">
        <f t="shared" si="0"/>
        <v>0</v>
      </c>
      <c r="R3" s="44">
        <f t="shared" si="0"/>
        <v>2</v>
      </c>
      <c r="S3" s="44">
        <f t="shared" si="0"/>
        <v>5</v>
      </c>
      <c r="T3" s="44">
        <f t="shared" si="0"/>
        <v>0</v>
      </c>
    </row>
    <row r="4" spans="1:20" ht="82.7" customHeight="1" thickTop="1" x14ac:dyDescent="0.3">
      <c r="A4" s="273" t="s">
        <v>15</v>
      </c>
      <c r="B4" s="274"/>
      <c r="C4" s="57">
        <f>'학교별05.08'!C22</f>
        <v>0</v>
      </c>
      <c r="D4" s="57">
        <f>'학교별05.08'!D22</f>
        <v>0</v>
      </c>
      <c r="E4" s="58">
        <f>'학교별05.08'!E22</f>
        <v>0</v>
      </c>
      <c r="F4" s="59">
        <f>'학교별05.08'!F22</f>
        <v>0</v>
      </c>
      <c r="G4" s="171"/>
      <c r="H4" s="49" t="s">
        <v>15</v>
      </c>
      <c r="I4" s="47">
        <f>'학교별05.08'!H22</f>
        <v>0</v>
      </c>
      <c r="J4" s="45">
        <f>'학교별05.08'!I22</f>
        <v>0</v>
      </c>
      <c r="K4" s="47">
        <f>'학교별05.08'!J22</f>
        <v>1</v>
      </c>
      <c r="L4" s="45">
        <f>'학교별05.08'!K22</f>
        <v>2</v>
      </c>
      <c r="M4" s="47">
        <f>'학교별05.08'!L22</f>
        <v>1</v>
      </c>
      <c r="N4" s="45">
        <f>'학교별05.08'!M22</f>
        <v>2</v>
      </c>
      <c r="O4" s="47">
        <f>'학교별05.08'!N22</f>
        <v>0</v>
      </c>
      <c r="P4" s="45">
        <f>'학교별05.08'!O22</f>
        <v>0</v>
      </c>
      <c r="Q4" s="47">
        <f>'학교별05.08'!P22</f>
        <v>0</v>
      </c>
      <c r="R4" s="45">
        <f>'학교별05.08'!Q22</f>
        <v>0</v>
      </c>
      <c r="S4" s="47">
        <f>'학교별05.08'!R22</f>
        <v>3</v>
      </c>
      <c r="T4" s="87">
        <f>'학교별05.08'!S22</f>
        <v>0</v>
      </c>
    </row>
    <row r="5" spans="1:20" ht="82.7" customHeight="1" x14ac:dyDescent="0.3">
      <c r="A5" s="289"/>
      <c r="B5" s="290"/>
      <c r="C5" s="172"/>
      <c r="D5" s="165"/>
      <c r="E5" s="166"/>
      <c r="F5" s="173"/>
      <c r="G5" s="171"/>
      <c r="H5" s="40"/>
      <c r="I5" s="41"/>
      <c r="J5" s="42"/>
      <c r="K5" s="41"/>
      <c r="L5" s="42"/>
      <c r="M5" s="41"/>
      <c r="N5" s="42"/>
      <c r="O5" s="41"/>
      <c r="P5" s="42"/>
      <c r="Q5" s="41"/>
      <c r="R5" s="42"/>
      <c r="S5" s="41"/>
      <c r="T5" s="88"/>
    </row>
    <row r="6" spans="1:20" ht="82.7" customHeight="1" thickBot="1" x14ac:dyDescent="0.35">
      <c r="A6" s="275"/>
      <c r="B6" s="276"/>
      <c r="C6" s="79"/>
      <c r="D6" s="60"/>
      <c r="E6" s="62"/>
      <c r="F6" s="61"/>
      <c r="G6" s="171"/>
      <c r="H6" s="40"/>
      <c r="I6" s="83"/>
      <c r="J6" s="81"/>
      <c r="K6" s="95"/>
      <c r="L6" s="81"/>
      <c r="M6" s="84"/>
      <c r="N6" s="81"/>
      <c r="O6" s="83"/>
      <c r="P6" s="42"/>
      <c r="Q6" s="41"/>
      <c r="R6" s="42"/>
      <c r="S6" s="83"/>
      <c r="T6" s="88"/>
    </row>
    <row r="7" spans="1:20" ht="18" thickTop="1" thickBot="1" x14ac:dyDescent="0.35">
      <c r="H7" s="33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138"/>
    </row>
    <row r="8" spans="1:20" ht="82.7" customHeight="1" thickTop="1" x14ac:dyDescent="0.3">
      <c r="A8" s="277" t="s">
        <v>26</v>
      </c>
      <c r="B8" s="278"/>
      <c r="C8" s="47">
        <f>'학교별05.08'!C43</f>
        <v>0</v>
      </c>
      <c r="D8" s="47">
        <f>'학교별05.08'!D43</f>
        <v>0</v>
      </c>
      <c r="E8" s="45">
        <f>'학교별05.08'!E43</f>
        <v>0</v>
      </c>
      <c r="F8" s="45">
        <f>'학교별05.08'!F43</f>
        <v>0</v>
      </c>
      <c r="G8" s="37"/>
      <c r="H8" s="55" t="s">
        <v>17</v>
      </c>
      <c r="I8" s="48">
        <f>'학교별05.08'!H43</f>
        <v>0</v>
      </c>
      <c r="J8" s="46">
        <f>'학교별05.08'!I43</f>
        <v>0</v>
      </c>
      <c r="K8" s="48">
        <f>'학교별05.08'!J43</f>
        <v>0</v>
      </c>
      <c r="L8" s="46">
        <f>'학교별05.08'!K43</f>
        <v>0</v>
      </c>
      <c r="M8" s="48">
        <f>'학교별05.08'!L43</f>
        <v>2</v>
      </c>
      <c r="N8" s="46">
        <f>'학교별05.08'!M43</f>
        <v>1</v>
      </c>
      <c r="O8" s="48">
        <f>'학교별05.08'!N43</f>
        <v>0</v>
      </c>
      <c r="P8" s="46">
        <f>'학교별05.08'!O43</f>
        <v>0</v>
      </c>
      <c r="Q8" s="48">
        <f>'학교별05.08'!P43</f>
        <v>0</v>
      </c>
      <c r="R8" s="46">
        <f>'학교별05.08'!Q43</f>
        <v>0</v>
      </c>
      <c r="S8" s="48">
        <f>'학교별05.08'!R43</f>
        <v>0</v>
      </c>
      <c r="T8" s="90">
        <f>'학교별05.08'!S43</f>
        <v>0</v>
      </c>
    </row>
    <row r="9" spans="1:20" ht="82.7" customHeight="1" thickBot="1" x14ac:dyDescent="0.35">
      <c r="A9" s="261"/>
      <c r="B9" s="262"/>
      <c r="C9" s="75"/>
      <c r="D9" s="96"/>
      <c r="E9" s="78"/>
      <c r="F9" s="38"/>
      <c r="G9" s="39"/>
      <c r="H9" s="171"/>
      <c r="I9" s="41"/>
      <c r="J9" s="42"/>
      <c r="K9" s="41"/>
      <c r="L9" s="42"/>
      <c r="M9" s="41"/>
      <c r="N9" s="42"/>
      <c r="O9" s="41"/>
      <c r="P9" s="42"/>
      <c r="Q9" s="41"/>
      <c r="R9" s="98"/>
      <c r="S9" s="41"/>
      <c r="T9" s="88"/>
    </row>
    <row r="10" spans="1:20" ht="18" thickTop="1" thickBot="1" x14ac:dyDescent="0.35">
      <c r="H10" s="33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138"/>
    </row>
    <row r="11" spans="1:20" ht="82.7" customHeight="1" thickTop="1" x14ac:dyDescent="0.3">
      <c r="A11" s="263" t="s">
        <v>16</v>
      </c>
      <c r="B11" s="264"/>
      <c r="C11" s="65">
        <f>'학교별05.08'!C52</f>
        <v>4</v>
      </c>
      <c r="D11" s="65">
        <f>'학교별05.08'!D52</f>
        <v>0</v>
      </c>
      <c r="E11" s="66">
        <f>'학교별05.08'!E52</f>
        <v>2</v>
      </c>
      <c r="F11" s="67">
        <f>'학교별05.08'!F52</f>
        <v>0</v>
      </c>
      <c r="G11" s="171"/>
      <c r="H11" s="136" t="s">
        <v>25</v>
      </c>
      <c r="I11" s="127">
        <f>'학교별05.08'!H52</f>
        <v>0</v>
      </c>
      <c r="J11" s="128">
        <f>'학교별05.08'!I52</f>
        <v>0</v>
      </c>
      <c r="K11" s="127">
        <f>'학교별05.08'!J52</f>
        <v>0</v>
      </c>
      <c r="L11" s="128">
        <f>'학교별05.08'!K52</f>
        <v>1</v>
      </c>
      <c r="M11" s="127">
        <f>'학교별05.08'!L52</f>
        <v>0</v>
      </c>
      <c r="N11" s="128">
        <f>'학교별05.08'!M52</f>
        <v>0</v>
      </c>
      <c r="O11" s="127">
        <f>'학교별05.08'!N52</f>
        <v>0</v>
      </c>
      <c r="P11" s="128">
        <f>'학교별05.08'!O52</f>
        <v>0</v>
      </c>
      <c r="Q11" s="127">
        <f>'학교별05.08'!P52</f>
        <v>0</v>
      </c>
      <c r="R11" s="128">
        <f>'학교별05.08'!Q52</f>
        <v>0</v>
      </c>
      <c r="S11" s="127">
        <f>'학교별05.08'!R52</f>
        <v>1</v>
      </c>
      <c r="T11" s="137">
        <f>'학교별05.08'!S52</f>
        <v>0</v>
      </c>
    </row>
    <row r="12" spans="1:20" ht="82.7" customHeight="1" thickBot="1" x14ac:dyDescent="0.35">
      <c r="A12" s="265"/>
      <c r="B12" s="266"/>
      <c r="C12" s="68"/>
      <c r="D12" s="69"/>
      <c r="E12" s="144"/>
      <c r="F12" s="71"/>
      <c r="H12" s="33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138"/>
    </row>
    <row r="13" spans="1:20" ht="18" thickTop="1" thickBot="1" x14ac:dyDescent="0.35">
      <c r="H13" s="33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138"/>
    </row>
    <row r="14" spans="1:20" ht="82.7" customHeight="1" thickTop="1" x14ac:dyDescent="0.3">
      <c r="A14" s="282" t="s">
        <v>175</v>
      </c>
      <c r="B14" s="283"/>
      <c r="C14" s="129">
        <f>'학교별05.08'!C62</f>
        <v>10</v>
      </c>
      <c r="D14" s="129">
        <f>'학교별05.08'!D62</f>
        <v>0</v>
      </c>
      <c r="E14" s="130">
        <f>'학교별05.08'!E62</f>
        <v>2</v>
      </c>
      <c r="F14" s="131">
        <f>'학교별05.08'!F62</f>
        <v>8</v>
      </c>
      <c r="G14" s="171"/>
      <c r="H14" s="136" t="s">
        <v>174</v>
      </c>
      <c r="I14" s="127">
        <f>'학교별05.08'!H62</f>
        <v>0</v>
      </c>
      <c r="J14" s="128">
        <f>'학교별05.08'!I62</f>
        <v>0</v>
      </c>
      <c r="K14" s="127">
        <f>'학교별05.08'!J62</f>
        <v>0</v>
      </c>
      <c r="L14" s="128">
        <f>'학교별05.08'!K62</f>
        <v>0</v>
      </c>
      <c r="M14" s="127">
        <f>'학교별05.08'!L62</f>
        <v>3</v>
      </c>
      <c r="N14" s="128">
        <f>'학교별05.08'!M62</f>
        <v>4</v>
      </c>
      <c r="O14" s="127">
        <f>'학교별05.08'!N62</f>
        <v>0</v>
      </c>
      <c r="P14" s="128">
        <f>'학교별05.08'!O62</f>
        <v>0</v>
      </c>
      <c r="Q14" s="127">
        <f>'학교별05.08'!P62</f>
        <v>0</v>
      </c>
      <c r="R14" s="128">
        <f>'학교별05.08'!Q62</f>
        <v>2</v>
      </c>
      <c r="S14" s="127">
        <f>'학교별05.08'!R62</f>
        <v>1</v>
      </c>
      <c r="T14" s="137">
        <f>'학교별05.08'!S62</f>
        <v>0</v>
      </c>
    </row>
    <row r="15" spans="1:20" ht="82.7" customHeight="1" thickBot="1" x14ac:dyDescent="0.35">
      <c r="A15" s="280"/>
      <c r="B15" s="281"/>
      <c r="C15" s="132"/>
      <c r="D15" s="133"/>
      <c r="E15" s="134"/>
      <c r="F15" s="135"/>
      <c r="H15" s="64"/>
      <c r="I15" s="14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152"/>
    </row>
    <row r="16" spans="1:20" ht="17.25" thickTop="1" x14ac:dyDescent="0.3"/>
    <row r="18" spans="8:8" x14ac:dyDescent="0.3">
      <c r="H18" t="s">
        <v>83</v>
      </c>
    </row>
  </sheetData>
  <mergeCells count="14">
    <mergeCell ref="A1:B2"/>
    <mergeCell ref="C1:D1"/>
    <mergeCell ref="E1:F1"/>
    <mergeCell ref="H1:H2"/>
    <mergeCell ref="A3:B3"/>
    <mergeCell ref="A4:B4"/>
    <mergeCell ref="A14:B14"/>
    <mergeCell ref="A15:B15"/>
    <mergeCell ref="A5:B5"/>
    <mergeCell ref="A6:B6"/>
    <mergeCell ref="A8:B8"/>
    <mergeCell ref="A9:B9"/>
    <mergeCell ref="A11:B11"/>
    <mergeCell ref="A12:B12"/>
  </mergeCells>
  <phoneticPr fontId="48" type="noConversion"/>
  <conditionalFormatting sqref="A4:A6">
    <cfRule type="duplicateValues" dxfId="59" priority="2"/>
  </conditionalFormatting>
  <conditionalFormatting sqref="A8:A9">
    <cfRule type="duplicateValues" dxfId="58" priority="3"/>
  </conditionalFormatting>
  <conditionalFormatting sqref="A14">
    <cfRule type="duplicateValues" dxfId="57" priority="1"/>
  </conditionalFormatting>
  <conditionalFormatting sqref="A11">
    <cfRule type="duplicateValues" dxfId="56" priority="4"/>
  </conditionalFormatting>
  <printOptions horizontalCentered="1" verticalCentered="1"/>
  <pageMargins left="0" right="0" top="7.874015748031496E-2" bottom="7.874015748031496E-2" header="0" footer="0"/>
  <pageSetup paperSize="9" scale="55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79"/>
  <sheetViews>
    <sheetView zoomScale="70" zoomScaleNormal="70" workbookViewId="0">
      <pane ySplit="3" topLeftCell="A17" activePane="bottomLeft" state="frozen"/>
      <selection activeCell="U12" sqref="U12"/>
      <selection pane="bottomLeft" activeCell="U12" sqref="U12"/>
    </sheetView>
  </sheetViews>
  <sheetFormatPr defaultRowHeight="16.5" x14ac:dyDescent="0.3"/>
  <cols>
    <col min="1" max="1" width="9" customWidth="1"/>
    <col min="2" max="2" width="33.75" customWidth="1"/>
    <col min="3" max="3" width="10.75" customWidth="1"/>
    <col min="4" max="4" width="10" customWidth="1"/>
    <col min="5" max="5" width="10.5" customWidth="1"/>
    <col min="6" max="6" width="10" customWidth="1"/>
    <col min="7" max="7" width="4.125" customWidth="1"/>
    <col min="8" max="19" width="10.875" customWidth="1"/>
    <col min="20" max="20" width="5.5" customWidth="1"/>
    <col min="21" max="21" width="10.875" bestFit="1" customWidth="1"/>
  </cols>
  <sheetData>
    <row r="1" spans="1:23" ht="113.25" customHeight="1" x14ac:dyDescent="0.3">
      <c r="A1" s="222" t="s">
        <v>204</v>
      </c>
      <c r="B1" s="223"/>
      <c r="C1" s="226" t="s">
        <v>0</v>
      </c>
      <c r="D1" s="227"/>
      <c r="E1" s="228" t="s">
        <v>19</v>
      </c>
      <c r="F1" s="228"/>
      <c r="G1" s="8"/>
      <c r="H1" s="72" t="s">
        <v>20</v>
      </c>
      <c r="I1" s="174" t="s">
        <v>21</v>
      </c>
      <c r="J1" s="5" t="s">
        <v>7</v>
      </c>
      <c r="K1" s="174" t="s">
        <v>4</v>
      </c>
      <c r="L1" s="5" t="s">
        <v>6</v>
      </c>
      <c r="M1" s="174" t="s">
        <v>5</v>
      </c>
      <c r="N1" s="5" t="s">
        <v>9</v>
      </c>
      <c r="O1" s="174" t="s">
        <v>119</v>
      </c>
      <c r="P1" s="5" t="s">
        <v>8</v>
      </c>
      <c r="Q1" s="174" t="s">
        <v>12</v>
      </c>
      <c r="R1" s="5" t="s">
        <v>95</v>
      </c>
      <c r="S1" s="174" t="s">
        <v>11</v>
      </c>
    </row>
    <row r="2" spans="1:23" ht="43.5" customHeight="1" x14ac:dyDescent="0.3">
      <c r="A2" s="224"/>
      <c r="B2" s="225"/>
      <c r="C2" s="73" t="s">
        <v>2</v>
      </c>
      <c r="D2" s="21" t="s">
        <v>1</v>
      </c>
      <c r="E2" s="1" t="s">
        <v>2</v>
      </c>
      <c r="F2" s="1" t="s">
        <v>1</v>
      </c>
      <c r="G2" s="9"/>
      <c r="H2" s="6" t="s">
        <v>3</v>
      </c>
      <c r="I2" s="1" t="s">
        <v>1</v>
      </c>
      <c r="J2" s="6" t="s">
        <v>3</v>
      </c>
      <c r="K2" s="1" t="s">
        <v>1</v>
      </c>
      <c r="L2" s="6" t="s">
        <v>3</v>
      </c>
      <c r="M2" s="1" t="s">
        <v>1</v>
      </c>
      <c r="N2" s="6" t="s">
        <v>3</v>
      </c>
      <c r="O2" s="1" t="s">
        <v>1</v>
      </c>
      <c r="P2" s="6" t="s">
        <v>3</v>
      </c>
      <c r="Q2" s="1" t="s">
        <v>1</v>
      </c>
      <c r="R2" s="6" t="s">
        <v>3</v>
      </c>
      <c r="S2" s="1" t="s">
        <v>1</v>
      </c>
    </row>
    <row r="3" spans="1:23" ht="26.25" x14ac:dyDescent="0.3">
      <c r="A3" s="97" t="s">
        <v>14</v>
      </c>
      <c r="B3" s="12" t="s">
        <v>10</v>
      </c>
      <c r="C3" s="29">
        <f>C22+C43+C52+C62</f>
        <v>95</v>
      </c>
      <c r="D3" s="29">
        <f>D22+D43+D52+D62</f>
        <v>0</v>
      </c>
      <c r="E3" s="29">
        <f>E22+E43+E52+E62</f>
        <v>34</v>
      </c>
      <c r="F3" s="2">
        <f>F22+F43+F52+F62</f>
        <v>35</v>
      </c>
      <c r="G3" s="175"/>
      <c r="H3" s="2">
        <f t="shared" ref="H3:S3" si="0">H22+H43+H52+H62</f>
        <v>0</v>
      </c>
      <c r="I3" s="2">
        <f t="shared" si="0"/>
        <v>0</v>
      </c>
      <c r="J3" s="2">
        <f t="shared" si="0"/>
        <v>4</v>
      </c>
      <c r="K3" s="2">
        <f t="shared" si="0"/>
        <v>6</v>
      </c>
      <c r="L3" s="2">
        <f t="shared" si="0"/>
        <v>2</v>
      </c>
      <c r="M3" s="2">
        <f t="shared" si="0"/>
        <v>0</v>
      </c>
      <c r="N3" s="2">
        <f t="shared" si="0"/>
        <v>6</v>
      </c>
      <c r="O3" s="2">
        <f t="shared" si="0"/>
        <v>0</v>
      </c>
      <c r="P3" s="2">
        <f t="shared" si="0"/>
        <v>2</v>
      </c>
      <c r="Q3" s="2">
        <f t="shared" si="0"/>
        <v>1</v>
      </c>
      <c r="R3" s="2">
        <f t="shared" si="0"/>
        <v>3</v>
      </c>
      <c r="S3" s="2">
        <f t="shared" si="0"/>
        <v>0</v>
      </c>
      <c r="T3" s="4">
        <f>D3*10</f>
        <v>0</v>
      </c>
      <c r="U3">
        <f>F3*10+E3</f>
        <v>384</v>
      </c>
      <c r="V3" s="4">
        <f>SUM(H3:Q3)</f>
        <v>21</v>
      </c>
      <c r="W3" s="11">
        <f>SUM(T3:V3)</f>
        <v>405</v>
      </c>
    </row>
    <row r="4" spans="1:23" ht="24" customHeight="1" x14ac:dyDescent="0.3">
      <c r="A4" s="229" t="s">
        <v>34</v>
      </c>
      <c r="B4" s="3" t="s">
        <v>160</v>
      </c>
      <c r="C4" s="7"/>
      <c r="D4" s="7"/>
      <c r="E4" s="50"/>
      <c r="F4" s="50"/>
      <c r="G4" s="175"/>
      <c r="H4" s="7"/>
      <c r="I4" s="50"/>
      <c r="J4" s="10"/>
      <c r="K4" s="50"/>
      <c r="L4" s="7"/>
      <c r="M4" s="50"/>
      <c r="N4" s="10"/>
      <c r="O4" s="50"/>
      <c r="P4" s="7"/>
      <c r="Q4" s="50"/>
      <c r="R4" s="7"/>
      <c r="S4" s="50"/>
    </row>
    <row r="5" spans="1:23" ht="24" customHeight="1" x14ac:dyDescent="0.3">
      <c r="A5" s="230"/>
      <c r="B5" s="3" t="s">
        <v>150</v>
      </c>
      <c r="C5" s="7"/>
      <c r="D5" s="7"/>
      <c r="E5" s="50"/>
      <c r="F5" s="50"/>
      <c r="G5" s="175"/>
      <c r="H5" s="7"/>
      <c r="I5" s="50"/>
      <c r="J5" s="10"/>
      <c r="K5" s="50"/>
      <c r="L5" s="7"/>
      <c r="M5" s="50"/>
      <c r="N5" s="10"/>
      <c r="O5" s="50"/>
      <c r="P5" s="7"/>
      <c r="Q5" s="50"/>
      <c r="R5" s="7"/>
      <c r="S5" s="50"/>
    </row>
    <row r="6" spans="1:23" ht="24" customHeight="1" x14ac:dyDescent="0.3">
      <c r="A6" s="230"/>
      <c r="B6" s="3" t="s">
        <v>149</v>
      </c>
      <c r="C6" s="7"/>
      <c r="D6" s="7"/>
      <c r="E6" s="50"/>
      <c r="F6" s="50"/>
      <c r="G6" s="175"/>
      <c r="H6" s="7"/>
      <c r="I6" s="50"/>
      <c r="J6" s="10"/>
      <c r="K6" s="50"/>
      <c r="L6" s="7"/>
      <c r="M6" s="50"/>
      <c r="N6" s="10"/>
      <c r="O6" s="50"/>
      <c r="P6" s="7"/>
      <c r="Q6" s="50"/>
      <c r="R6" s="7"/>
      <c r="S6" s="50"/>
    </row>
    <row r="7" spans="1:23" ht="24" customHeight="1" x14ac:dyDescent="0.3">
      <c r="A7" s="230"/>
      <c r="B7" s="3" t="s">
        <v>156</v>
      </c>
      <c r="C7" s="7"/>
      <c r="D7" s="7"/>
      <c r="E7" s="50"/>
      <c r="F7" s="50"/>
      <c r="G7" s="175"/>
      <c r="H7" s="7"/>
      <c r="I7" s="50"/>
      <c r="J7" s="10"/>
      <c r="K7" s="50"/>
      <c r="L7" s="7"/>
      <c r="M7" s="50"/>
      <c r="N7" s="10"/>
      <c r="O7" s="50"/>
      <c r="P7" s="7"/>
      <c r="Q7" s="50"/>
      <c r="R7" s="7"/>
      <c r="S7" s="50"/>
    </row>
    <row r="8" spans="1:23" ht="24" customHeight="1" x14ac:dyDescent="0.3">
      <c r="A8" s="230"/>
      <c r="B8" s="3" t="s">
        <v>148</v>
      </c>
      <c r="C8" s="77"/>
      <c r="D8" s="7"/>
      <c r="E8" s="50"/>
      <c r="F8" s="50"/>
      <c r="G8" s="63"/>
      <c r="H8" s="7"/>
      <c r="I8" s="50"/>
      <c r="J8" s="10"/>
      <c r="K8" s="50"/>
      <c r="L8" s="7"/>
      <c r="M8" s="50"/>
      <c r="N8" s="10"/>
      <c r="O8" s="50"/>
      <c r="P8" s="7"/>
      <c r="Q8" s="50"/>
      <c r="R8" s="7"/>
      <c r="S8" s="50"/>
    </row>
    <row r="9" spans="1:23" ht="24" customHeight="1" x14ac:dyDescent="0.3">
      <c r="A9" s="230"/>
      <c r="B9" s="3" t="s">
        <v>153</v>
      </c>
      <c r="C9" s="7"/>
      <c r="D9" s="7"/>
      <c r="E9" s="50"/>
      <c r="F9" s="50"/>
      <c r="G9" s="175"/>
      <c r="H9" s="7"/>
      <c r="I9" s="50"/>
      <c r="J9" s="10"/>
      <c r="K9" s="50"/>
      <c r="L9" s="7"/>
      <c r="M9" s="50"/>
      <c r="N9" s="10"/>
      <c r="O9" s="50"/>
      <c r="P9" s="7"/>
      <c r="Q9" s="50"/>
      <c r="R9" s="7"/>
      <c r="S9" s="50"/>
    </row>
    <row r="10" spans="1:23" ht="24" customHeight="1" x14ac:dyDescent="0.3">
      <c r="A10" s="230"/>
      <c r="B10" s="3" t="s">
        <v>158</v>
      </c>
      <c r="C10" s="7"/>
      <c r="D10" s="7"/>
      <c r="E10" s="50"/>
      <c r="F10" s="50"/>
      <c r="G10" s="175"/>
      <c r="H10" s="7"/>
      <c r="I10" s="50"/>
      <c r="J10" s="10"/>
      <c r="K10" s="50"/>
      <c r="L10" s="7"/>
      <c r="M10" s="50"/>
      <c r="N10" s="10"/>
      <c r="O10" s="50"/>
      <c r="P10" s="7"/>
      <c r="Q10" s="50"/>
      <c r="R10" s="7"/>
      <c r="S10" s="50"/>
    </row>
    <row r="11" spans="1:23" ht="24" customHeight="1" x14ac:dyDescent="0.3">
      <c r="A11" s="230"/>
      <c r="B11" s="3" t="s">
        <v>152</v>
      </c>
      <c r="C11" s="7"/>
      <c r="D11" s="7"/>
      <c r="E11" s="50"/>
      <c r="F11" s="50"/>
      <c r="G11" s="175"/>
      <c r="H11" s="7"/>
      <c r="I11" s="50"/>
      <c r="J11" s="10"/>
      <c r="K11" s="50"/>
      <c r="L11" s="7"/>
      <c r="M11" s="50"/>
      <c r="N11" s="10"/>
      <c r="O11" s="50"/>
      <c r="P11" s="7"/>
      <c r="Q11" s="50"/>
      <c r="R11" s="7"/>
      <c r="S11" s="50"/>
    </row>
    <row r="12" spans="1:23" ht="24" customHeight="1" x14ac:dyDescent="0.3">
      <c r="A12" s="230"/>
      <c r="B12" s="3" t="s">
        <v>161</v>
      </c>
      <c r="C12" s="7"/>
      <c r="D12" s="77"/>
      <c r="E12" s="76"/>
      <c r="F12" s="50"/>
      <c r="G12" s="80"/>
      <c r="H12" s="7"/>
      <c r="I12" s="76"/>
      <c r="J12" s="7"/>
      <c r="K12" s="50">
        <v>1</v>
      </c>
      <c r="L12" s="7"/>
      <c r="M12" s="50"/>
      <c r="N12" s="10">
        <v>1</v>
      </c>
      <c r="O12" s="50"/>
      <c r="P12" s="7"/>
      <c r="Q12" s="76"/>
      <c r="R12" s="10"/>
      <c r="S12" s="76"/>
    </row>
    <row r="13" spans="1:23" ht="24" customHeight="1" x14ac:dyDescent="0.3">
      <c r="A13" s="230"/>
      <c r="B13" s="3" t="s">
        <v>154</v>
      </c>
      <c r="C13" s="7"/>
      <c r="D13" s="7"/>
      <c r="E13" s="50"/>
      <c r="F13" s="50"/>
      <c r="G13" s="175"/>
      <c r="H13" s="7"/>
      <c r="I13" s="50"/>
      <c r="J13" s="10">
        <v>1</v>
      </c>
      <c r="K13" s="50"/>
      <c r="L13" s="7"/>
      <c r="M13" s="50"/>
      <c r="N13" s="10">
        <v>1</v>
      </c>
      <c r="O13" s="50"/>
      <c r="P13" s="7"/>
      <c r="Q13" s="50"/>
      <c r="R13" s="7"/>
      <c r="S13" s="50"/>
    </row>
    <row r="14" spans="1:23" ht="24" customHeight="1" x14ac:dyDescent="0.3">
      <c r="A14" s="230"/>
      <c r="B14" s="100" t="s">
        <v>164</v>
      </c>
      <c r="C14" s="7"/>
      <c r="D14" s="7"/>
      <c r="E14" s="50"/>
      <c r="F14" s="50"/>
      <c r="G14" s="175"/>
      <c r="H14" s="7"/>
      <c r="I14" s="50"/>
      <c r="J14" s="10"/>
      <c r="K14" s="50"/>
      <c r="L14" s="7"/>
      <c r="M14" s="50"/>
      <c r="N14" s="10"/>
      <c r="O14" s="50"/>
      <c r="P14" s="7"/>
      <c r="Q14" s="50"/>
      <c r="R14" s="7"/>
      <c r="S14" s="50"/>
    </row>
    <row r="15" spans="1:23" ht="24" customHeight="1" x14ac:dyDescent="0.3">
      <c r="A15" s="230"/>
      <c r="B15" s="3" t="s">
        <v>159</v>
      </c>
      <c r="C15" s="7"/>
      <c r="D15" s="7"/>
      <c r="E15" s="50"/>
      <c r="F15" s="50"/>
      <c r="G15" s="175"/>
      <c r="H15" s="7"/>
      <c r="I15" s="50"/>
      <c r="J15" s="10"/>
      <c r="K15" s="50"/>
      <c r="L15" s="7"/>
      <c r="M15" s="50"/>
      <c r="N15" s="10"/>
      <c r="O15" s="50"/>
      <c r="P15" s="7"/>
      <c r="Q15" s="50"/>
      <c r="R15" s="7"/>
      <c r="S15" s="50"/>
    </row>
    <row r="16" spans="1:23" ht="24" customHeight="1" x14ac:dyDescent="0.3">
      <c r="A16" s="230"/>
      <c r="B16" s="3" t="s">
        <v>147</v>
      </c>
      <c r="C16" s="7"/>
      <c r="D16" s="7"/>
      <c r="E16" s="50"/>
      <c r="F16" s="50"/>
      <c r="G16" s="175"/>
      <c r="H16" s="7"/>
      <c r="I16" s="50"/>
      <c r="J16" s="10"/>
      <c r="K16" s="50"/>
      <c r="L16" s="7">
        <v>1</v>
      </c>
      <c r="M16" s="50"/>
      <c r="N16" s="10"/>
      <c r="O16" s="50"/>
      <c r="P16" s="7">
        <v>1</v>
      </c>
      <c r="Q16" s="50"/>
      <c r="R16" s="7"/>
      <c r="S16" s="50"/>
    </row>
    <row r="17" spans="1:25" ht="24" customHeight="1" x14ac:dyDescent="0.3">
      <c r="A17" s="230"/>
      <c r="B17" s="3" t="s">
        <v>163</v>
      </c>
      <c r="C17" s="7"/>
      <c r="D17" s="7"/>
      <c r="E17" s="50"/>
      <c r="F17" s="50"/>
      <c r="G17" s="175"/>
      <c r="H17" s="7"/>
      <c r="I17" s="50"/>
      <c r="J17" s="10"/>
      <c r="K17" s="50"/>
      <c r="L17" s="7"/>
      <c r="M17" s="50"/>
      <c r="N17" s="10"/>
      <c r="O17" s="50"/>
      <c r="P17" s="7"/>
      <c r="Q17" s="50"/>
      <c r="R17" s="7"/>
      <c r="S17" s="50"/>
    </row>
    <row r="18" spans="1:25" ht="24" customHeight="1" x14ac:dyDescent="0.3">
      <c r="A18" s="230"/>
      <c r="B18" s="3" t="s">
        <v>162</v>
      </c>
      <c r="C18" s="7"/>
      <c r="D18" s="7"/>
      <c r="E18" s="50"/>
      <c r="F18" s="50"/>
      <c r="G18" s="175"/>
      <c r="H18" s="7"/>
      <c r="I18" s="50"/>
      <c r="J18" s="10"/>
      <c r="K18" s="50"/>
      <c r="L18" s="7"/>
      <c r="M18" s="50"/>
      <c r="N18" s="10"/>
      <c r="O18" s="50"/>
      <c r="P18" s="7"/>
      <c r="Q18" s="50"/>
      <c r="R18" s="7"/>
      <c r="S18" s="50"/>
    </row>
    <row r="19" spans="1:25" ht="24" customHeight="1" x14ac:dyDescent="0.3">
      <c r="A19" s="230"/>
      <c r="B19" s="3" t="s">
        <v>155</v>
      </c>
      <c r="C19" s="7"/>
      <c r="D19" s="7"/>
      <c r="E19" s="50"/>
      <c r="F19" s="50"/>
      <c r="G19" s="175"/>
      <c r="H19" s="7"/>
      <c r="I19" s="50"/>
      <c r="J19" s="10"/>
      <c r="K19" s="50"/>
      <c r="L19" s="7"/>
      <c r="M19" s="50"/>
      <c r="N19" s="10"/>
      <c r="O19" s="50"/>
      <c r="P19" s="7"/>
      <c r="Q19" s="50"/>
      <c r="R19" s="7"/>
      <c r="S19" s="50"/>
    </row>
    <row r="20" spans="1:25" ht="24" customHeight="1" x14ac:dyDescent="0.3">
      <c r="A20" s="230"/>
      <c r="B20" s="3" t="s">
        <v>157</v>
      </c>
      <c r="C20" s="7"/>
      <c r="D20" s="7"/>
      <c r="E20" s="50"/>
      <c r="F20" s="50"/>
      <c r="G20" s="175"/>
      <c r="H20" s="7"/>
      <c r="I20" s="50"/>
      <c r="J20" s="10"/>
      <c r="K20" s="50"/>
      <c r="L20" s="7"/>
      <c r="M20" s="50"/>
      <c r="N20" s="10"/>
      <c r="O20" s="50"/>
      <c r="P20" s="7">
        <v>1</v>
      </c>
      <c r="Q20" s="50"/>
      <c r="R20" s="7">
        <v>1</v>
      </c>
      <c r="S20" s="50"/>
    </row>
    <row r="21" spans="1:25" ht="24" customHeight="1" x14ac:dyDescent="0.3">
      <c r="A21" s="230"/>
      <c r="B21" s="3" t="s">
        <v>151</v>
      </c>
      <c r="C21" s="7"/>
      <c r="D21" s="7"/>
      <c r="E21" s="50"/>
      <c r="F21" s="50"/>
      <c r="G21" s="175"/>
      <c r="H21" s="7"/>
      <c r="I21" s="50"/>
      <c r="J21" s="10"/>
      <c r="K21" s="50"/>
      <c r="L21" s="7"/>
      <c r="M21" s="50"/>
      <c r="N21" s="10"/>
      <c r="O21" s="50"/>
      <c r="P21" s="7"/>
      <c r="Q21" s="50"/>
      <c r="R21" s="7"/>
      <c r="S21" s="50"/>
    </row>
    <row r="22" spans="1:25" ht="27" thickBot="1" x14ac:dyDescent="0.35">
      <c r="A22" s="231"/>
      <c r="B22" s="31"/>
      <c r="C22" s="31">
        <f>SUM(C4:C21)</f>
        <v>0</v>
      </c>
      <c r="D22" s="31">
        <f>SUM(D4:D21)</f>
        <v>0</v>
      </c>
      <c r="E22" s="31">
        <f>SUM(E4:E21)</f>
        <v>0</v>
      </c>
      <c r="F22" s="31">
        <f>SUM(F4:F21)</f>
        <v>0</v>
      </c>
      <c r="G22" s="175"/>
      <c r="H22" s="2">
        <f t="shared" ref="H22:S22" si="1">SUM(H4:H21)</f>
        <v>0</v>
      </c>
      <c r="I22" s="2">
        <f t="shared" si="1"/>
        <v>0</v>
      </c>
      <c r="J22" s="2">
        <f t="shared" si="1"/>
        <v>1</v>
      </c>
      <c r="K22" s="2">
        <f t="shared" si="1"/>
        <v>1</v>
      </c>
      <c r="L22" s="2">
        <f t="shared" si="1"/>
        <v>1</v>
      </c>
      <c r="M22" s="2">
        <f t="shared" si="1"/>
        <v>0</v>
      </c>
      <c r="N22" s="2">
        <f t="shared" si="1"/>
        <v>2</v>
      </c>
      <c r="O22" s="2">
        <f t="shared" si="1"/>
        <v>0</v>
      </c>
      <c r="P22" s="2">
        <f t="shared" si="1"/>
        <v>2</v>
      </c>
      <c r="Q22" s="2">
        <f t="shared" si="1"/>
        <v>0</v>
      </c>
      <c r="R22" s="2">
        <f t="shared" si="1"/>
        <v>1</v>
      </c>
      <c r="S22" s="2">
        <f t="shared" si="1"/>
        <v>0</v>
      </c>
      <c r="U22" s="35"/>
      <c r="V22" s="18"/>
      <c r="W22" s="18"/>
    </row>
    <row r="23" spans="1:25" ht="24" customHeight="1" thickTop="1" x14ac:dyDescent="0.3">
      <c r="A23" s="286" t="s">
        <v>27</v>
      </c>
      <c r="B23" s="23" t="s">
        <v>187</v>
      </c>
      <c r="C23" s="28"/>
      <c r="D23" s="28"/>
      <c r="E23" s="15"/>
      <c r="F23" s="16"/>
      <c r="G23" s="25"/>
      <c r="H23" s="43"/>
      <c r="I23" s="50"/>
      <c r="J23" s="10"/>
      <c r="K23" s="50"/>
      <c r="L23" s="7"/>
      <c r="M23" s="50"/>
      <c r="N23" s="7"/>
      <c r="O23" s="50"/>
      <c r="P23" s="7"/>
      <c r="Q23" s="50"/>
      <c r="R23" s="7"/>
      <c r="S23" s="50"/>
      <c r="U23" s="18"/>
      <c r="V23" s="18"/>
      <c r="W23" s="18"/>
      <c r="X23" s="18"/>
      <c r="Y23" s="18"/>
    </row>
    <row r="24" spans="1:25" ht="24" customHeight="1" x14ac:dyDescent="0.3">
      <c r="A24" s="287"/>
      <c r="B24" s="24" t="s">
        <v>188</v>
      </c>
      <c r="C24" s="32"/>
      <c r="D24" s="32"/>
      <c r="E24" s="54"/>
      <c r="F24" s="22"/>
      <c r="G24" s="25"/>
      <c r="H24" s="7"/>
      <c r="I24" s="50"/>
      <c r="J24" s="10"/>
      <c r="K24" s="50"/>
      <c r="L24" s="7"/>
      <c r="M24" s="50"/>
      <c r="N24" s="7"/>
      <c r="O24" s="50"/>
      <c r="P24" s="7"/>
      <c r="Q24" s="50"/>
      <c r="R24" s="7"/>
      <c r="S24" s="50"/>
      <c r="U24" s="18"/>
      <c r="V24" s="18"/>
      <c r="W24" s="18"/>
      <c r="X24" s="18"/>
      <c r="Y24" s="18"/>
    </row>
    <row r="25" spans="1:25" ht="24" customHeight="1" x14ac:dyDescent="0.3">
      <c r="A25" s="287"/>
      <c r="B25" s="24" t="s">
        <v>128</v>
      </c>
      <c r="C25" s="32"/>
      <c r="D25" s="32"/>
      <c r="E25" s="54"/>
      <c r="F25" s="22"/>
      <c r="G25" s="25"/>
      <c r="H25" s="43"/>
      <c r="I25" s="50"/>
      <c r="J25" s="10"/>
      <c r="K25" s="50"/>
      <c r="L25" s="7"/>
      <c r="M25" s="50"/>
      <c r="N25" s="7"/>
      <c r="O25" s="50"/>
      <c r="P25" s="7"/>
      <c r="Q25" s="50"/>
      <c r="R25" s="7"/>
      <c r="S25" s="50"/>
      <c r="U25" s="18"/>
      <c r="V25" s="18"/>
      <c r="W25" s="18"/>
      <c r="X25" s="18"/>
      <c r="Y25" s="18"/>
    </row>
    <row r="26" spans="1:25" ht="24" customHeight="1" x14ac:dyDescent="0.3">
      <c r="A26" s="287"/>
      <c r="B26" s="24" t="s">
        <v>127</v>
      </c>
      <c r="C26" s="32"/>
      <c r="D26" s="32"/>
      <c r="E26" s="54"/>
      <c r="F26" s="22"/>
      <c r="G26" s="25"/>
      <c r="H26" s="43"/>
      <c r="I26" s="50"/>
      <c r="J26" s="10"/>
      <c r="K26" s="50"/>
      <c r="L26" s="7"/>
      <c r="M26" s="50"/>
      <c r="N26" s="7">
        <v>1</v>
      </c>
      <c r="O26" s="50"/>
      <c r="P26" s="7"/>
      <c r="Q26" s="50"/>
      <c r="R26" s="7"/>
      <c r="S26" s="50"/>
      <c r="U26" s="18"/>
      <c r="V26" s="18"/>
      <c r="W26" s="18"/>
      <c r="X26" s="18"/>
      <c r="Y26" s="18"/>
    </row>
    <row r="27" spans="1:25" ht="24" customHeight="1" x14ac:dyDescent="0.3">
      <c r="A27" s="287"/>
      <c r="B27" s="24" t="s">
        <v>189</v>
      </c>
      <c r="C27" s="32"/>
      <c r="D27" s="32"/>
      <c r="E27" s="54"/>
      <c r="F27" s="22"/>
      <c r="G27" s="25"/>
      <c r="H27" s="10"/>
      <c r="I27" s="50"/>
      <c r="J27" s="10"/>
      <c r="K27" s="50"/>
      <c r="L27" s="7"/>
      <c r="M27" s="50"/>
      <c r="N27" s="7"/>
      <c r="O27" s="50"/>
      <c r="P27" s="7"/>
      <c r="Q27" s="50"/>
      <c r="R27" s="7"/>
      <c r="S27" s="50"/>
      <c r="U27" s="18"/>
      <c r="V27" s="18"/>
      <c r="W27" s="18"/>
      <c r="X27" s="18"/>
      <c r="Y27" s="18"/>
    </row>
    <row r="28" spans="1:25" ht="24" customHeight="1" x14ac:dyDescent="0.3">
      <c r="A28" s="287"/>
      <c r="B28" s="24" t="s">
        <v>140</v>
      </c>
      <c r="C28" s="32"/>
      <c r="D28" s="32"/>
      <c r="E28" s="54"/>
      <c r="F28" s="22"/>
      <c r="G28" s="25"/>
      <c r="H28" s="10"/>
      <c r="I28" s="50"/>
      <c r="J28" s="10"/>
      <c r="K28" s="50"/>
      <c r="L28" s="7"/>
      <c r="M28" s="50"/>
      <c r="N28" s="7"/>
      <c r="O28" s="50"/>
      <c r="P28" s="7"/>
      <c r="Q28" s="76"/>
      <c r="R28" s="7"/>
      <c r="S28" s="50"/>
      <c r="U28" s="18"/>
      <c r="V28" s="18"/>
      <c r="W28" s="18"/>
      <c r="X28" s="18"/>
      <c r="Y28" s="18"/>
    </row>
    <row r="29" spans="1:25" ht="24" customHeight="1" x14ac:dyDescent="0.3">
      <c r="A29" s="287"/>
      <c r="B29" s="24" t="s">
        <v>129</v>
      </c>
      <c r="C29" s="32"/>
      <c r="D29" s="32"/>
      <c r="E29" s="54"/>
      <c r="F29" s="22"/>
      <c r="G29" s="25"/>
      <c r="H29" s="43"/>
      <c r="I29" s="50"/>
      <c r="J29" s="10"/>
      <c r="K29" s="50"/>
      <c r="L29" s="7"/>
      <c r="M29" s="50"/>
      <c r="N29" s="7"/>
      <c r="O29" s="50"/>
      <c r="P29" s="7"/>
      <c r="Q29" s="50"/>
      <c r="R29" s="7"/>
      <c r="S29" s="50"/>
      <c r="U29" s="18"/>
      <c r="V29" s="18"/>
      <c r="W29" s="18"/>
      <c r="X29" s="18"/>
      <c r="Y29" s="18"/>
    </row>
    <row r="30" spans="1:25" ht="24" customHeight="1" x14ac:dyDescent="0.3">
      <c r="A30" s="287"/>
      <c r="B30" s="24" t="s">
        <v>145</v>
      </c>
      <c r="C30" s="32"/>
      <c r="D30" s="32"/>
      <c r="E30" s="54"/>
      <c r="F30" s="22"/>
      <c r="G30" s="25"/>
      <c r="H30" s="43"/>
      <c r="I30" s="50"/>
      <c r="J30" s="10"/>
      <c r="K30" s="50"/>
      <c r="L30" s="7"/>
      <c r="M30" s="50"/>
      <c r="N30" s="7">
        <v>1</v>
      </c>
      <c r="O30" s="50"/>
      <c r="P30" s="7"/>
      <c r="Q30" s="50"/>
      <c r="R30" s="7"/>
      <c r="S30" s="50"/>
      <c r="U30" s="18"/>
      <c r="V30" s="18"/>
      <c r="W30" s="18"/>
      <c r="X30" s="18"/>
      <c r="Y30" s="18"/>
    </row>
    <row r="31" spans="1:25" ht="24" customHeight="1" x14ac:dyDescent="0.3">
      <c r="A31" s="287"/>
      <c r="B31" s="24" t="s">
        <v>130</v>
      </c>
      <c r="C31" s="32"/>
      <c r="D31" s="32"/>
      <c r="E31" s="54"/>
      <c r="F31" s="22"/>
      <c r="G31" s="25"/>
      <c r="H31" s="43"/>
      <c r="I31" s="50"/>
      <c r="J31" s="10"/>
      <c r="K31" s="50"/>
      <c r="L31" s="7"/>
      <c r="M31" s="50"/>
      <c r="N31" s="7"/>
      <c r="O31" s="50"/>
      <c r="P31" s="7"/>
      <c r="Q31" s="50"/>
      <c r="R31" s="7"/>
      <c r="S31" s="50"/>
      <c r="U31" s="18"/>
      <c r="V31" s="18"/>
      <c r="W31" s="18"/>
      <c r="X31" s="18"/>
      <c r="Y31" s="18"/>
    </row>
    <row r="32" spans="1:25" ht="24" customHeight="1" x14ac:dyDescent="0.3">
      <c r="A32" s="287"/>
      <c r="B32" s="24" t="s">
        <v>131</v>
      </c>
      <c r="C32" s="32"/>
      <c r="D32" s="32"/>
      <c r="E32" s="54"/>
      <c r="F32" s="22"/>
      <c r="G32" s="25"/>
      <c r="H32" s="43"/>
      <c r="I32" s="50"/>
      <c r="J32" s="10"/>
      <c r="K32" s="50"/>
      <c r="L32" s="7"/>
      <c r="M32" s="50"/>
      <c r="N32" s="7"/>
      <c r="O32" s="50"/>
      <c r="P32" s="7"/>
      <c r="Q32" s="50"/>
      <c r="R32" s="7"/>
      <c r="S32" s="50"/>
      <c r="U32" s="18"/>
      <c r="V32" s="18"/>
      <c r="W32" s="18"/>
      <c r="X32" s="18"/>
      <c r="Y32" s="18"/>
    </row>
    <row r="33" spans="1:25" ht="24" customHeight="1" x14ac:dyDescent="0.3">
      <c r="A33" s="287"/>
      <c r="B33" s="24" t="s">
        <v>132</v>
      </c>
      <c r="C33" s="32"/>
      <c r="D33" s="32"/>
      <c r="E33" s="54"/>
      <c r="F33" s="22"/>
      <c r="G33" s="25"/>
      <c r="H33" s="43"/>
      <c r="I33" s="50"/>
      <c r="J33" s="10"/>
      <c r="K33" s="50"/>
      <c r="L33" s="7"/>
      <c r="M33" s="50"/>
      <c r="N33" s="7">
        <v>1</v>
      </c>
      <c r="O33" s="50"/>
      <c r="P33" s="7"/>
      <c r="Q33" s="50"/>
      <c r="R33" s="7"/>
      <c r="S33" s="50"/>
      <c r="U33" s="18"/>
      <c r="V33" s="18"/>
      <c r="W33" s="18"/>
      <c r="X33" s="18"/>
      <c r="Y33" s="18"/>
    </row>
    <row r="34" spans="1:25" ht="24" customHeight="1" x14ac:dyDescent="0.3">
      <c r="A34" s="287"/>
      <c r="B34" s="24" t="s">
        <v>133</v>
      </c>
      <c r="C34" s="32"/>
      <c r="D34" s="32"/>
      <c r="E34" s="54"/>
      <c r="F34" s="22"/>
      <c r="G34" s="25"/>
      <c r="H34" s="7"/>
      <c r="I34" s="50"/>
      <c r="J34" s="10"/>
      <c r="K34" s="50"/>
      <c r="L34" s="7"/>
      <c r="M34" s="50"/>
      <c r="N34" s="7"/>
      <c r="O34" s="50"/>
      <c r="P34" s="7"/>
      <c r="Q34" s="50"/>
      <c r="R34" s="7"/>
      <c r="S34" s="50"/>
      <c r="U34" s="18"/>
      <c r="V34" s="18"/>
      <c r="W34" s="18"/>
      <c r="X34" s="18"/>
      <c r="Y34" s="18"/>
    </row>
    <row r="35" spans="1:25" ht="24" customHeight="1" x14ac:dyDescent="0.3">
      <c r="A35" s="287"/>
      <c r="B35" s="24" t="s">
        <v>135</v>
      </c>
      <c r="C35" s="32"/>
      <c r="D35" s="32"/>
      <c r="E35" s="54"/>
      <c r="F35" s="22"/>
      <c r="G35" s="25"/>
      <c r="H35" s="7"/>
      <c r="I35" s="50"/>
      <c r="J35" s="10"/>
      <c r="K35" s="50"/>
      <c r="L35" s="7"/>
      <c r="M35" s="50"/>
      <c r="N35" s="7"/>
      <c r="O35" s="50"/>
      <c r="P35" s="7"/>
      <c r="Q35" s="50"/>
      <c r="R35" s="7"/>
      <c r="S35" s="50"/>
      <c r="U35" s="18"/>
      <c r="V35" s="18"/>
      <c r="W35" s="18"/>
      <c r="X35" s="18"/>
      <c r="Y35" s="18"/>
    </row>
    <row r="36" spans="1:25" ht="24" customHeight="1" x14ac:dyDescent="0.3">
      <c r="A36" s="287"/>
      <c r="B36" s="24" t="s">
        <v>141</v>
      </c>
      <c r="C36" s="32"/>
      <c r="D36" s="56"/>
      <c r="E36" s="54"/>
      <c r="F36" s="22"/>
      <c r="G36" s="25"/>
      <c r="H36" s="43"/>
      <c r="I36" s="50"/>
      <c r="J36" s="10"/>
      <c r="K36" s="50"/>
      <c r="L36" s="7"/>
      <c r="M36" s="50"/>
      <c r="N36" s="7"/>
      <c r="O36" s="50"/>
      <c r="P36" s="7"/>
      <c r="Q36" s="76"/>
      <c r="R36" s="7"/>
      <c r="S36" s="50"/>
      <c r="U36" s="18"/>
      <c r="V36" s="18"/>
      <c r="W36" s="18"/>
      <c r="X36" s="18"/>
      <c r="Y36" s="18"/>
    </row>
    <row r="37" spans="1:25" ht="24" customHeight="1" x14ac:dyDescent="0.3">
      <c r="A37" s="287"/>
      <c r="B37" s="24" t="s">
        <v>142</v>
      </c>
      <c r="C37" s="32"/>
      <c r="D37" s="32"/>
      <c r="E37" s="54"/>
      <c r="F37" s="22"/>
      <c r="G37" s="25"/>
      <c r="H37" s="43"/>
      <c r="I37" s="50"/>
      <c r="J37" s="10"/>
      <c r="K37" s="50"/>
      <c r="L37" s="7"/>
      <c r="M37" s="50"/>
      <c r="N37" s="7"/>
      <c r="O37" s="50"/>
      <c r="P37" s="7"/>
      <c r="Q37" s="50"/>
      <c r="R37" s="7"/>
      <c r="S37" s="50"/>
      <c r="U37" s="18"/>
      <c r="V37" s="18"/>
      <c r="W37" s="18"/>
      <c r="X37" s="18"/>
      <c r="Y37" s="18"/>
    </row>
    <row r="38" spans="1:25" ht="24" customHeight="1" x14ac:dyDescent="0.3">
      <c r="A38" s="287"/>
      <c r="B38" s="24" t="s">
        <v>144</v>
      </c>
      <c r="C38" s="32"/>
      <c r="D38" s="32"/>
      <c r="E38" s="101"/>
      <c r="F38" s="22"/>
      <c r="G38" s="25"/>
      <c r="H38" s="43"/>
      <c r="I38" s="50"/>
      <c r="J38" s="10"/>
      <c r="K38" s="50"/>
      <c r="L38" s="7"/>
      <c r="M38" s="50"/>
      <c r="N38" s="7"/>
      <c r="O38" s="50"/>
      <c r="P38" s="7"/>
      <c r="Q38" s="50"/>
      <c r="R38" s="7"/>
      <c r="S38" s="50"/>
      <c r="U38" s="18"/>
      <c r="V38" s="18"/>
      <c r="W38" s="18"/>
      <c r="X38" s="18"/>
      <c r="Y38" s="18"/>
    </row>
    <row r="39" spans="1:25" ht="24" customHeight="1" x14ac:dyDescent="0.3">
      <c r="A39" s="287"/>
      <c r="B39" s="24" t="s">
        <v>146</v>
      </c>
      <c r="C39" s="32"/>
      <c r="D39" s="32"/>
      <c r="E39" s="54"/>
      <c r="F39" s="22"/>
      <c r="G39" s="25"/>
      <c r="H39" s="43"/>
      <c r="I39" s="50"/>
      <c r="J39" s="10"/>
      <c r="K39" s="50"/>
      <c r="L39" s="7"/>
      <c r="M39" s="50"/>
      <c r="N39" s="7"/>
      <c r="O39" s="50"/>
      <c r="P39" s="7"/>
      <c r="Q39" s="50"/>
      <c r="R39" s="7"/>
      <c r="S39" s="50"/>
      <c r="U39" s="18"/>
      <c r="V39" s="18"/>
      <c r="W39" s="18"/>
      <c r="X39" s="18"/>
      <c r="Y39" s="18"/>
    </row>
    <row r="40" spans="1:25" ht="24" customHeight="1" x14ac:dyDescent="0.3">
      <c r="A40" s="287"/>
      <c r="B40" s="24" t="s">
        <v>136</v>
      </c>
      <c r="C40" s="32"/>
      <c r="D40" s="32"/>
      <c r="E40" s="54"/>
      <c r="F40" s="22"/>
      <c r="G40" s="25"/>
      <c r="H40" s="43"/>
      <c r="I40" s="50"/>
      <c r="J40" s="10"/>
      <c r="K40" s="50"/>
      <c r="L40" s="7"/>
      <c r="M40" s="50"/>
      <c r="N40" s="7"/>
      <c r="O40" s="50"/>
      <c r="P40" s="7"/>
      <c r="Q40" s="50"/>
      <c r="R40" s="7"/>
      <c r="S40" s="50"/>
      <c r="U40" s="18"/>
      <c r="V40" s="18"/>
      <c r="W40" s="18"/>
      <c r="X40" s="18"/>
      <c r="Y40" s="18"/>
    </row>
    <row r="41" spans="1:25" ht="24" customHeight="1" x14ac:dyDescent="0.3">
      <c r="A41" s="287"/>
      <c r="B41" s="24" t="s">
        <v>139</v>
      </c>
      <c r="C41" s="32"/>
      <c r="D41" s="32"/>
      <c r="E41" s="54"/>
      <c r="F41" s="22"/>
      <c r="G41" s="25"/>
      <c r="H41" s="10"/>
      <c r="I41" s="50"/>
      <c r="J41" s="10"/>
      <c r="K41" s="50"/>
      <c r="L41" s="7"/>
      <c r="M41" s="50"/>
      <c r="N41" s="7"/>
      <c r="O41" s="50"/>
      <c r="P41" s="7"/>
      <c r="Q41" s="50"/>
      <c r="R41" s="7"/>
      <c r="S41" s="50"/>
      <c r="U41" s="18"/>
      <c r="V41" s="18"/>
      <c r="W41" s="18"/>
      <c r="X41" s="18"/>
      <c r="Y41" s="18"/>
    </row>
    <row r="42" spans="1:25" ht="24" customHeight="1" x14ac:dyDescent="0.3">
      <c r="A42" s="287"/>
      <c r="B42" s="24" t="s">
        <v>137</v>
      </c>
      <c r="C42" s="32"/>
      <c r="D42" s="32"/>
      <c r="E42" s="54"/>
      <c r="F42" s="22"/>
      <c r="G42" s="25"/>
      <c r="H42" s="7"/>
      <c r="I42" s="50"/>
      <c r="J42" s="10"/>
      <c r="K42" s="50"/>
      <c r="L42" s="7"/>
      <c r="M42" s="50"/>
      <c r="N42" s="7"/>
      <c r="O42" s="50"/>
      <c r="P42" s="7"/>
      <c r="Q42" s="50"/>
      <c r="R42" s="7"/>
      <c r="S42" s="50"/>
      <c r="U42" s="18"/>
      <c r="V42" s="18"/>
      <c r="W42" s="18"/>
      <c r="X42" s="18"/>
      <c r="Y42" s="18"/>
    </row>
    <row r="43" spans="1:25" ht="27" thickBot="1" x14ac:dyDescent="0.35">
      <c r="A43" s="288"/>
      <c r="B43" s="26"/>
      <c r="C43" s="27">
        <f>SUM(C23:C42)</f>
        <v>0</v>
      </c>
      <c r="D43" s="27">
        <f>SUM(D23:D42)</f>
        <v>0</v>
      </c>
      <c r="E43" s="27">
        <f>SUM(E23:E42)</f>
        <v>0</v>
      </c>
      <c r="F43" s="27">
        <f>SUM(F23:F42)</f>
        <v>0</v>
      </c>
      <c r="G43" s="175"/>
      <c r="H43" s="2">
        <f t="shared" ref="H43:S43" si="2">SUM(H23:H42)</f>
        <v>0</v>
      </c>
      <c r="I43" s="2">
        <f t="shared" si="2"/>
        <v>0</v>
      </c>
      <c r="J43" s="2">
        <f t="shared" si="2"/>
        <v>0</v>
      </c>
      <c r="K43" s="2">
        <f t="shared" si="2"/>
        <v>0</v>
      </c>
      <c r="L43" s="2">
        <f t="shared" si="2"/>
        <v>0</v>
      </c>
      <c r="M43" s="2">
        <f t="shared" si="2"/>
        <v>0</v>
      </c>
      <c r="N43" s="2">
        <f t="shared" si="2"/>
        <v>3</v>
      </c>
      <c r="O43" s="2">
        <f t="shared" si="2"/>
        <v>0</v>
      </c>
      <c r="P43" s="2">
        <f t="shared" si="2"/>
        <v>0</v>
      </c>
      <c r="Q43" s="2">
        <f t="shared" si="2"/>
        <v>0</v>
      </c>
      <c r="R43" s="2">
        <f t="shared" si="2"/>
        <v>0</v>
      </c>
      <c r="S43" s="2">
        <f t="shared" si="2"/>
        <v>0</v>
      </c>
    </row>
    <row r="44" spans="1:25" ht="24" customHeight="1" thickTop="1" x14ac:dyDescent="0.3">
      <c r="A44" s="252" t="s">
        <v>13</v>
      </c>
      <c r="B44" s="3" t="s">
        <v>28</v>
      </c>
      <c r="C44" s="7"/>
      <c r="D44" s="7"/>
      <c r="E44" s="50"/>
      <c r="F44" s="50">
        <v>3</v>
      </c>
      <c r="G44" s="175"/>
      <c r="H44" s="7"/>
      <c r="I44" s="50"/>
      <c r="J44" s="10"/>
      <c r="K44" s="50"/>
      <c r="L44" s="7"/>
      <c r="M44" s="50"/>
      <c r="N44" s="7"/>
      <c r="O44" s="50"/>
      <c r="P44" s="7"/>
      <c r="Q44" s="50"/>
      <c r="R44" s="7"/>
      <c r="S44" s="50"/>
    </row>
    <row r="45" spans="1:25" ht="24" customHeight="1" x14ac:dyDescent="0.3">
      <c r="A45" s="252"/>
      <c r="B45" s="3" t="s">
        <v>29</v>
      </c>
      <c r="C45" s="77"/>
      <c r="D45" s="7"/>
      <c r="E45" s="50">
        <v>3</v>
      </c>
      <c r="F45" s="50"/>
      <c r="G45" s="175"/>
      <c r="H45" s="7"/>
      <c r="I45" s="50"/>
      <c r="J45" s="10"/>
      <c r="K45" s="50"/>
      <c r="L45" s="7"/>
      <c r="M45" s="50"/>
      <c r="N45" s="7"/>
      <c r="O45" s="50"/>
      <c r="P45" s="7"/>
      <c r="Q45" s="50"/>
      <c r="R45" s="7"/>
      <c r="S45" s="50"/>
    </row>
    <row r="46" spans="1:25" ht="24" customHeight="1" x14ac:dyDescent="0.3">
      <c r="A46" s="252"/>
      <c r="B46" s="3" t="s">
        <v>125</v>
      </c>
      <c r="C46" s="7"/>
      <c r="D46" s="7"/>
      <c r="E46" s="50"/>
      <c r="F46" s="50"/>
      <c r="G46" s="175"/>
      <c r="H46" s="7"/>
      <c r="I46" s="50"/>
      <c r="J46" s="10"/>
      <c r="K46" s="50"/>
      <c r="L46" s="7"/>
      <c r="M46" s="50"/>
      <c r="N46" s="7"/>
      <c r="O46" s="50"/>
      <c r="P46" s="7"/>
      <c r="Q46" s="50"/>
      <c r="R46" s="7"/>
      <c r="S46" s="50"/>
    </row>
    <row r="47" spans="1:25" ht="24" customHeight="1" x14ac:dyDescent="0.3">
      <c r="A47" s="252"/>
      <c r="B47" s="3" t="s">
        <v>121</v>
      </c>
      <c r="C47" s="7">
        <v>4</v>
      </c>
      <c r="D47" s="7"/>
      <c r="E47" s="50"/>
      <c r="F47" s="50">
        <v>10</v>
      </c>
      <c r="G47" s="175"/>
      <c r="H47" s="7"/>
      <c r="I47" s="50"/>
      <c r="J47" s="10">
        <v>1</v>
      </c>
      <c r="K47" s="50"/>
      <c r="L47" s="7"/>
      <c r="M47" s="50"/>
      <c r="N47" s="7"/>
      <c r="O47" s="50"/>
      <c r="P47" s="7"/>
      <c r="Q47" s="50"/>
      <c r="R47" s="7"/>
      <c r="S47" s="50"/>
    </row>
    <row r="48" spans="1:25" ht="24" customHeight="1" x14ac:dyDescent="0.3">
      <c r="A48" s="252"/>
      <c r="B48" s="3" t="s">
        <v>122</v>
      </c>
      <c r="C48" s="7"/>
      <c r="D48" s="7"/>
      <c r="E48" s="50"/>
      <c r="F48" s="50"/>
      <c r="G48" s="175"/>
      <c r="H48" s="7"/>
      <c r="I48" s="50"/>
      <c r="J48" s="10"/>
      <c r="K48" s="50"/>
      <c r="L48" s="7"/>
      <c r="M48" s="50"/>
      <c r="N48" s="7"/>
      <c r="O48" s="50"/>
      <c r="P48" s="7"/>
      <c r="Q48" s="50"/>
      <c r="R48" s="7"/>
      <c r="S48" s="50"/>
    </row>
    <row r="49" spans="1:37" ht="24" customHeight="1" x14ac:dyDescent="0.3">
      <c r="A49" s="252"/>
      <c r="B49" s="3" t="s">
        <v>123</v>
      </c>
      <c r="C49" s="7"/>
      <c r="D49" s="7"/>
      <c r="E49" s="50"/>
      <c r="F49" s="50">
        <v>5</v>
      </c>
      <c r="G49" s="175"/>
      <c r="H49" s="7"/>
      <c r="I49" s="50"/>
      <c r="J49" s="10"/>
      <c r="K49" s="50"/>
      <c r="L49" s="7"/>
      <c r="M49" s="50"/>
      <c r="N49" s="7"/>
      <c r="O49" s="50"/>
      <c r="P49" s="7"/>
      <c r="Q49" s="50"/>
      <c r="R49" s="7"/>
      <c r="S49" s="50"/>
    </row>
    <row r="50" spans="1:37" ht="24" customHeight="1" x14ac:dyDescent="0.3">
      <c r="A50" s="252"/>
      <c r="B50" s="100" t="s">
        <v>126</v>
      </c>
      <c r="C50" s="7">
        <v>35</v>
      </c>
      <c r="D50" s="7"/>
      <c r="E50" s="50">
        <v>8</v>
      </c>
      <c r="F50" s="50"/>
      <c r="G50" s="175"/>
      <c r="H50" s="7"/>
      <c r="I50" s="50"/>
      <c r="J50" s="10"/>
      <c r="K50" s="50"/>
      <c r="L50" s="7"/>
      <c r="M50" s="50"/>
      <c r="N50" s="7"/>
      <c r="O50" s="50"/>
      <c r="P50" s="7"/>
      <c r="Q50" s="50"/>
      <c r="R50" s="7"/>
      <c r="S50" s="50"/>
    </row>
    <row r="51" spans="1:37" ht="24" customHeight="1" x14ac:dyDescent="0.3">
      <c r="A51" s="252"/>
      <c r="B51" s="100" t="s">
        <v>124</v>
      </c>
      <c r="C51" s="7"/>
      <c r="D51" s="7"/>
      <c r="E51" s="50"/>
      <c r="F51" s="50"/>
      <c r="G51" s="175"/>
      <c r="H51" s="7"/>
      <c r="I51" s="50"/>
      <c r="J51" s="10"/>
      <c r="K51" s="50"/>
      <c r="L51" s="7"/>
      <c r="M51" s="50"/>
      <c r="N51" s="7"/>
      <c r="O51" s="50"/>
      <c r="P51" s="7"/>
      <c r="Q51" s="50"/>
      <c r="R51" s="7"/>
      <c r="S51" s="50"/>
    </row>
    <row r="52" spans="1:37" ht="26.25" x14ac:dyDescent="0.3">
      <c r="A52" s="279"/>
      <c r="B52" s="122"/>
      <c r="C52" s="123">
        <f>SUM(C44:C51)</f>
        <v>39</v>
      </c>
      <c r="D52" s="123">
        <f>SUM(D44:D51)</f>
        <v>0</v>
      </c>
      <c r="E52" s="123">
        <f>SUM(E44:E51)</f>
        <v>11</v>
      </c>
      <c r="F52" s="123">
        <f>SUM(F44:F51)</f>
        <v>18</v>
      </c>
      <c r="G52" s="175"/>
      <c r="H52" s="2">
        <f t="shared" ref="H52:S52" si="3">SUM(H44:H51)</f>
        <v>0</v>
      </c>
      <c r="I52" s="123">
        <f t="shared" si="3"/>
        <v>0</v>
      </c>
      <c r="J52" s="123">
        <f t="shared" si="3"/>
        <v>1</v>
      </c>
      <c r="K52" s="123">
        <f t="shared" si="3"/>
        <v>0</v>
      </c>
      <c r="L52" s="123">
        <f t="shared" si="3"/>
        <v>0</v>
      </c>
      <c r="M52" s="123">
        <f t="shared" si="3"/>
        <v>0</v>
      </c>
      <c r="N52" s="123">
        <f t="shared" si="3"/>
        <v>0</v>
      </c>
      <c r="O52" s="123">
        <f t="shared" si="3"/>
        <v>0</v>
      </c>
      <c r="P52" s="123">
        <f t="shared" si="3"/>
        <v>0</v>
      </c>
      <c r="Q52" s="123">
        <f t="shared" si="3"/>
        <v>0</v>
      </c>
      <c r="R52" s="123">
        <f t="shared" si="3"/>
        <v>0</v>
      </c>
      <c r="S52" s="123">
        <f t="shared" si="3"/>
        <v>0</v>
      </c>
      <c r="Y52" s="254"/>
      <c r="Z52" s="254"/>
      <c r="AA52" s="254"/>
      <c r="AB52" s="254"/>
      <c r="AD52" s="234"/>
      <c r="AE52" s="234"/>
      <c r="AF52" s="234"/>
      <c r="AG52" s="234"/>
      <c r="AH52" s="234"/>
      <c r="AJ52" s="234"/>
      <c r="AK52" s="234"/>
    </row>
    <row r="53" spans="1:37" ht="24" customHeight="1" x14ac:dyDescent="0.3">
      <c r="A53" s="253" t="s">
        <v>118</v>
      </c>
      <c r="B53" s="3" t="s">
        <v>171</v>
      </c>
      <c r="C53" s="7"/>
      <c r="D53" s="7"/>
      <c r="E53" s="50"/>
      <c r="F53" s="50">
        <v>3</v>
      </c>
      <c r="G53" s="175"/>
      <c r="H53" s="7"/>
      <c r="I53" s="50"/>
      <c r="J53" s="10"/>
      <c r="K53" s="50"/>
      <c r="L53" s="7"/>
      <c r="M53" s="50"/>
      <c r="N53" s="7"/>
      <c r="O53" s="50"/>
      <c r="P53" s="7"/>
      <c r="Q53" s="50">
        <v>1</v>
      </c>
      <c r="R53" s="7"/>
      <c r="S53" s="50"/>
    </row>
    <row r="54" spans="1:37" ht="24" customHeight="1" x14ac:dyDescent="0.3">
      <c r="A54" s="253"/>
      <c r="B54" s="3" t="s">
        <v>168</v>
      </c>
      <c r="C54" s="7">
        <v>1</v>
      </c>
      <c r="D54" s="7"/>
      <c r="E54" s="50"/>
      <c r="F54" s="50">
        <v>5</v>
      </c>
      <c r="G54" s="175"/>
      <c r="H54" s="7"/>
      <c r="I54" s="50"/>
      <c r="J54" s="10"/>
      <c r="K54" s="50"/>
      <c r="L54" s="7"/>
      <c r="M54" s="50"/>
      <c r="N54" s="7"/>
      <c r="O54" s="50"/>
      <c r="P54" s="7"/>
      <c r="Q54" s="50"/>
      <c r="R54" s="7"/>
      <c r="S54" s="50"/>
    </row>
    <row r="55" spans="1:37" ht="24" customHeight="1" x14ac:dyDescent="0.3">
      <c r="A55" s="253"/>
      <c r="B55" s="3" t="s">
        <v>170</v>
      </c>
      <c r="C55" s="7">
        <v>3</v>
      </c>
      <c r="D55" s="7"/>
      <c r="E55" s="50"/>
      <c r="F55" s="50">
        <v>7</v>
      </c>
      <c r="G55" s="175"/>
      <c r="H55" s="7"/>
      <c r="I55" s="50"/>
      <c r="J55" s="10"/>
      <c r="L55" s="7"/>
      <c r="M55" s="50"/>
      <c r="N55" s="7"/>
      <c r="O55" s="50"/>
      <c r="P55" s="7"/>
      <c r="Q55" s="50"/>
      <c r="R55" s="7"/>
      <c r="S55" s="50"/>
    </row>
    <row r="56" spans="1:37" ht="24" customHeight="1" x14ac:dyDescent="0.3">
      <c r="A56" s="253"/>
      <c r="B56" s="100" t="s">
        <v>166</v>
      </c>
      <c r="C56" s="7">
        <v>40</v>
      </c>
      <c r="D56" s="7"/>
      <c r="E56" s="50">
        <v>20</v>
      </c>
      <c r="F56" s="50"/>
      <c r="G56" s="175"/>
      <c r="H56" s="7"/>
      <c r="I56" s="50"/>
      <c r="J56" s="10">
        <v>2</v>
      </c>
      <c r="K56" s="50">
        <v>2</v>
      </c>
      <c r="L56" s="7"/>
      <c r="M56" s="50"/>
      <c r="N56" s="7"/>
      <c r="O56" s="50"/>
      <c r="P56" s="7"/>
      <c r="Q56" s="50"/>
      <c r="R56" s="7">
        <v>2</v>
      </c>
      <c r="S56" s="50"/>
    </row>
    <row r="57" spans="1:37" ht="24" customHeight="1" x14ac:dyDescent="0.3">
      <c r="A57" s="253"/>
      <c r="B57" s="100" t="s">
        <v>167</v>
      </c>
      <c r="C57" s="7">
        <v>7</v>
      </c>
      <c r="D57" s="7"/>
      <c r="E57" s="50">
        <v>3</v>
      </c>
      <c r="F57" s="50"/>
      <c r="G57" s="175"/>
      <c r="H57" s="7"/>
      <c r="I57" s="50"/>
      <c r="J57" s="10"/>
      <c r="K57" s="50"/>
      <c r="L57" s="7">
        <v>1</v>
      </c>
      <c r="M57" s="50"/>
      <c r="N57" s="7">
        <v>1</v>
      </c>
      <c r="O57" s="50"/>
      <c r="P57" s="7"/>
      <c r="Q57" s="50"/>
      <c r="R57" s="7"/>
      <c r="S57" s="50"/>
    </row>
    <row r="58" spans="1:37" ht="24" customHeight="1" x14ac:dyDescent="0.3">
      <c r="A58" s="253"/>
      <c r="B58" s="100" t="s">
        <v>172</v>
      </c>
      <c r="C58" s="7"/>
      <c r="D58" s="7"/>
      <c r="E58" s="50"/>
      <c r="F58" s="50"/>
      <c r="G58" s="175"/>
      <c r="H58" s="7"/>
      <c r="I58" s="50"/>
      <c r="J58" s="10"/>
      <c r="K58" s="50">
        <v>2</v>
      </c>
      <c r="L58" s="7"/>
      <c r="M58" s="50"/>
      <c r="N58" s="7"/>
      <c r="O58" s="50"/>
      <c r="P58" s="7"/>
      <c r="Q58" s="50"/>
      <c r="R58" s="7"/>
      <c r="S58" s="50"/>
    </row>
    <row r="59" spans="1:37" ht="24" customHeight="1" x14ac:dyDescent="0.3">
      <c r="A59" s="253"/>
      <c r="B59" s="100" t="s">
        <v>165</v>
      </c>
      <c r="C59" s="7">
        <v>5</v>
      </c>
      <c r="D59" s="7"/>
      <c r="E59" s="50"/>
      <c r="F59" s="50"/>
      <c r="G59" s="175"/>
      <c r="H59" s="7"/>
      <c r="I59" s="50"/>
      <c r="J59" s="10"/>
      <c r="K59" s="50"/>
      <c r="L59" s="7"/>
      <c r="M59" s="50"/>
      <c r="N59" s="7"/>
      <c r="O59" s="50"/>
      <c r="P59" s="7"/>
      <c r="Q59" s="50"/>
      <c r="R59" s="7"/>
      <c r="S59" s="50"/>
    </row>
    <row r="60" spans="1:37" ht="24" customHeight="1" x14ac:dyDescent="0.3">
      <c r="A60" s="253"/>
      <c r="B60" s="3" t="s">
        <v>173</v>
      </c>
      <c r="C60" s="7"/>
      <c r="D60" s="7"/>
      <c r="E60" s="50"/>
      <c r="F60" s="50">
        <v>2</v>
      </c>
      <c r="G60" s="175"/>
      <c r="H60" s="7"/>
      <c r="I60" s="50"/>
      <c r="J60" s="10"/>
      <c r="K60" s="50">
        <v>1</v>
      </c>
      <c r="L60" s="7"/>
      <c r="M60" s="50"/>
      <c r="N60" s="7"/>
      <c r="O60" s="50"/>
      <c r="P60" s="7"/>
      <c r="Q60" s="50"/>
      <c r="R60" s="7"/>
      <c r="S60" s="50"/>
    </row>
    <row r="61" spans="1:37" ht="24" customHeight="1" x14ac:dyDescent="0.3">
      <c r="A61" s="253"/>
      <c r="B61" s="3" t="s">
        <v>169</v>
      </c>
      <c r="C61" s="7"/>
      <c r="D61" s="7"/>
      <c r="E61" s="50"/>
      <c r="F61" s="50"/>
      <c r="G61" s="175"/>
      <c r="H61" s="7"/>
      <c r="I61" s="50"/>
      <c r="J61" s="10"/>
      <c r="K61" s="50"/>
      <c r="L61" s="7"/>
      <c r="M61" s="50"/>
      <c r="N61" s="7"/>
      <c r="O61" s="50"/>
      <c r="P61" s="7"/>
      <c r="Q61" s="50"/>
      <c r="R61" s="7"/>
      <c r="S61" s="50"/>
    </row>
    <row r="62" spans="1:37" ht="26.25" x14ac:dyDescent="0.3">
      <c r="A62" s="253"/>
      <c r="B62" s="2"/>
      <c r="C62" s="2">
        <f>SUM(C53:C61)</f>
        <v>56</v>
      </c>
      <c r="D62" s="2">
        <f>SUM(D53:D61)</f>
        <v>0</v>
      </c>
      <c r="E62" s="2">
        <f>SUM(E53:E61)</f>
        <v>23</v>
      </c>
      <c r="F62" s="2">
        <f>SUM(F53:F61)</f>
        <v>17</v>
      </c>
      <c r="G62" s="175"/>
      <c r="H62" s="2">
        <f t="shared" ref="H62:S62" si="4">SUM(H53:H61)</f>
        <v>0</v>
      </c>
      <c r="I62" s="2">
        <f t="shared" si="4"/>
        <v>0</v>
      </c>
      <c r="J62" s="2">
        <f t="shared" si="4"/>
        <v>2</v>
      </c>
      <c r="K62" s="2">
        <f t="shared" si="4"/>
        <v>5</v>
      </c>
      <c r="L62" s="2">
        <f t="shared" si="4"/>
        <v>1</v>
      </c>
      <c r="M62" s="2">
        <f t="shared" si="4"/>
        <v>0</v>
      </c>
      <c r="N62" s="2">
        <f t="shared" si="4"/>
        <v>1</v>
      </c>
      <c r="O62" s="2">
        <f t="shared" si="4"/>
        <v>0</v>
      </c>
      <c r="P62" s="2">
        <f t="shared" si="4"/>
        <v>0</v>
      </c>
      <c r="Q62" s="2">
        <f t="shared" si="4"/>
        <v>1</v>
      </c>
      <c r="R62" s="2">
        <f t="shared" si="4"/>
        <v>2</v>
      </c>
      <c r="S62" s="2">
        <f t="shared" si="4"/>
        <v>0</v>
      </c>
      <c r="Y62" s="254"/>
      <c r="Z62" s="254"/>
      <c r="AA62" s="254"/>
      <c r="AB62" s="254"/>
      <c r="AD62" s="234"/>
      <c r="AE62" s="234"/>
      <c r="AF62" s="234"/>
      <c r="AG62" s="234"/>
      <c r="AH62" s="234"/>
      <c r="AJ62" s="234"/>
      <c r="AK62" s="234"/>
    </row>
    <row r="64" spans="1:37" ht="19.5" customHeight="1" x14ac:dyDescent="0.35">
      <c r="A64" s="235" t="s">
        <v>23</v>
      </c>
      <c r="B64" s="235"/>
      <c r="C64" s="126">
        <v>47000</v>
      </c>
      <c r="D64" s="126">
        <v>4700</v>
      </c>
      <c r="E64" s="126">
        <v>58000</v>
      </c>
      <c r="F64" s="126">
        <v>5800</v>
      </c>
      <c r="H64" s="126">
        <v>5800</v>
      </c>
      <c r="I64" s="126">
        <v>4700</v>
      </c>
      <c r="J64" s="20">
        <v>6800</v>
      </c>
      <c r="K64" s="20">
        <v>5200</v>
      </c>
      <c r="L64" s="20">
        <v>20700</v>
      </c>
      <c r="M64" s="20">
        <v>6400</v>
      </c>
      <c r="N64" s="20">
        <v>18700</v>
      </c>
      <c r="O64" s="126">
        <v>25700</v>
      </c>
      <c r="P64" s="126">
        <v>8800</v>
      </c>
      <c r="Q64" s="20">
        <v>18700</v>
      </c>
      <c r="R64" s="20">
        <v>15000</v>
      </c>
      <c r="S64" s="20">
        <v>18000</v>
      </c>
      <c r="U64" s="236">
        <f>P67*0.85</f>
        <v>5893305</v>
      </c>
      <c r="V64" s="237"/>
      <c r="W64" s="238"/>
      <c r="Y64" s="242">
        <f>P69-P67</f>
        <v>0</v>
      </c>
      <c r="Z64" s="243"/>
      <c r="AA64" s="243"/>
      <c r="AB64" s="243"/>
      <c r="AD64" s="234"/>
      <c r="AE64" s="234"/>
      <c r="AF64" s="234"/>
      <c r="AG64" s="234"/>
      <c r="AH64" s="234"/>
      <c r="AJ64" s="234"/>
      <c r="AK64" s="234"/>
    </row>
    <row r="65" spans="1:37" ht="19.5" customHeight="1" x14ac:dyDescent="0.35">
      <c r="A65" s="235" t="s">
        <v>24</v>
      </c>
      <c r="B65" s="235"/>
      <c r="C65" s="20">
        <f>C64*C3</f>
        <v>4465000</v>
      </c>
      <c r="D65" s="20">
        <f>D64*D3</f>
        <v>0</v>
      </c>
      <c r="E65" s="20">
        <f>E64*E3</f>
        <v>1972000</v>
      </c>
      <c r="F65" s="20">
        <f>F64*F3</f>
        <v>203000</v>
      </c>
      <c r="H65" s="20">
        <f t="shared" ref="H65:S65" si="5">H64*H3</f>
        <v>0</v>
      </c>
      <c r="I65" s="20">
        <f t="shared" si="5"/>
        <v>0</v>
      </c>
      <c r="J65" s="20">
        <f t="shared" si="5"/>
        <v>27200</v>
      </c>
      <c r="K65" s="20">
        <f t="shared" si="5"/>
        <v>31200</v>
      </c>
      <c r="L65" s="20">
        <f t="shared" si="5"/>
        <v>41400</v>
      </c>
      <c r="M65" s="20">
        <f t="shared" si="5"/>
        <v>0</v>
      </c>
      <c r="N65" s="20">
        <f t="shared" si="5"/>
        <v>112200</v>
      </c>
      <c r="O65" s="20">
        <f t="shared" si="5"/>
        <v>0</v>
      </c>
      <c r="P65" s="20">
        <f t="shared" si="5"/>
        <v>17600</v>
      </c>
      <c r="Q65" s="20">
        <f t="shared" si="5"/>
        <v>18700</v>
      </c>
      <c r="R65" s="20">
        <f t="shared" si="5"/>
        <v>45000</v>
      </c>
      <c r="S65" s="20">
        <f t="shared" si="5"/>
        <v>0</v>
      </c>
      <c r="U65" s="239"/>
      <c r="V65" s="240"/>
      <c r="W65" s="241"/>
      <c r="Y65" s="243"/>
      <c r="Z65" s="243"/>
      <c r="AA65" s="243"/>
      <c r="AB65" s="243"/>
      <c r="AD65" s="234"/>
      <c r="AE65" s="234"/>
      <c r="AF65" s="234"/>
      <c r="AG65" s="234"/>
      <c r="AH65" s="234"/>
      <c r="AJ65" s="234"/>
      <c r="AK65" s="234"/>
    </row>
    <row r="67" spans="1:37" ht="26.25" x14ac:dyDescent="0.3">
      <c r="P67" s="259">
        <f>SUM(C65:S65)</f>
        <v>6933300</v>
      </c>
      <c r="Q67" s="260"/>
      <c r="U67" s="247"/>
      <c r="V67" s="248"/>
      <c r="W67" s="248"/>
      <c r="Y67" s="249"/>
      <c r="Z67" s="250"/>
      <c r="AA67" s="250"/>
      <c r="AB67" s="251"/>
    </row>
    <row r="69" spans="1:37" ht="26.25" x14ac:dyDescent="0.3">
      <c r="C69" s="244"/>
      <c r="D69" s="245"/>
      <c r="P69" s="246">
        <v>6933300</v>
      </c>
      <c r="Q69" s="246"/>
      <c r="U69" s="247">
        <f>P69*0.85</f>
        <v>5893305</v>
      </c>
      <c r="V69" s="248"/>
      <c r="W69" s="248"/>
      <c r="Y69" s="249"/>
      <c r="Z69" s="250"/>
      <c r="AA69" s="250"/>
      <c r="AB69" s="251"/>
    </row>
    <row r="70" spans="1:37" x14ac:dyDescent="0.3">
      <c r="Q70" s="18"/>
      <c r="S70" s="18"/>
      <c r="U70" s="245"/>
      <c r="V70" s="245"/>
      <c r="W70" s="245"/>
      <c r="Y70" s="255"/>
      <c r="Z70" s="256"/>
      <c r="AA70" s="256"/>
      <c r="AB70" s="256"/>
    </row>
    <row r="71" spans="1:37" x14ac:dyDescent="0.3">
      <c r="P71" s="244"/>
      <c r="Q71" s="245"/>
      <c r="U71" s="245"/>
      <c r="V71" s="245"/>
      <c r="W71" s="245"/>
      <c r="Y71" s="245"/>
      <c r="Z71" s="245"/>
      <c r="AA71" s="245"/>
      <c r="AB71" s="245"/>
    </row>
    <row r="72" spans="1:37" x14ac:dyDescent="0.3">
      <c r="P72" s="245"/>
      <c r="Q72" s="245"/>
      <c r="U72" s="245"/>
      <c r="V72" s="245"/>
      <c r="W72" s="245"/>
      <c r="Y72" s="245"/>
      <c r="Z72" s="245"/>
      <c r="AA72" s="245"/>
      <c r="AB72" s="245"/>
    </row>
    <row r="73" spans="1:37" x14ac:dyDescent="0.3">
      <c r="P73" s="18"/>
      <c r="Q73" s="18"/>
      <c r="S73" s="18"/>
      <c r="Y73" s="245"/>
      <c r="Z73" s="245"/>
      <c r="AA73" s="245"/>
      <c r="AB73" s="245"/>
    </row>
    <row r="74" spans="1:37" x14ac:dyDescent="0.3">
      <c r="C74">
        <f>C64*0.85</f>
        <v>39950</v>
      </c>
      <c r="D74">
        <f t="shared" ref="D74:R74" si="6">D64*0.85</f>
        <v>3995</v>
      </c>
      <c r="E74">
        <f t="shared" si="6"/>
        <v>49300</v>
      </c>
      <c r="F74">
        <f t="shared" si="6"/>
        <v>4930</v>
      </c>
      <c r="H74">
        <f t="shared" si="6"/>
        <v>4930</v>
      </c>
      <c r="I74">
        <f t="shared" si="6"/>
        <v>3995</v>
      </c>
      <c r="J74">
        <f t="shared" si="6"/>
        <v>5780</v>
      </c>
      <c r="K74">
        <f t="shared" si="6"/>
        <v>4420</v>
      </c>
      <c r="L74">
        <f t="shared" si="6"/>
        <v>17595</v>
      </c>
      <c r="M74">
        <f t="shared" si="6"/>
        <v>5440</v>
      </c>
      <c r="N74">
        <f t="shared" si="6"/>
        <v>15895</v>
      </c>
      <c r="O74">
        <f t="shared" si="6"/>
        <v>21845</v>
      </c>
      <c r="P74">
        <f t="shared" si="6"/>
        <v>7480</v>
      </c>
      <c r="Q74">
        <f t="shared" si="6"/>
        <v>15895</v>
      </c>
      <c r="R74">
        <f t="shared" si="6"/>
        <v>12750</v>
      </c>
      <c r="S74">
        <f>S64*0.85</f>
        <v>15300</v>
      </c>
    </row>
    <row r="75" spans="1:37" x14ac:dyDescent="0.3">
      <c r="C75">
        <v>29500</v>
      </c>
      <c r="D75">
        <v>2950</v>
      </c>
      <c r="E75">
        <v>51000</v>
      </c>
      <c r="F75">
        <v>5100</v>
      </c>
      <c r="H75">
        <v>3600</v>
      </c>
      <c r="I75">
        <v>2950</v>
      </c>
      <c r="J75">
        <v>4000</v>
      </c>
      <c r="K75">
        <v>4200</v>
      </c>
      <c r="L75">
        <v>15000</v>
      </c>
      <c r="M75">
        <v>4500</v>
      </c>
      <c r="N75">
        <v>9500</v>
      </c>
      <c r="O75">
        <v>12000</v>
      </c>
      <c r="P75">
        <v>8000</v>
      </c>
      <c r="Q75">
        <v>12000</v>
      </c>
      <c r="R75">
        <v>8500</v>
      </c>
    </row>
    <row r="76" spans="1:37" x14ac:dyDescent="0.3">
      <c r="C76">
        <f>C74-C75</f>
        <v>10450</v>
      </c>
      <c r="D76">
        <f t="shared" ref="D76:R76" si="7">D74-D75</f>
        <v>1045</v>
      </c>
      <c r="E76">
        <f t="shared" si="7"/>
        <v>-1700</v>
      </c>
      <c r="F76">
        <f t="shared" si="7"/>
        <v>-170</v>
      </c>
      <c r="H76">
        <f t="shared" si="7"/>
        <v>1330</v>
      </c>
      <c r="I76">
        <f t="shared" si="7"/>
        <v>1045</v>
      </c>
      <c r="J76">
        <f t="shared" si="7"/>
        <v>1780</v>
      </c>
      <c r="K76">
        <f t="shared" si="7"/>
        <v>220</v>
      </c>
      <c r="L76">
        <f t="shared" si="7"/>
        <v>2595</v>
      </c>
      <c r="M76">
        <f t="shared" si="7"/>
        <v>940</v>
      </c>
      <c r="N76">
        <f t="shared" si="7"/>
        <v>6395</v>
      </c>
      <c r="O76">
        <f t="shared" si="7"/>
        <v>9845</v>
      </c>
      <c r="P76">
        <f t="shared" si="7"/>
        <v>-520</v>
      </c>
      <c r="Q76">
        <f t="shared" si="7"/>
        <v>3895</v>
      </c>
      <c r="R76">
        <f t="shared" si="7"/>
        <v>4250</v>
      </c>
    </row>
    <row r="77" spans="1:37" x14ac:dyDescent="0.3">
      <c r="C77">
        <f t="shared" ref="C77:R77" si="8">C76*C3</f>
        <v>992750</v>
      </c>
      <c r="D77">
        <f t="shared" si="8"/>
        <v>0</v>
      </c>
      <c r="E77">
        <f t="shared" si="8"/>
        <v>-57800</v>
      </c>
      <c r="F77">
        <f t="shared" si="8"/>
        <v>-5950</v>
      </c>
      <c r="G77">
        <f t="shared" si="8"/>
        <v>0</v>
      </c>
      <c r="H77">
        <f t="shared" si="8"/>
        <v>0</v>
      </c>
      <c r="I77">
        <f t="shared" si="8"/>
        <v>0</v>
      </c>
      <c r="J77">
        <f t="shared" si="8"/>
        <v>7120</v>
      </c>
      <c r="K77">
        <f t="shared" si="8"/>
        <v>1320</v>
      </c>
      <c r="L77">
        <f t="shared" si="8"/>
        <v>5190</v>
      </c>
      <c r="M77">
        <f t="shared" si="8"/>
        <v>0</v>
      </c>
      <c r="N77">
        <f t="shared" si="8"/>
        <v>38370</v>
      </c>
      <c r="O77">
        <f t="shared" si="8"/>
        <v>0</v>
      </c>
      <c r="P77">
        <f t="shared" si="8"/>
        <v>-1040</v>
      </c>
      <c r="Q77">
        <f t="shared" si="8"/>
        <v>3895</v>
      </c>
      <c r="R77">
        <f t="shared" si="8"/>
        <v>12750</v>
      </c>
      <c r="X77" s="245"/>
      <c r="Y77" s="245"/>
      <c r="Z77" s="245"/>
      <c r="AA77" s="245"/>
      <c r="AB77" s="245"/>
    </row>
    <row r="78" spans="1:37" x14ac:dyDescent="0.3">
      <c r="X78" s="245"/>
      <c r="Y78" s="245"/>
      <c r="Z78" s="245"/>
      <c r="AA78" s="245"/>
      <c r="AB78" s="245"/>
    </row>
    <row r="79" spans="1:37" ht="26.25" x14ac:dyDescent="0.3">
      <c r="P79" s="257">
        <f>SUM(C77:R77)</f>
        <v>996605</v>
      </c>
      <c r="Q79" s="258"/>
    </row>
  </sheetData>
  <mergeCells count="31">
    <mergeCell ref="U70:W72"/>
    <mergeCell ref="Y70:AB73"/>
    <mergeCell ref="P71:Q72"/>
    <mergeCell ref="X77:AB78"/>
    <mergeCell ref="P79:Q79"/>
    <mergeCell ref="P67:Q67"/>
    <mergeCell ref="U67:W67"/>
    <mergeCell ref="Y67:AB67"/>
    <mergeCell ref="C69:D69"/>
    <mergeCell ref="P69:Q69"/>
    <mergeCell ref="U69:W69"/>
    <mergeCell ref="Y69:AB69"/>
    <mergeCell ref="A64:B64"/>
    <mergeCell ref="U64:W65"/>
    <mergeCell ref="Y64:AB65"/>
    <mergeCell ref="AD64:AH65"/>
    <mergeCell ref="AJ64:AK65"/>
    <mergeCell ref="A65:B65"/>
    <mergeCell ref="Y52:AB52"/>
    <mergeCell ref="AD52:AH52"/>
    <mergeCell ref="AJ52:AK52"/>
    <mergeCell ref="A53:A62"/>
    <mergeCell ref="Y62:AB62"/>
    <mergeCell ref="AD62:AH62"/>
    <mergeCell ref="AJ62:AK62"/>
    <mergeCell ref="A1:B2"/>
    <mergeCell ref="C1:D1"/>
    <mergeCell ref="E1:F1"/>
    <mergeCell ref="A4:A22"/>
    <mergeCell ref="A23:A43"/>
    <mergeCell ref="A44:A52"/>
  </mergeCells>
  <phoneticPr fontId="49" type="noConversion"/>
  <conditionalFormatting sqref="B7:B11">
    <cfRule type="duplicateValues" dxfId="55" priority="2"/>
  </conditionalFormatting>
  <conditionalFormatting sqref="B44:B51">
    <cfRule type="duplicateValues" dxfId="54" priority="3"/>
  </conditionalFormatting>
  <conditionalFormatting sqref="B12">
    <cfRule type="duplicateValues" dxfId="53" priority="1"/>
  </conditionalFormatting>
  <conditionalFormatting sqref="B4:B6 B13:B21">
    <cfRule type="expression" dxfId="52" priority="4" stopIfTrue="1">
      <formula>AND(COUNTIF($B$4:$B$6, B4)+COUNTIF($B$13:$B$21, B4)&gt;1,NOT(ISBLANK(B4)))</formula>
    </cfRule>
  </conditionalFormatting>
  <conditionalFormatting sqref="B53:B61">
    <cfRule type="duplicateValues" dxfId="51" priority="5"/>
  </conditionalFormatting>
  <conditionalFormatting sqref="B23:B42">
    <cfRule type="duplicateValues" dxfId="50" priority="6"/>
  </conditionalFormatting>
  <printOptions horizontalCentered="1" verticalCentered="1"/>
  <pageMargins left="0" right="0" top="7.874015748031496E-2" bottom="7.874015748031496E-2" header="0" footer="0"/>
  <pageSetup paperSize="9" scale="23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T18"/>
  <sheetViews>
    <sheetView zoomScale="70" zoomScaleNormal="70" workbookViewId="0">
      <pane ySplit="3" topLeftCell="A10" activePane="bottomLeft" state="frozen"/>
      <selection activeCell="U12" sqref="U12"/>
      <selection pane="bottomLeft" activeCell="U12" sqref="U12"/>
    </sheetView>
  </sheetViews>
  <sheetFormatPr defaultRowHeight="16.5" x14ac:dyDescent="0.3"/>
  <cols>
    <col min="1" max="1" width="32.875" customWidth="1"/>
    <col min="2" max="6" width="10" customWidth="1"/>
    <col min="7" max="7" width="5.75" customWidth="1"/>
    <col min="8" max="8" width="18.5" customWidth="1"/>
    <col min="9" max="20" width="10.875" customWidth="1"/>
  </cols>
  <sheetData>
    <row r="1" spans="1:20" ht="113.25" customHeight="1" x14ac:dyDescent="0.3">
      <c r="A1" s="222" t="s">
        <v>204</v>
      </c>
      <c r="B1" s="223"/>
      <c r="C1" s="267" t="s">
        <v>97</v>
      </c>
      <c r="D1" s="268"/>
      <c r="E1" s="228" t="s">
        <v>98</v>
      </c>
      <c r="F1" s="228"/>
      <c r="G1" s="8"/>
      <c r="H1" s="269" t="s">
        <v>18</v>
      </c>
      <c r="I1" s="72" t="s">
        <v>20</v>
      </c>
      <c r="J1" s="174" t="s">
        <v>21</v>
      </c>
      <c r="K1" s="5" t="s">
        <v>101</v>
      </c>
      <c r="L1" s="174" t="s">
        <v>100</v>
      </c>
      <c r="M1" s="5" t="s">
        <v>96</v>
      </c>
      <c r="N1" s="174" t="s">
        <v>183</v>
      </c>
      <c r="O1" s="5" t="s">
        <v>114</v>
      </c>
      <c r="P1" s="174" t="s">
        <v>115</v>
      </c>
      <c r="Q1" s="5" t="s">
        <v>190</v>
      </c>
      <c r="R1" s="174" t="s">
        <v>105</v>
      </c>
      <c r="S1" s="5" t="s">
        <v>106</v>
      </c>
      <c r="T1" s="174" t="s">
        <v>191</v>
      </c>
    </row>
    <row r="2" spans="1:20" ht="43.5" customHeight="1" x14ac:dyDescent="0.3">
      <c r="A2" s="224"/>
      <c r="B2" s="225"/>
      <c r="C2" s="73" t="s">
        <v>2</v>
      </c>
      <c r="D2" s="73" t="s">
        <v>22</v>
      </c>
      <c r="E2" s="1" t="s">
        <v>2</v>
      </c>
      <c r="F2" s="1" t="s">
        <v>1</v>
      </c>
      <c r="G2" s="9"/>
      <c r="H2" s="270"/>
      <c r="I2" s="6" t="s">
        <v>3</v>
      </c>
      <c r="J2" s="1" t="s">
        <v>1</v>
      </c>
      <c r="K2" s="6" t="s">
        <v>3</v>
      </c>
      <c r="L2" s="1" t="s">
        <v>1</v>
      </c>
      <c r="M2" s="6" t="s">
        <v>3</v>
      </c>
      <c r="N2" s="1" t="s">
        <v>1</v>
      </c>
      <c r="O2" s="6" t="s">
        <v>3</v>
      </c>
      <c r="P2" s="1" t="s">
        <v>1</v>
      </c>
      <c r="Q2" s="6" t="s">
        <v>3</v>
      </c>
      <c r="R2" s="1" t="s">
        <v>1</v>
      </c>
      <c r="S2" s="6" t="s">
        <v>3</v>
      </c>
      <c r="T2" s="1" t="s">
        <v>1</v>
      </c>
    </row>
    <row r="3" spans="1:20" ht="39" customHeight="1" thickBot="1" x14ac:dyDescent="0.35">
      <c r="A3" s="271" t="s">
        <v>10</v>
      </c>
      <c r="B3" s="272"/>
      <c r="C3" s="44">
        <f>SUM(C4:C20)</f>
        <v>95</v>
      </c>
      <c r="D3" s="44">
        <f>SUM(D4:D20)</f>
        <v>0</v>
      </c>
      <c r="E3" s="44">
        <f>SUM(E4:E20)</f>
        <v>34</v>
      </c>
      <c r="F3" s="44">
        <f>SUM(F4:F20)</f>
        <v>35</v>
      </c>
      <c r="G3" s="175"/>
      <c r="H3" s="13" t="s">
        <v>10</v>
      </c>
      <c r="I3" s="44">
        <f>SUM(I4:I15)</f>
        <v>0</v>
      </c>
      <c r="J3" s="44">
        <f t="shared" ref="J3:T3" si="0">SUM(J4:J15)</f>
        <v>0</v>
      </c>
      <c r="K3" s="44">
        <f t="shared" si="0"/>
        <v>4</v>
      </c>
      <c r="L3" s="44">
        <f t="shared" si="0"/>
        <v>6</v>
      </c>
      <c r="M3" s="44">
        <f t="shared" si="0"/>
        <v>2</v>
      </c>
      <c r="N3" s="44">
        <f t="shared" si="0"/>
        <v>0</v>
      </c>
      <c r="O3" s="44">
        <f t="shared" si="0"/>
        <v>6</v>
      </c>
      <c r="P3" s="44">
        <f t="shared" si="0"/>
        <v>0</v>
      </c>
      <c r="Q3" s="44">
        <f t="shared" si="0"/>
        <v>2</v>
      </c>
      <c r="R3" s="44">
        <f t="shared" si="0"/>
        <v>1</v>
      </c>
      <c r="S3" s="44">
        <f t="shared" si="0"/>
        <v>3</v>
      </c>
      <c r="T3" s="44">
        <f t="shared" si="0"/>
        <v>0</v>
      </c>
    </row>
    <row r="4" spans="1:20" ht="82.7" customHeight="1" thickTop="1" x14ac:dyDescent="0.3">
      <c r="A4" s="273" t="s">
        <v>15</v>
      </c>
      <c r="B4" s="274"/>
      <c r="C4" s="57">
        <f>'학교별05.15'!C22</f>
        <v>0</v>
      </c>
      <c r="D4" s="57">
        <f>'학교별05.15'!D22</f>
        <v>0</v>
      </c>
      <c r="E4" s="58">
        <f>'학교별05.15'!E22</f>
        <v>0</v>
      </c>
      <c r="F4" s="59">
        <f>'학교별05.15'!F22</f>
        <v>0</v>
      </c>
      <c r="G4" s="175"/>
      <c r="H4" s="49" t="s">
        <v>15</v>
      </c>
      <c r="I4" s="47">
        <f>'학교별05.15'!H22</f>
        <v>0</v>
      </c>
      <c r="J4" s="45">
        <f>'학교별05.15'!I22</f>
        <v>0</v>
      </c>
      <c r="K4" s="47">
        <f>'학교별05.15'!J22</f>
        <v>1</v>
      </c>
      <c r="L4" s="45">
        <f>'학교별05.15'!K22</f>
        <v>1</v>
      </c>
      <c r="M4" s="47">
        <f>'학교별05.15'!L22</f>
        <v>1</v>
      </c>
      <c r="N4" s="45">
        <f>'학교별05.15'!M22</f>
        <v>0</v>
      </c>
      <c r="O4" s="47">
        <f>'학교별05.15'!N22</f>
        <v>2</v>
      </c>
      <c r="P4" s="45">
        <f>'학교별05.15'!O22</f>
        <v>0</v>
      </c>
      <c r="Q4" s="47">
        <f>'학교별05.15'!P22</f>
        <v>2</v>
      </c>
      <c r="R4" s="45">
        <f>'학교별05.15'!Q22</f>
        <v>0</v>
      </c>
      <c r="S4" s="47">
        <f>'학교별05.15'!R22</f>
        <v>1</v>
      </c>
      <c r="T4" s="87">
        <f>'학교별05.15'!S22</f>
        <v>0</v>
      </c>
    </row>
    <row r="5" spans="1:20" ht="82.7" customHeight="1" x14ac:dyDescent="0.3">
      <c r="A5" s="289"/>
      <c r="B5" s="290"/>
      <c r="C5" s="172"/>
      <c r="D5" s="165"/>
      <c r="E5" s="166"/>
      <c r="F5" s="173"/>
      <c r="G5" s="175"/>
      <c r="H5" s="40"/>
      <c r="I5" s="41"/>
      <c r="J5" s="42"/>
      <c r="K5" s="41"/>
      <c r="L5" s="42"/>
      <c r="M5" s="41"/>
      <c r="N5" s="42"/>
      <c r="O5" s="41"/>
      <c r="P5" s="42"/>
      <c r="Q5" s="41"/>
      <c r="R5" s="42"/>
      <c r="S5" s="41"/>
      <c r="T5" s="88"/>
    </row>
    <row r="6" spans="1:20" ht="82.7" customHeight="1" thickBot="1" x14ac:dyDescent="0.35">
      <c r="A6" s="275"/>
      <c r="B6" s="276"/>
      <c r="C6" s="79"/>
      <c r="D6" s="60"/>
      <c r="E6" s="62"/>
      <c r="F6" s="61"/>
      <c r="G6" s="175"/>
      <c r="H6" s="40"/>
      <c r="I6" s="83"/>
      <c r="J6" s="81"/>
      <c r="K6" s="95"/>
      <c r="L6" s="81"/>
      <c r="M6" s="84"/>
      <c r="N6" s="81"/>
      <c r="O6" s="83"/>
      <c r="P6" s="42"/>
      <c r="Q6" s="41"/>
      <c r="R6" s="42"/>
      <c r="S6" s="83"/>
      <c r="T6" s="88"/>
    </row>
    <row r="7" spans="1:20" ht="18" thickTop="1" thickBot="1" x14ac:dyDescent="0.35">
      <c r="H7" s="33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138"/>
    </row>
    <row r="8" spans="1:20" ht="82.7" customHeight="1" thickTop="1" x14ac:dyDescent="0.3">
      <c r="A8" s="277" t="s">
        <v>26</v>
      </c>
      <c r="B8" s="278"/>
      <c r="C8" s="47">
        <f>'학교별05.15'!C43</f>
        <v>0</v>
      </c>
      <c r="D8" s="47">
        <f>'학교별05.15'!D43</f>
        <v>0</v>
      </c>
      <c r="E8" s="45">
        <f>'학교별05.15'!E43</f>
        <v>0</v>
      </c>
      <c r="F8" s="45">
        <f>'학교별05.15'!F43</f>
        <v>0</v>
      </c>
      <c r="G8" s="37"/>
      <c r="H8" s="55" t="s">
        <v>17</v>
      </c>
      <c r="I8" s="48">
        <f>'학교별05.15'!H43</f>
        <v>0</v>
      </c>
      <c r="J8" s="46">
        <f>'학교별05.15'!I43</f>
        <v>0</v>
      </c>
      <c r="K8" s="48">
        <f>'학교별05.15'!J43</f>
        <v>0</v>
      </c>
      <c r="L8" s="46">
        <f>'학교별05.15'!K43</f>
        <v>0</v>
      </c>
      <c r="M8" s="48">
        <f>'학교별05.15'!L43</f>
        <v>0</v>
      </c>
      <c r="N8" s="46">
        <f>'학교별05.15'!M43</f>
        <v>0</v>
      </c>
      <c r="O8" s="48">
        <f>'학교별05.15'!N43</f>
        <v>3</v>
      </c>
      <c r="P8" s="46">
        <f>'학교별05.15'!O43</f>
        <v>0</v>
      </c>
      <c r="Q8" s="48">
        <f>'학교별05.15'!P43</f>
        <v>0</v>
      </c>
      <c r="R8" s="46">
        <f>'학교별05.15'!Q43</f>
        <v>0</v>
      </c>
      <c r="S8" s="48">
        <f>'학교별05.15'!R43</f>
        <v>0</v>
      </c>
      <c r="T8" s="90">
        <f>'학교별05.15'!S43</f>
        <v>0</v>
      </c>
    </row>
    <row r="9" spans="1:20" ht="82.7" customHeight="1" thickBot="1" x14ac:dyDescent="0.35">
      <c r="A9" s="261"/>
      <c r="B9" s="262"/>
      <c r="C9" s="75"/>
      <c r="D9" s="96"/>
      <c r="E9" s="78"/>
      <c r="F9" s="38"/>
      <c r="G9" s="39"/>
      <c r="H9" s="175"/>
      <c r="I9" s="41"/>
      <c r="J9" s="42"/>
      <c r="K9" s="41"/>
      <c r="L9" s="42"/>
      <c r="M9" s="41"/>
      <c r="N9" s="42"/>
      <c r="O9" s="41"/>
      <c r="P9" s="42"/>
      <c r="Q9" s="41"/>
      <c r="R9" s="98"/>
      <c r="S9" s="41"/>
      <c r="T9" s="88"/>
    </row>
    <row r="10" spans="1:20" ht="18" thickTop="1" thickBot="1" x14ac:dyDescent="0.35">
      <c r="H10" s="33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138"/>
    </row>
    <row r="11" spans="1:20" ht="82.7" customHeight="1" thickTop="1" x14ac:dyDescent="0.3">
      <c r="A11" s="263" t="s">
        <v>16</v>
      </c>
      <c r="B11" s="264"/>
      <c r="C11" s="65">
        <f>'학교별05.15'!C52</f>
        <v>39</v>
      </c>
      <c r="D11" s="65">
        <f>'학교별05.15'!D52</f>
        <v>0</v>
      </c>
      <c r="E11" s="66">
        <f>'학교별05.15'!E52</f>
        <v>11</v>
      </c>
      <c r="F11" s="67">
        <f>'학교별05.15'!F52</f>
        <v>18</v>
      </c>
      <c r="G11" s="175"/>
      <c r="H11" s="136" t="s">
        <v>25</v>
      </c>
      <c r="I11" s="127">
        <f>'학교별05.15'!H52</f>
        <v>0</v>
      </c>
      <c r="J11" s="128">
        <f>'학교별05.15'!I52</f>
        <v>0</v>
      </c>
      <c r="K11" s="127">
        <f>'학교별05.15'!J52</f>
        <v>1</v>
      </c>
      <c r="L11" s="128">
        <f>'학교별05.15'!K52</f>
        <v>0</v>
      </c>
      <c r="M11" s="127">
        <f>'학교별05.15'!L52</f>
        <v>0</v>
      </c>
      <c r="N11" s="128">
        <f>'학교별05.15'!M52</f>
        <v>0</v>
      </c>
      <c r="O11" s="127">
        <f>'학교별05.15'!N52</f>
        <v>0</v>
      </c>
      <c r="P11" s="128">
        <f>'학교별05.15'!O52</f>
        <v>0</v>
      </c>
      <c r="Q11" s="127">
        <f>'학교별05.15'!P52</f>
        <v>0</v>
      </c>
      <c r="R11" s="128">
        <f>'학교별05.15'!Q52</f>
        <v>0</v>
      </c>
      <c r="S11" s="127">
        <f>'학교별05.15'!R52</f>
        <v>0</v>
      </c>
      <c r="T11" s="137">
        <f>'학교별05.15'!S52</f>
        <v>0</v>
      </c>
    </row>
    <row r="12" spans="1:20" ht="82.7" customHeight="1" thickBot="1" x14ac:dyDescent="0.35">
      <c r="A12" s="265"/>
      <c r="B12" s="266"/>
      <c r="C12" s="68"/>
      <c r="D12" s="69"/>
      <c r="E12" s="144"/>
      <c r="F12" s="71"/>
      <c r="H12" s="33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138"/>
    </row>
    <row r="13" spans="1:20" ht="18" thickTop="1" thickBot="1" x14ac:dyDescent="0.35">
      <c r="H13" s="33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138"/>
    </row>
    <row r="14" spans="1:20" ht="82.7" customHeight="1" thickTop="1" x14ac:dyDescent="0.3">
      <c r="A14" s="282" t="s">
        <v>175</v>
      </c>
      <c r="B14" s="283"/>
      <c r="C14" s="129">
        <f>'학교별05.15'!C62</f>
        <v>56</v>
      </c>
      <c r="D14" s="129">
        <f>'학교별05.15'!D62</f>
        <v>0</v>
      </c>
      <c r="E14" s="130">
        <f>'학교별05.15'!E62</f>
        <v>23</v>
      </c>
      <c r="F14" s="131">
        <f>'학교별05.15'!F62</f>
        <v>17</v>
      </c>
      <c r="G14" s="175"/>
      <c r="H14" s="136" t="s">
        <v>174</v>
      </c>
      <c r="I14" s="127">
        <f>'학교별05.15'!H62</f>
        <v>0</v>
      </c>
      <c r="J14" s="128">
        <f>'학교별05.15'!I62</f>
        <v>0</v>
      </c>
      <c r="K14" s="127">
        <f>'학교별05.15'!J62</f>
        <v>2</v>
      </c>
      <c r="L14" s="128">
        <f>'학교별05.15'!K62</f>
        <v>5</v>
      </c>
      <c r="M14" s="127">
        <f>'학교별05.15'!L62</f>
        <v>1</v>
      </c>
      <c r="N14" s="128">
        <f>'학교별05.15'!M62</f>
        <v>0</v>
      </c>
      <c r="O14" s="127">
        <f>'학교별05.15'!N62</f>
        <v>1</v>
      </c>
      <c r="P14" s="128">
        <f>'학교별05.15'!O62</f>
        <v>0</v>
      </c>
      <c r="Q14" s="127">
        <f>'학교별05.15'!P62</f>
        <v>0</v>
      </c>
      <c r="R14" s="128">
        <f>'학교별05.15'!Q62</f>
        <v>1</v>
      </c>
      <c r="S14" s="127">
        <f>'학교별05.15'!R62</f>
        <v>2</v>
      </c>
      <c r="T14" s="137">
        <f>'학교별05.15'!S62</f>
        <v>0</v>
      </c>
    </row>
    <row r="15" spans="1:20" ht="82.7" customHeight="1" thickBot="1" x14ac:dyDescent="0.35">
      <c r="A15" s="280"/>
      <c r="B15" s="281"/>
      <c r="C15" s="132"/>
      <c r="D15" s="133"/>
      <c r="E15" s="134"/>
      <c r="F15" s="135"/>
      <c r="H15" s="64"/>
      <c r="I15" s="14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152"/>
    </row>
    <row r="16" spans="1:20" ht="17.25" thickTop="1" x14ac:dyDescent="0.3"/>
    <row r="18" spans="8:8" x14ac:dyDescent="0.3">
      <c r="H18" t="s">
        <v>83</v>
      </c>
    </row>
  </sheetData>
  <mergeCells count="14">
    <mergeCell ref="A14:B14"/>
    <mergeCell ref="A15:B15"/>
    <mergeCell ref="A5:B5"/>
    <mergeCell ref="A6:B6"/>
    <mergeCell ref="A8:B8"/>
    <mergeCell ref="A9:B9"/>
    <mergeCell ref="A11:B11"/>
    <mergeCell ref="A12:B12"/>
    <mergeCell ref="A1:B2"/>
    <mergeCell ref="C1:D1"/>
    <mergeCell ref="E1:F1"/>
    <mergeCell ref="H1:H2"/>
    <mergeCell ref="A3:B3"/>
    <mergeCell ref="A4:B4"/>
  </mergeCells>
  <phoneticPr fontId="49" type="noConversion"/>
  <conditionalFormatting sqref="A4:A6">
    <cfRule type="duplicateValues" dxfId="49" priority="2"/>
  </conditionalFormatting>
  <conditionalFormatting sqref="A8:A9">
    <cfRule type="duplicateValues" dxfId="48" priority="3"/>
  </conditionalFormatting>
  <conditionalFormatting sqref="A14">
    <cfRule type="duplicateValues" dxfId="47" priority="1"/>
  </conditionalFormatting>
  <conditionalFormatting sqref="A11">
    <cfRule type="duplicateValues" dxfId="46" priority="4"/>
  </conditionalFormatting>
  <printOptions horizontalCentered="1" verticalCentered="1"/>
  <pageMargins left="0" right="0" top="7.874015748031496E-2" bottom="7.874015748031496E-2" header="0" footer="0"/>
  <pageSetup paperSize="9" scale="5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79"/>
  <sheetViews>
    <sheetView zoomScale="70" zoomScaleNormal="70" workbookViewId="0">
      <pane ySplit="3" topLeftCell="A13" activePane="bottomLeft" state="frozen"/>
      <selection activeCell="X9" sqref="X9"/>
      <selection pane="bottomLeft" activeCell="X9" sqref="X9"/>
    </sheetView>
  </sheetViews>
  <sheetFormatPr defaultRowHeight="16.5" x14ac:dyDescent="0.3"/>
  <cols>
    <col min="1" max="1" width="9" customWidth="1"/>
    <col min="2" max="2" width="33.75" customWidth="1"/>
    <col min="3" max="3" width="10.75" customWidth="1"/>
    <col min="4" max="4" width="10" customWidth="1"/>
    <col min="5" max="5" width="10.5" customWidth="1"/>
    <col min="6" max="6" width="10" customWidth="1"/>
    <col min="7" max="7" width="4.125" customWidth="1"/>
    <col min="8" max="19" width="10.875" customWidth="1"/>
    <col min="20" max="20" width="5.5" customWidth="1"/>
    <col min="21" max="21" width="10.875" bestFit="1" customWidth="1"/>
  </cols>
  <sheetData>
    <row r="1" spans="1:23" ht="113.25" customHeight="1" x14ac:dyDescent="0.3">
      <c r="A1" s="222" t="s">
        <v>205</v>
      </c>
      <c r="B1" s="223"/>
      <c r="C1" s="226" t="s">
        <v>0</v>
      </c>
      <c r="D1" s="227"/>
      <c r="E1" s="228" t="s">
        <v>19</v>
      </c>
      <c r="F1" s="228"/>
      <c r="G1" s="8"/>
      <c r="H1" s="72" t="s">
        <v>20</v>
      </c>
      <c r="I1" s="176" t="s">
        <v>21</v>
      </c>
      <c r="J1" s="5" t="s">
        <v>7</v>
      </c>
      <c r="K1" s="176" t="s">
        <v>4</v>
      </c>
      <c r="L1" s="5" t="s">
        <v>6</v>
      </c>
      <c r="M1" s="176" t="s">
        <v>5</v>
      </c>
      <c r="N1" s="5" t="s">
        <v>9</v>
      </c>
      <c r="O1" s="176" t="s">
        <v>119</v>
      </c>
      <c r="P1" s="5" t="s">
        <v>8</v>
      </c>
      <c r="Q1" s="176" t="s">
        <v>12</v>
      </c>
      <c r="R1" s="5" t="s">
        <v>95</v>
      </c>
      <c r="S1" s="176" t="s">
        <v>11</v>
      </c>
    </row>
    <row r="2" spans="1:23" ht="43.5" customHeight="1" x14ac:dyDescent="0.3">
      <c r="A2" s="224"/>
      <c r="B2" s="225"/>
      <c r="C2" s="73" t="s">
        <v>2</v>
      </c>
      <c r="D2" s="21" t="s">
        <v>1</v>
      </c>
      <c r="E2" s="1" t="s">
        <v>2</v>
      </c>
      <c r="F2" s="1" t="s">
        <v>1</v>
      </c>
      <c r="G2" s="9"/>
      <c r="H2" s="6" t="s">
        <v>3</v>
      </c>
      <c r="I2" s="1" t="s">
        <v>1</v>
      </c>
      <c r="J2" s="6" t="s">
        <v>3</v>
      </c>
      <c r="K2" s="1" t="s">
        <v>1</v>
      </c>
      <c r="L2" s="6" t="s">
        <v>3</v>
      </c>
      <c r="M2" s="1" t="s">
        <v>1</v>
      </c>
      <c r="N2" s="6" t="s">
        <v>3</v>
      </c>
      <c r="O2" s="1" t="s">
        <v>1</v>
      </c>
      <c r="P2" s="6" t="s">
        <v>3</v>
      </c>
      <c r="Q2" s="1" t="s">
        <v>1</v>
      </c>
      <c r="R2" s="6" t="s">
        <v>3</v>
      </c>
      <c r="S2" s="1" t="s">
        <v>1</v>
      </c>
    </row>
    <row r="3" spans="1:23" ht="26.25" x14ac:dyDescent="0.3">
      <c r="A3" s="97" t="s">
        <v>14</v>
      </c>
      <c r="B3" s="12" t="s">
        <v>10</v>
      </c>
      <c r="C3" s="29">
        <f>C22+C43+C52+C62</f>
        <v>17</v>
      </c>
      <c r="D3" s="29">
        <f>D22+D43+D52+D62</f>
        <v>0</v>
      </c>
      <c r="E3" s="29">
        <f>E22+E43+E52+E62</f>
        <v>6</v>
      </c>
      <c r="F3" s="2">
        <f>F22+F43+F52+F62</f>
        <v>14</v>
      </c>
      <c r="G3" s="177"/>
      <c r="H3" s="2">
        <f t="shared" ref="H3:S3" si="0">H22+H43+H52+H62</f>
        <v>2</v>
      </c>
      <c r="I3" s="2">
        <f t="shared" si="0"/>
        <v>1</v>
      </c>
      <c r="J3" s="2">
        <f t="shared" si="0"/>
        <v>1</v>
      </c>
      <c r="K3" s="2">
        <f t="shared" si="0"/>
        <v>3</v>
      </c>
      <c r="L3" s="2">
        <f t="shared" si="0"/>
        <v>10</v>
      </c>
      <c r="M3" s="2">
        <f t="shared" si="0"/>
        <v>3</v>
      </c>
      <c r="N3" s="2">
        <f t="shared" si="0"/>
        <v>6</v>
      </c>
      <c r="O3" s="2">
        <f t="shared" si="0"/>
        <v>0</v>
      </c>
      <c r="P3" s="2">
        <f t="shared" si="0"/>
        <v>3</v>
      </c>
      <c r="Q3" s="2">
        <f t="shared" si="0"/>
        <v>0</v>
      </c>
      <c r="R3" s="2">
        <f t="shared" si="0"/>
        <v>4</v>
      </c>
      <c r="S3" s="2">
        <f t="shared" si="0"/>
        <v>0</v>
      </c>
      <c r="T3" s="4">
        <f>D3*10</f>
        <v>0</v>
      </c>
      <c r="U3">
        <f>F3*10+E3</f>
        <v>146</v>
      </c>
      <c r="V3" s="4">
        <f>SUM(H3:Q3)</f>
        <v>29</v>
      </c>
      <c r="W3" s="11">
        <f>SUM(T3:V3)</f>
        <v>175</v>
      </c>
    </row>
    <row r="4" spans="1:23" ht="24" customHeight="1" x14ac:dyDescent="0.3">
      <c r="A4" s="229" t="s">
        <v>34</v>
      </c>
      <c r="B4" s="3" t="s">
        <v>160</v>
      </c>
      <c r="C4" s="7"/>
      <c r="D4" s="7"/>
      <c r="E4" s="50"/>
      <c r="F4" s="50"/>
      <c r="G4" s="177"/>
      <c r="H4" s="7"/>
      <c r="I4" s="50"/>
      <c r="J4" s="10"/>
      <c r="K4" s="50"/>
      <c r="L4" s="7"/>
      <c r="M4" s="50"/>
      <c r="N4" s="10"/>
      <c r="O4" s="50"/>
      <c r="P4" s="7"/>
      <c r="Q4" s="50"/>
      <c r="R4" s="7"/>
      <c r="S4" s="50"/>
    </row>
    <row r="5" spans="1:23" ht="24" customHeight="1" x14ac:dyDescent="0.3">
      <c r="A5" s="230"/>
      <c r="B5" s="3" t="s">
        <v>150</v>
      </c>
      <c r="C5" s="7"/>
      <c r="D5" s="7"/>
      <c r="E5" s="50"/>
      <c r="F5" s="50"/>
      <c r="G5" s="177"/>
      <c r="H5" s="7"/>
      <c r="I5" s="50"/>
      <c r="J5" s="10"/>
      <c r="K5" s="50"/>
      <c r="L5" s="7"/>
      <c r="M5" s="50"/>
      <c r="N5" s="10"/>
      <c r="O5" s="50"/>
      <c r="P5" s="7"/>
      <c r="Q5" s="50"/>
      <c r="R5" s="7"/>
      <c r="S5" s="50"/>
    </row>
    <row r="6" spans="1:23" ht="24" customHeight="1" x14ac:dyDescent="0.3">
      <c r="A6" s="230"/>
      <c r="B6" s="3" t="s">
        <v>149</v>
      </c>
      <c r="C6" s="7"/>
      <c r="D6" s="7"/>
      <c r="E6" s="50"/>
      <c r="F6" s="50"/>
      <c r="G6" s="177"/>
      <c r="H6" s="7"/>
      <c r="I6" s="50"/>
      <c r="J6" s="10"/>
      <c r="K6" s="50"/>
      <c r="L6" s="7"/>
      <c r="M6" s="50"/>
      <c r="N6" s="10">
        <v>1</v>
      </c>
      <c r="O6" s="50"/>
      <c r="P6" s="7"/>
      <c r="Q6" s="50"/>
      <c r="R6" s="7">
        <v>1</v>
      </c>
      <c r="S6" s="50"/>
    </row>
    <row r="7" spans="1:23" ht="24" customHeight="1" x14ac:dyDescent="0.3">
      <c r="A7" s="230"/>
      <c r="B7" s="3" t="s">
        <v>156</v>
      </c>
      <c r="C7" s="7"/>
      <c r="D7" s="7"/>
      <c r="E7" s="50"/>
      <c r="F7" s="50"/>
      <c r="G7" s="177"/>
      <c r="H7" s="7"/>
      <c r="I7" s="50"/>
      <c r="J7" s="10"/>
      <c r="K7" s="50"/>
      <c r="L7" s="7"/>
      <c r="M7" s="50"/>
      <c r="N7" s="10"/>
      <c r="O7" s="50"/>
      <c r="P7" s="7"/>
      <c r="Q7" s="50"/>
      <c r="R7" s="7"/>
      <c r="S7" s="50"/>
    </row>
    <row r="8" spans="1:23" ht="24" customHeight="1" x14ac:dyDescent="0.3">
      <c r="A8" s="230"/>
      <c r="B8" s="3" t="s">
        <v>148</v>
      </c>
      <c r="C8" s="77"/>
      <c r="D8" s="7"/>
      <c r="E8" s="50"/>
      <c r="F8" s="50"/>
      <c r="G8" s="63"/>
      <c r="H8" s="7"/>
      <c r="I8" s="50"/>
      <c r="J8" s="10"/>
      <c r="K8" s="50"/>
      <c r="L8" s="7"/>
      <c r="M8" s="50"/>
      <c r="N8" s="10"/>
      <c r="O8" s="50"/>
      <c r="P8" s="7"/>
      <c r="Q8" s="50"/>
      <c r="R8" s="7"/>
      <c r="S8" s="50"/>
    </row>
    <row r="9" spans="1:23" ht="24" customHeight="1" x14ac:dyDescent="0.3">
      <c r="A9" s="230"/>
      <c r="B9" s="3" t="s">
        <v>153</v>
      </c>
      <c r="C9" s="7"/>
      <c r="D9" s="7"/>
      <c r="E9" s="50"/>
      <c r="F9" s="50"/>
      <c r="G9" s="177"/>
      <c r="H9" s="7"/>
      <c r="I9" s="50"/>
      <c r="J9" s="10"/>
      <c r="K9" s="50"/>
      <c r="L9" s="7"/>
      <c r="M9" s="50"/>
      <c r="N9" s="10"/>
      <c r="O9" s="50"/>
      <c r="P9" s="7"/>
      <c r="Q9" s="50"/>
      <c r="R9" s="7"/>
      <c r="S9" s="50"/>
    </row>
    <row r="10" spans="1:23" ht="24" customHeight="1" x14ac:dyDescent="0.3">
      <c r="A10" s="230"/>
      <c r="B10" s="3" t="s">
        <v>158</v>
      </c>
      <c r="C10" s="7"/>
      <c r="D10" s="7"/>
      <c r="E10" s="50"/>
      <c r="F10" s="50"/>
      <c r="G10" s="177"/>
      <c r="H10" s="7"/>
      <c r="I10" s="50"/>
      <c r="J10" s="10"/>
      <c r="K10" s="50"/>
      <c r="L10" s="7"/>
      <c r="M10" s="50"/>
      <c r="N10" s="10"/>
      <c r="O10" s="50"/>
      <c r="P10" s="7"/>
      <c r="Q10" s="50"/>
      <c r="R10" s="7">
        <v>1</v>
      </c>
      <c r="S10" s="50"/>
    </row>
    <row r="11" spans="1:23" ht="24" customHeight="1" x14ac:dyDescent="0.3">
      <c r="A11" s="230"/>
      <c r="B11" s="3" t="s">
        <v>152</v>
      </c>
      <c r="C11" s="7"/>
      <c r="D11" s="7"/>
      <c r="E11" s="50"/>
      <c r="F11" s="50"/>
      <c r="G11" s="177"/>
      <c r="H11" s="7"/>
      <c r="I11" s="50"/>
      <c r="J11" s="10"/>
      <c r="K11" s="50"/>
      <c r="L11" s="7"/>
      <c r="M11" s="50"/>
      <c r="N11" s="10">
        <v>1</v>
      </c>
      <c r="O11" s="50"/>
      <c r="P11" s="7"/>
      <c r="Q11" s="50"/>
      <c r="R11" s="7"/>
      <c r="S11" s="50"/>
    </row>
    <row r="12" spans="1:23" ht="24" customHeight="1" x14ac:dyDescent="0.3">
      <c r="A12" s="230"/>
      <c r="B12" s="3" t="s">
        <v>161</v>
      </c>
      <c r="C12" s="7"/>
      <c r="D12" s="77"/>
      <c r="E12" s="76"/>
      <c r="F12" s="50"/>
      <c r="G12" s="80"/>
      <c r="H12" s="7"/>
      <c r="I12" s="76"/>
      <c r="J12" s="7"/>
      <c r="K12" s="50"/>
      <c r="L12" s="7"/>
      <c r="M12" s="50"/>
      <c r="N12" s="10"/>
      <c r="O12" s="50"/>
      <c r="P12" s="7"/>
      <c r="Q12" s="76"/>
      <c r="R12" s="10"/>
      <c r="S12" s="76"/>
    </row>
    <row r="13" spans="1:23" ht="24" customHeight="1" x14ac:dyDescent="0.3">
      <c r="A13" s="230"/>
      <c r="B13" s="3" t="s">
        <v>154</v>
      </c>
      <c r="C13" s="7"/>
      <c r="D13" s="7"/>
      <c r="E13" s="50"/>
      <c r="F13" s="50"/>
      <c r="G13" s="177"/>
      <c r="H13" s="7"/>
      <c r="I13" s="50">
        <v>1</v>
      </c>
      <c r="J13" s="10"/>
      <c r="K13" s="50"/>
      <c r="L13" s="7"/>
      <c r="M13" s="50"/>
      <c r="N13" s="10"/>
      <c r="O13" s="50"/>
      <c r="P13" s="7"/>
      <c r="Q13" s="50"/>
      <c r="R13" s="7"/>
      <c r="S13" s="50"/>
    </row>
    <row r="14" spans="1:23" ht="24" customHeight="1" x14ac:dyDescent="0.3">
      <c r="A14" s="230"/>
      <c r="B14" s="100" t="s">
        <v>164</v>
      </c>
      <c r="C14" s="7"/>
      <c r="D14" s="7"/>
      <c r="E14" s="50"/>
      <c r="F14" s="50"/>
      <c r="G14" s="177"/>
      <c r="H14" s="7"/>
      <c r="I14" s="50"/>
      <c r="J14" s="10"/>
      <c r="K14" s="50"/>
      <c r="L14" s="7"/>
      <c r="M14" s="50"/>
      <c r="N14" s="10"/>
      <c r="O14" s="50"/>
      <c r="P14" s="7"/>
      <c r="Q14" s="50"/>
      <c r="R14" s="7"/>
      <c r="S14" s="50"/>
    </row>
    <row r="15" spans="1:23" ht="24" customHeight="1" x14ac:dyDescent="0.3">
      <c r="A15" s="230"/>
      <c r="B15" s="3" t="s">
        <v>159</v>
      </c>
      <c r="C15" s="7"/>
      <c r="D15" s="7"/>
      <c r="E15" s="50"/>
      <c r="F15" s="50"/>
      <c r="G15" s="177"/>
      <c r="H15" s="7"/>
      <c r="I15" s="50"/>
      <c r="J15" s="10"/>
      <c r="K15" s="50"/>
      <c r="L15" s="7"/>
      <c r="M15" s="50"/>
      <c r="N15" s="10"/>
      <c r="O15" s="50"/>
      <c r="P15" s="7"/>
      <c r="Q15" s="50"/>
      <c r="R15" s="7"/>
      <c r="S15" s="50"/>
    </row>
    <row r="16" spans="1:23" ht="24" customHeight="1" x14ac:dyDescent="0.3">
      <c r="A16" s="230"/>
      <c r="B16" s="3" t="s">
        <v>147</v>
      </c>
      <c r="C16" s="7"/>
      <c r="D16" s="7"/>
      <c r="E16" s="50"/>
      <c r="F16" s="50"/>
      <c r="G16" s="177"/>
      <c r="H16" s="7"/>
      <c r="I16" s="50"/>
      <c r="J16" s="10"/>
      <c r="K16" s="50"/>
      <c r="L16" s="7"/>
      <c r="M16" s="50"/>
      <c r="N16" s="10"/>
      <c r="O16" s="50"/>
      <c r="P16" s="7">
        <v>1</v>
      </c>
      <c r="Q16" s="50"/>
      <c r="R16" s="7"/>
      <c r="S16" s="50"/>
    </row>
    <row r="17" spans="1:25" ht="24" customHeight="1" x14ac:dyDescent="0.3">
      <c r="A17" s="230"/>
      <c r="B17" s="3" t="s">
        <v>163</v>
      </c>
      <c r="C17" s="7"/>
      <c r="D17" s="7"/>
      <c r="E17" s="50"/>
      <c r="F17" s="50"/>
      <c r="G17" s="177"/>
      <c r="H17" s="7"/>
      <c r="I17" s="50"/>
      <c r="J17" s="10"/>
      <c r="K17" s="50"/>
      <c r="L17" s="7"/>
      <c r="M17" s="50"/>
      <c r="N17" s="10"/>
      <c r="O17" s="50"/>
      <c r="P17" s="7"/>
      <c r="Q17" s="50"/>
      <c r="R17" s="7"/>
      <c r="S17" s="50"/>
    </row>
    <row r="18" spans="1:25" ht="24" customHeight="1" x14ac:dyDescent="0.3">
      <c r="A18" s="230"/>
      <c r="B18" s="3" t="s">
        <v>162</v>
      </c>
      <c r="C18" s="7"/>
      <c r="D18" s="7"/>
      <c r="E18" s="50"/>
      <c r="F18" s="50"/>
      <c r="G18" s="177"/>
      <c r="H18" s="7"/>
      <c r="I18" s="50"/>
      <c r="J18" s="10"/>
      <c r="K18" s="50"/>
      <c r="L18" s="7"/>
      <c r="M18" s="50"/>
      <c r="N18" s="10"/>
      <c r="O18" s="50"/>
      <c r="P18" s="7"/>
      <c r="Q18" s="50"/>
      <c r="R18" s="7"/>
      <c r="S18" s="50"/>
    </row>
    <row r="19" spans="1:25" ht="24" customHeight="1" x14ac:dyDescent="0.3">
      <c r="A19" s="230"/>
      <c r="B19" s="3" t="s">
        <v>155</v>
      </c>
      <c r="C19" s="7"/>
      <c r="D19" s="7"/>
      <c r="E19" s="50"/>
      <c r="F19" s="50"/>
      <c r="G19" s="177"/>
      <c r="H19" s="7"/>
      <c r="I19" s="50"/>
      <c r="J19" s="10"/>
      <c r="K19" s="50"/>
      <c r="L19" s="7"/>
      <c r="M19" s="50"/>
      <c r="N19" s="10"/>
      <c r="O19" s="50"/>
      <c r="P19" s="7"/>
      <c r="Q19" s="50"/>
      <c r="R19" s="7"/>
      <c r="S19" s="50"/>
    </row>
    <row r="20" spans="1:25" ht="24" customHeight="1" x14ac:dyDescent="0.3">
      <c r="A20" s="230"/>
      <c r="B20" s="3" t="s">
        <v>157</v>
      </c>
      <c r="C20" s="7"/>
      <c r="D20" s="7"/>
      <c r="E20" s="50"/>
      <c r="F20" s="50"/>
      <c r="G20" s="177"/>
      <c r="H20" s="7"/>
      <c r="I20" s="50"/>
      <c r="J20" s="10"/>
      <c r="K20" s="50"/>
      <c r="L20" s="7"/>
      <c r="M20" s="50"/>
      <c r="N20" s="10"/>
      <c r="O20" s="50"/>
      <c r="P20" s="7"/>
      <c r="Q20" s="50"/>
      <c r="R20" s="7"/>
      <c r="S20" s="50"/>
    </row>
    <row r="21" spans="1:25" ht="24" customHeight="1" x14ac:dyDescent="0.3">
      <c r="A21" s="230"/>
      <c r="B21" s="3" t="s">
        <v>151</v>
      </c>
      <c r="C21" s="7"/>
      <c r="D21" s="7"/>
      <c r="E21" s="50"/>
      <c r="F21" s="50"/>
      <c r="G21" s="177"/>
      <c r="H21" s="7"/>
      <c r="I21" s="50"/>
      <c r="J21" s="10"/>
      <c r="K21" s="50"/>
      <c r="L21" s="7"/>
      <c r="M21" s="50"/>
      <c r="N21" s="10"/>
      <c r="O21" s="50"/>
      <c r="P21" s="7"/>
      <c r="Q21" s="50"/>
      <c r="R21" s="7"/>
      <c r="S21" s="50"/>
    </row>
    <row r="22" spans="1:25" ht="27" thickBot="1" x14ac:dyDescent="0.35">
      <c r="A22" s="231"/>
      <c r="B22" s="31"/>
      <c r="C22" s="31">
        <f>SUM(C4:C21)</f>
        <v>0</v>
      </c>
      <c r="D22" s="31">
        <f>SUM(D4:D21)</f>
        <v>0</v>
      </c>
      <c r="E22" s="31">
        <f>SUM(E4:E21)</f>
        <v>0</v>
      </c>
      <c r="F22" s="31">
        <f>SUM(F4:F21)</f>
        <v>0</v>
      </c>
      <c r="G22" s="177"/>
      <c r="H22" s="2">
        <f t="shared" ref="H22:S22" si="1">SUM(H4:H21)</f>
        <v>0</v>
      </c>
      <c r="I22" s="2">
        <f t="shared" si="1"/>
        <v>1</v>
      </c>
      <c r="J22" s="2">
        <f t="shared" si="1"/>
        <v>0</v>
      </c>
      <c r="K22" s="2">
        <f t="shared" si="1"/>
        <v>0</v>
      </c>
      <c r="L22" s="2">
        <f t="shared" si="1"/>
        <v>0</v>
      </c>
      <c r="M22" s="2">
        <f t="shared" si="1"/>
        <v>0</v>
      </c>
      <c r="N22" s="2">
        <f t="shared" si="1"/>
        <v>2</v>
      </c>
      <c r="O22" s="2">
        <f t="shared" si="1"/>
        <v>0</v>
      </c>
      <c r="P22" s="2">
        <f t="shared" si="1"/>
        <v>1</v>
      </c>
      <c r="Q22" s="2">
        <f t="shared" si="1"/>
        <v>0</v>
      </c>
      <c r="R22" s="2">
        <f t="shared" si="1"/>
        <v>2</v>
      </c>
      <c r="S22" s="2">
        <f t="shared" si="1"/>
        <v>0</v>
      </c>
      <c r="U22" s="35"/>
      <c r="V22" s="18"/>
      <c r="W22" s="18"/>
    </row>
    <row r="23" spans="1:25" ht="24" customHeight="1" thickTop="1" x14ac:dyDescent="0.3">
      <c r="A23" s="286" t="s">
        <v>27</v>
      </c>
      <c r="B23" s="23" t="s">
        <v>187</v>
      </c>
      <c r="C23" s="28"/>
      <c r="D23" s="28"/>
      <c r="E23" s="15"/>
      <c r="F23" s="16"/>
      <c r="G23" s="25"/>
      <c r="H23" s="43"/>
      <c r="I23" s="50"/>
      <c r="J23" s="10"/>
      <c r="K23" s="50"/>
      <c r="L23" s="7"/>
      <c r="M23" s="50"/>
      <c r="N23" s="7"/>
      <c r="O23" s="50"/>
      <c r="P23" s="7"/>
      <c r="Q23" s="50"/>
      <c r="R23" s="7"/>
      <c r="S23" s="50"/>
      <c r="U23" s="18"/>
      <c r="V23" s="18"/>
      <c r="W23" s="18"/>
      <c r="X23" s="18"/>
      <c r="Y23" s="18"/>
    </row>
    <row r="24" spans="1:25" ht="24" customHeight="1" x14ac:dyDescent="0.3">
      <c r="A24" s="287"/>
      <c r="B24" s="24" t="s">
        <v>188</v>
      </c>
      <c r="C24" s="32"/>
      <c r="D24" s="32"/>
      <c r="E24" s="54"/>
      <c r="F24" s="22"/>
      <c r="G24" s="25"/>
      <c r="H24" s="7"/>
      <c r="I24" s="50"/>
      <c r="J24" s="10"/>
      <c r="K24" s="50"/>
      <c r="L24" s="7"/>
      <c r="M24" s="50"/>
      <c r="N24" s="7"/>
      <c r="O24" s="50"/>
      <c r="P24" s="7"/>
      <c r="Q24" s="50"/>
      <c r="R24" s="7"/>
      <c r="S24" s="50"/>
      <c r="U24" s="18"/>
      <c r="V24" s="18"/>
      <c r="W24" s="18"/>
      <c r="X24" s="18"/>
      <c r="Y24" s="18"/>
    </row>
    <row r="25" spans="1:25" ht="24" customHeight="1" x14ac:dyDescent="0.3">
      <c r="A25" s="287"/>
      <c r="B25" s="24" t="s">
        <v>128</v>
      </c>
      <c r="C25" s="32"/>
      <c r="D25" s="32"/>
      <c r="E25" s="54"/>
      <c r="F25" s="22"/>
      <c r="G25" s="25"/>
      <c r="H25" s="43"/>
      <c r="I25" s="50"/>
      <c r="J25" s="10"/>
      <c r="K25" s="50"/>
      <c r="L25" s="7"/>
      <c r="M25" s="50"/>
      <c r="N25" s="7"/>
      <c r="O25" s="50"/>
      <c r="P25" s="7"/>
      <c r="Q25" s="50"/>
      <c r="R25" s="7"/>
      <c r="S25" s="50"/>
      <c r="U25" s="18"/>
      <c r="V25" s="18"/>
      <c r="W25" s="18"/>
      <c r="X25" s="18"/>
      <c r="Y25" s="18"/>
    </row>
    <row r="26" spans="1:25" ht="24" customHeight="1" x14ac:dyDescent="0.3">
      <c r="A26" s="287"/>
      <c r="B26" s="24" t="s">
        <v>127</v>
      </c>
      <c r="C26" s="32"/>
      <c r="D26" s="32"/>
      <c r="E26" s="54"/>
      <c r="F26" s="22"/>
      <c r="G26" s="25"/>
      <c r="H26" s="43"/>
      <c r="I26" s="50"/>
      <c r="J26" s="10"/>
      <c r="K26" s="50"/>
      <c r="L26" s="7">
        <v>1</v>
      </c>
      <c r="M26" s="50"/>
      <c r="N26" s="7"/>
      <c r="O26" s="50"/>
      <c r="P26" s="7"/>
      <c r="Q26" s="50"/>
      <c r="R26" s="7"/>
      <c r="S26" s="50"/>
      <c r="U26" s="18"/>
      <c r="V26" s="18"/>
      <c r="W26" s="18"/>
      <c r="X26" s="18"/>
      <c r="Y26" s="18"/>
    </row>
    <row r="27" spans="1:25" ht="24" customHeight="1" x14ac:dyDescent="0.3">
      <c r="A27" s="287"/>
      <c r="B27" s="24" t="s">
        <v>189</v>
      </c>
      <c r="C27" s="32"/>
      <c r="D27" s="32"/>
      <c r="E27" s="54"/>
      <c r="F27" s="22"/>
      <c r="G27" s="25"/>
      <c r="H27" s="10"/>
      <c r="I27" s="50"/>
      <c r="J27" s="10"/>
      <c r="K27" s="50"/>
      <c r="L27" s="7"/>
      <c r="M27" s="50"/>
      <c r="N27" s="7"/>
      <c r="O27" s="50"/>
      <c r="P27" s="7"/>
      <c r="Q27" s="50"/>
      <c r="R27" s="7"/>
      <c r="S27" s="50"/>
      <c r="U27" s="18"/>
      <c r="V27" s="18"/>
      <c r="W27" s="18"/>
      <c r="X27" s="18"/>
      <c r="Y27" s="18"/>
    </row>
    <row r="28" spans="1:25" ht="24" customHeight="1" x14ac:dyDescent="0.3">
      <c r="A28" s="287"/>
      <c r="B28" s="24" t="s">
        <v>140</v>
      </c>
      <c r="C28" s="32"/>
      <c r="D28" s="32"/>
      <c r="E28" s="54"/>
      <c r="F28" s="22"/>
      <c r="G28" s="25"/>
      <c r="H28" s="10"/>
      <c r="I28" s="50"/>
      <c r="J28" s="10"/>
      <c r="K28" s="50"/>
      <c r="L28" s="7"/>
      <c r="M28" s="50"/>
      <c r="N28" s="7"/>
      <c r="O28" s="50"/>
      <c r="P28" s="7"/>
      <c r="Q28" s="76"/>
      <c r="R28" s="7"/>
      <c r="S28" s="50"/>
      <c r="U28" s="18"/>
      <c r="V28" s="18"/>
      <c r="W28" s="18"/>
      <c r="X28" s="18"/>
      <c r="Y28" s="18"/>
    </row>
    <row r="29" spans="1:25" ht="24" customHeight="1" x14ac:dyDescent="0.3">
      <c r="A29" s="287"/>
      <c r="B29" s="24" t="s">
        <v>129</v>
      </c>
      <c r="C29" s="32"/>
      <c r="D29" s="32"/>
      <c r="E29" s="54"/>
      <c r="F29" s="22"/>
      <c r="G29" s="25"/>
      <c r="H29" s="43"/>
      <c r="I29" s="50"/>
      <c r="J29" s="10"/>
      <c r="K29" s="50"/>
      <c r="L29" s="7"/>
      <c r="M29" s="50"/>
      <c r="N29" s="7"/>
      <c r="O29" s="50"/>
      <c r="P29" s="7"/>
      <c r="Q29" s="50"/>
      <c r="R29" s="7"/>
      <c r="S29" s="50"/>
      <c r="U29" s="18"/>
      <c r="V29" s="18"/>
      <c r="W29" s="18"/>
      <c r="X29" s="18"/>
      <c r="Y29" s="18"/>
    </row>
    <row r="30" spans="1:25" ht="24" customHeight="1" x14ac:dyDescent="0.3">
      <c r="A30" s="287"/>
      <c r="B30" s="24" t="s">
        <v>145</v>
      </c>
      <c r="C30" s="32"/>
      <c r="D30" s="32"/>
      <c r="E30" s="54"/>
      <c r="F30" s="22"/>
      <c r="G30" s="25"/>
      <c r="H30" s="43"/>
      <c r="I30" s="50"/>
      <c r="J30" s="10"/>
      <c r="K30" s="50"/>
      <c r="L30" s="7">
        <v>1</v>
      </c>
      <c r="M30" s="50">
        <v>1</v>
      </c>
      <c r="N30" s="7"/>
      <c r="O30" s="50"/>
      <c r="P30" s="7"/>
      <c r="Q30" s="50"/>
      <c r="R30" s="7"/>
      <c r="S30" s="50"/>
      <c r="U30" s="18"/>
      <c r="V30" s="18"/>
      <c r="W30" s="18"/>
      <c r="X30" s="18"/>
      <c r="Y30" s="18"/>
    </row>
    <row r="31" spans="1:25" ht="24" customHeight="1" x14ac:dyDescent="0.3">
      <c r="A31" s="287"/>
      <c r="B31" s="24" t="s">
        <v>130</v>
      </c>
      <c r="C31" s="32"/>
      <c r="D31" s="32"/>
      <c r="E31" s="54"/>
      <c r="F31" s="22"/>
      <c r="G31" s="25"/>
      <c r="H31" s="43"/>
      <c r="I31" s="50"/>
      <c r="J31" s="10"/>
      <c r="K31" s="50"/>
      <c r="L31" s="7"/>
      <c r="M31" s="50"/>
      <c r="N31" s="7"/>
      <c r="O31" s="50"/>
      <c r="P31" s="7"/>
      <c r="Q31" s="50"/>
      <c r="R31" s="7"/>
      <c r="S31" s="50"/>
      <c r="U31" s="18"/>
      <c r="V31" s="18"/>
      <c r="W31" s="18"/>
      <c r="X31" s="18"/>
      <c r="Y31" s="18"/>
    </row>
    <row r="32" spans="1:25" ht="24" customHeight="1" x14ac:dyDescent="0.3">
      <c r="A32" s="287"/>
      <c r="B32" s="24" t="s">
        <v>131</v>
      </c>
      <c r="C32" s="32"/>
      <c r="D32" s="32"/>
      <c r="E32" s="54"/>
      <c r="F32" s="22"/>
      <c r="G32" s="25"/>
      <c r="H32" s="43"/>
      <c r="I32" s="50"/>
      <c r="J32" s="10"/>
      <c r="K32" s="50"/>
      <c r="L32" s="7"/>
      <c r="M32" s="50"/>
      <c r="N32" s="7"/>
      <c r="O32" s="50"/>
      <c r="P32" s="7"/>
      <c r="Q32" s="50"/>
      <c r="R32" s="7"/>
      <c r="S32" s="50"/>
      <c r="U32" s="18"/>
      <c r="V32" s="18"/>
      <c r="W32" s="18"/>
      <c r="X32" s="18"/>
      <c r="Y32" s="18"/>
    </row>
    <row r="33" spans="1:25" ht="24" customHeight="1" x14ac:dyDescent="0.3">
      <c r="A33" s="287"/>
      <c r="B33" s="24" t="s">
        <v>132</v>
      </c>
      <c r="C33" s="32"/>
      <c r="D33" s="32"/>
      <c r="E33" s="54"/>
      <c r="F33" s="22"/>
      <c r="G33" s="25"/>
      <c r="H33" s="43"/>
      <c r="I33" s="50"/>
      <c r="J33" s="10"/>
      <c r="K33" s="50"/>
      <c r="L33" s="7">
        <v>1</v>
      </c>
      <c r="M33" s="50"/>
      <c r="N33" s="7"/>
      <c r="O33" s="50"/>
      <c r="P33" s="7"/>
      <c r="Q33" s="50"/>
      <c r="R33" s="7"/>
      <c r="S33" s="50"/>
      <c r="U33" s="18"/>
      <c r="V33" s="18"/>
      <c r="W33" s="18"/>
      <c r="X33" s="18"/>
      <c r="Y33" s="18"/>
    </row>
    <row r="34" spans="1:25" ht="24" customHeight="1" x14ac:dyDescent="0.3">
      <c r="A34" s="287"/>
      <c r="B34" s="24" t="s">
        <v>133</v>
      </c>
      <c r="C34" s="32"/>
      <c r="D34" s="32"/>
      <c r="E34" s="54"/>
      <c r="F34" s="22"/>
      <c r="G34" s="25"/>
      <c r="H34" s="7"/>
      <c r="I34" s="50"/>
      <c r="J34" s="10"/>
      <c r="K34" s="50"/>
      <c r="L34" s="7"/>
      <c r="M34" s="50"/>
      <c r="N34" s="7"/>
      <c r="O34" s="50"/>
      <c r="P34" s="7"/>
      <c r="Q34" s="50"/>
      <c r="R34" s="7"/>
      <c r="S34" s="50"/>
      <c r="U34" s="18"/>
      <c r="V34" s="18"/>
      <c r="W34" s="18"/>
      <c r="X34" s="18"/>
      <c r="Y34" s="18"/>
    </row>
    <row r="35" spans="1:25" ht="24" customHeight="1" x14ac:dyDescent="0.3">
      <c r="A35" s="287"/>
      <c r="B35" s="24" t="s">
        <v>135</v>
      </c>
      <c r="C35" s="32"/>
      <c r="D35" s="32"/>
      <c r="E35" s="54"/>
      <c r="F35" s="22"/>
      <c r="G35" s="25"/>
      <c r="H35" s="7"/>
      <c r="I35" s="50"/>
      <c r="J35" s="10"/>
      <c r="K35" s="50"/>
      <c r="L35" s="7"/>
      <c r="M35" s="50"/>
      <c r="N35" s="7"/>
      <c r="O35" s="50"/>
      <c r="P35" s="7"/>
      <c r="Q35" s="50"/>
      <c r="R35" s="7"/>
      <c r="S35" s="50"/>
      <c r="U35" s="18"/>
      <c r="V35" s="18"/>
      <c r="W35" s="18"/>
      <c r="X35" s="18"/>
      <c r="Y35" s="18"/>
    </row>
    <row r="36" spans="1:25" ht="24" customHeight="1" x14ac:dyDescent="0.3">
      <c r="A36" s="287"/>
      <c r="B36" s="24" t="s">
        <v>141</v>
      </c>
      <c r="C36" s="32"/>
      <c r="D36" s="56"/>
      <c r="E36" s="54"/>
      <c r="F36" s="22"/>
      <c r="G36" s="25"/>
      <c r="H36" s="43"/>
      <c r="I36" s="50"/>
      <c r="J36" s="10"/>
      <c r="K36" s="50"/>
      <c r="L36" s="7"/>
      <c r="M36" s="50"/>
      <c r="N36" s="7"/>
      <c r="O36" s="50"/>
      <c r="P36" s="7"/>
      <c r="Q36" s="76"/>
      <c r="R36" s="7"/>
      <c r="S36" s="50"/>
      <c r="U36" s="18"/>
      <c r="V36" s="18"/>
      <c r="W36" s="18"/>
      <c r="X36" s="18"/>
      <c r="Y36" s="18"/>
    </row>
    <row r="37" spans="1:25" ht="24" customHeight="1" x14ac:dyDescent="0.3">
      <c r="A37" s="287"/>
      <c r="B37" s="24" t="s">
        <v>142</v>
      </c>
      <c r="C37" s="32"/>
      <c r="D37" s="32"/>
      <c r="E37" s="54"/>
      <c r="F37" s="22"/>
      <c r="G37" s="25"/>
      <c r="H37" s="43"/>
      <c r="I37" s="50"/>
      <c r="J37" s="10"/>
      <c r="K37" s="50"/>
      <c r="L37" s="7"/>
      <c r="M37" s="50"/>
      <c r="N37" s="7"/>
      <c r="O37" s="50"/>
      <c r="P37" s="7"/>
      <c r="Q37" s="50"/>
      <c r="R37" s="7"/>
      <c r="S37" s="50"/>
      <c r="U37" s="18"/>
      <c r="V37" s="18"/>
      <c r="W37" s="18"/>
      <c r="X37" s="18"/>
      <c r="Y37" s="18"/>
    </row>
    <row r="38" spans="1:25" ht="24" customHeight="1" x14ac:dyDescent="0.3">
      <c r="A38" s="287"/>
      <c r="B38" s="24" t="s">
        <v>144</v>
      </c>
      <c r="C38" s="32"/>
      <c r="D38" s="32"/>
      <c r="E38" s="101"/>
      <c r="F38" s="22"/>
      <c r="G38" s="25"/>
      <c r="H38" s="43"/>
      <c r="I38" s="50"/>
      <c r="J38" s="10"/>
      <c r="K38" s="50"/>
      <c r="L38" s="7"/>
      <c r="M38" s="50"/>
      <c r="N38" s="7"/>
      <c r="O38" s="50"/>
      <c r="P38" s="7"/>
      <c r="Q38" s="50"/>
      <c r="R38" s="7"/>
      <c r="S38" s="50"/>
      <c r="U38" s="18"/>
      <c r="V38" s="18"/>
      <c r="W38" s="18"/>
      <c r="X38" s="18"/>
      <c r="Y38" s="18"/>
    </row>
    <row r="39" spans="1:25" ht="24" customHeight="1" x14ac:dyDescent="0.3">
      <c r="A39" s="287"/>
      <c r="B39" s="24" t="s">
        <v>146</v>
      </c>
      <c r="C39" s="32"/>
      <c r="D39" s="32"/>
      <c r="E39" s="54"/>
      <c r="F39" s="22"/>
      <c r="G39" s="25"/>
      <c r="H39" s="43"/>
      <c r="I39" s="50"/>
      <c r="J39" s="10"/>
      <c r="K39" s="50"/>
      <c r="L39" s="7"/>
      <c r="M39" s="50"/>
      <c r="N39" s="7"/>
      <c r="O39" s="50"/>
      <c r="P39" s="7"/>
      <c r="Q39" s="50"/>
      <c r="R39" s="7"/>
      <c r="S39" s="50"/>
      <c r="U39" s="18"/>
      <c r="V39" s="18"/>
      <c r="W39" s="18"/>
      <c r="X39" s="18"/>
      <c r="Y39" s="18"/>
    </row>
    <row r="40" spans="1:25" ht="24" customHeight="1" x14ac:dyDescent="0.3">
      <c r="A40" s="287"/>
      <c r="B40" s="24" t="s">
        <v>136</v>
      </c>
      <c r="C40" s="32"/>
      <c r="D40" s="32"/>
      <c r="E40" s="54"/>
      <c r="F40" s="22"/>
      <c r="G40" s="25"/>
      <c r="H40" s="43"/>
      <c r="I40" s="50"/>
      <c r="J40" s="10"/>
      <c r="K40" s="50"/>
      <c r="L40" s="7"/>
      <c r="M40" s="50"/>
      <c r="N40" s="7"/>
      <c r="O40" s="50"/>
      <c r="P40" s="7"/>
      <c r="Q40" s="50"/>
      <c r="R40" s="7"/>
      <c r="S40" s="50"/>
      <c r="U40" s="18"/>
      <c r="V40" s="18"/>
      <c r="W40" s="18"/>
      <c r="X40" s="18"/>
      <c r="Y40" s="18"/>
    </row>
    <row r="41" spans="1:25" ht="24" customHeight="1" x14ac:dyDescent="0.3">
      <c r="A41" s="287"/>
      <c r="B41" s="24" t="s">
        <v>139</v>
      </c>
      <c r="C41" s="32"/>
      <c r="D41" s="32"/>
      <c r="E41" s="54"/>
      <c r="F41" s="22"/>
      <c r="G41" s="25"/>
      <c r="H41" s="10"/>
      <c r="I41" s="50"/>
      <c r="J41" s="10"/>
      <c r="K41" s="50"/>
      <c r="L41" s="7"/>
      <c r="M41" s="50"/>
      <c r="N41" s="7"/>
      <c r="O41" s="50"/>
      <c r="P41" s="7"/>
      <c r="Q41" s="50"/>
      <c r="R41" s="7"/>
      <c r="S41" s="50"/>
      <c r="U41" s="18"/>
      <c r="V41" s="18"/>
      <c r="W41" s="18"/>
      <c r="X41" s="18"/>
      <c r="Y41" s="18"/>
    </row>
    <row r="42" spans="1:25" ht="24" customHeight="1" x14ac:dyDescent="0.3">
      <c r="A42" s="287"/>
      <c r="B42" s="24" t="s">
        <v>137</v>
      </c>
      <c r="C42" s="32"/>
      <c r="D42" s="32"/>
      <c r="E42" s="54"/>
      <c r="F42" s="22"/>
      <c r="G42" s="25"/>
      <c r="H42" s="7"/>
      <c r="I42" s="50"/>
      <c r="J42" s="10"/>
      <c r="K42" s="50"/>
      <c r="L42" s="7"/>
      <c r="M42" s="50"/>
      <c r="N42" s="7"/>
      <c r="O42" s="50"/>
      <c r="P42" s="7"/>
      <c r="Q42" s="50"/>
      <c r="R42" s="7"/>
      <c r="S42" s="50"/>
      <c r="U42" s="18"/>
      <c r="V42" s="18"/>
      <c r="W42" s="18"/>
      <c r="X42" s="18"/>
      <c r="Y42" s="18"/>
    </row>
    <row r="43" spans="1:25" ht="27" thickBot="1" x14ac:dyDescent="0.35">
      <c r="A43" s="288"/>
      <c r="B43" s="26"/>
      <c r="C43" s="27">
        <f>SUM(C23:C42)</f>
        <v>0</v>
      </c>
      <c r="D43" s="27">
        <f>SUM(D23:D42)</f>
        <v>0</v>
      </c>
      <c r="E43" s="27">
        <f>SUM(E23:E42)</f>
        <v>0</v>
      </c>
      <c r="F43" s="27">
        <f>SUM(F23:F42)</f>
        <v>0</v>
      </c>
      <c r="G43" s="177"/>
      <c r="H43" s="2">
        <f t="shared" ref="H43:S43" si="2">SUM(H23:H42)</f>
        <v>0</v>
      </c>
      <c r="I43" s="2">
        <f t="shared" si="2"/>
        <v>0</v>
      </c>
      <c r="J43" s="2">
        <f t="shared" si="2"/>
        <v>0</v>
      </c>
      <c r="K43" s="2">
        <f t="shared" si="2"/>
        <v>0</v>
      </c>
      <c r="L43" s="2">
        <f t="shared" si="2"/>
        <v>3</v>
      </c>
      <c r="M43" s="2">
        <f t="shared" si="2"/>
        <v>1</v>
      </c>
      <c r="N43" s="2">
        <f t="shared" si="2"/>
        <v>0</v>
      </c>
      <c r="O43" s="2">
        <f t="shared" si="2"/>
        <v>0</v>
      </c>
      <c r="P43" s="2">
        <f t="shared" si="2"/>
        <v>0</v>
      </c>
      <c r="Q43" s="2">
        <f t="shared" si="2"/>
        <v>0</v>
      </c>
      <c r="R43" s="2">
        <f t="shared" si="2"/>
        <v>0</v>
      </c>
      <c r="S43" s="2">
        <f t="shared" si="2"/>
        <v>0</v>
      </c>
    </row>
    <row r="44" spans="1:25" ht="24" customHeight="1" thickTop="1" x14ac:dyDescent="0.3">
      <c r="A44" s="252" t="s">
        <v>13</v>
      </c>
      <c r="B44" s="3" t="s">
        <v>28</v>
      </c>
      <c r="C44" s="7"/>
      <c r="D44" s="7"/>
      <c r="E44" s="50"/>
      <c r="F44" s="50">
        <v>3</v>
      </c>
      <c r="G44" s="177"/>
      <c r="H44" s="7"/>
      <c r="I44" s="50"/>
      <c r="J44" s="10"/>
      <c r="K44" s="50"/>
      <c r="L44" s="7"/>
      <c r="M44" s="50"/>
      <c r="N44" s="7"/>
      <c r="O44" s="50"/>
      <c r="P44" s="7"/>
      <c r="Q44" s="50"/>
      <c r="R44" s="7"/>
      <c r="S44" s="50"/>
    </row>
    <row r="45" spans="1:25" ht="24" customHeight="1" x14ac:dyDescent="0.3">
      <c r="A45" s="252"/>
      <c r="B45" s="3" t="s">
        <v>29</v>
      </c>
      <c r="C45" s="77"/>
      <c r="D45" s="7"/>
      <c r="E45" s="50">
        <v>3</v>
      </c>
      <c r="F45" s="50"/>
      <c r="G45" s="177"/>
      <c r="H45" s="7"/>
      <c r="I45" s="50"/>
      <c r="J45" s="10"/>
      <c r="K45" s="50"/>
      <c r="L45" s="7"/>
      <c r="M45" s="50"/>
      <c r="N45" s="7"/>
      <c r="O45" s="50"/>
      <c r="P45" s="7"/>
      <c r="Q45" s="50"/>
      <c r="R45" s="7"/>
      <c r="S45" s="50"/>
    </row>
    <row r="46" spans="1:25" ht="24" customHeight="1" x14ac:dyDescent="0.3">
      <c r="A46" s="252"/>
      <c r="B46" s="3" t="s">
        <v>125</v>
      </c>
      <c r="C46" s="7"/>
      <c r="D46" s="7"/>
      <c r="E46" s="50"/>
      <c r="F46" s="50"/>
      <c r="G46" s="177"/>
      <c r="H46" s="7"/>
      <c r="I46" s="50"/>
      <c r="J46" s="10"/>
      <c r="K46" s="50"/>
      <c r="L46" s="7"/>
      <c r="M46" s="50">
        <v>1</v>
      </c>
      <c r="N46" s="7"/>
      <c r="O46" s="50"/>
      <c r="P46" s="7"/>
      <c r="Q46" s="50"/>
      <c r="R46" s="7"/>
      <c r="S46" s="50"/>
    </row>
    <row r="47" spans="1:25" ht="24" customHeight="1" x14ac:dyDescent="0.3">
      <c r="A47" s="252"/>
      <c r="B47" s="3" t="s">
        <v>121</v>
      </c>
      <c r="C47" s="7">
        <v>4</v>
      </c>
      <c r="D47" s="7"/>
      <c r="E47" s="50"/>
      <c r="F47" s="50"/>
      <c r="G47" s="177"/>
      <c r="H47" s="7"/>
      <c r="I47" s="50"/>
      <c r="J47" s="10"/>
      <c r="K47" s="50">
        <v>1</v>
      </c>
      <c r="L47" s="7">
        <v>1</v>
      </c>
      <c r="M47" s="50"/>
      <c r="N47" s="7"/>
      <c r="O47" s="50"/>
      <c r="P47" s="7"/>
      <c r="Q47" s="50"/>
      <c r="R47" s="7"/>
      <c r="S47" s="50"/>
    </row>
    <row r="48" spans="1:25" ht="24" customHeight="1" x14ac:dyDescent="0.3">
      <c r="A48" s="252"/>
      <c r="B48" s="3" t="s">
        <v>122</v>
      </c>
      <c r="C48" s="7"/>
      <c r="D48" s="7"/>
      <c r="E48" s="50"/>
      <c r="F48" s="50"/>
      <c r="G48" s="177"/>
      <c r="H48" s="7"/>
      <c r="I48" s="50"/>
      <c r="J48" s="10"/>
      <c r="K48" s="50"/>
      <c r="L48" s="7"/>
      <c r="M48" s="50"/>
      <c r="N48" s="7"/>
      <c r="O48" s="50"/>
      <c r="P48" s="7">
        <v>1</v>
      </c>
      <c r="Q48" s="50"/>
      <c r="R48" s="7"/>
      <c r="S48" s="50"/>
    </row>
    <row r="49" spans="1:37" ht="24" customHeight="1" x14ac:dyDescent="0.3">
      <c r="A49" s="252"/>
      <c r="B49" s="3" t="s">
        <v>123</v>
      </c>
      <c r="C49" s="7"/>
      <c r="D49" s="7"/>
      <c r="E49" s="50"/>
      <c r="F49" s="50"/>
      <c r="G49" s="177"/>
      <c r="H49" s="7"/>
      <c r="I49" s="50"/>
      <c r="J49" s="10"/>
      <c r="K49" s="50"/>
      <c r="L49" s="7"/>
      <c r="M49" s="50"/>
      <c r="N49" s="7"/>
      <c r="O49" s="50"/>
      <c r="P49" s="7"/>
      <c r="Q49" s="50"/>
      <c r="R49" s="7"/>
      <c r="S49" s="50"/>
    </row>
    <row r="50" spans="1:37" ht="24" customHeight="1" x14ac:dyDescent="0.3">
      <c r="A50" s="252"/>
      <c r="B50" s="100" t="s">
        <v>126</v>
      </c>
      <c r="C50" s="7"/>
      <c r="D50" s="7"/>
      <c r="E50" s="50"/>
      <c r="F50" s="50"/>
      <c r="G50" s="177"/>
      <c r="H50" s="7">
        <v>1</v>
      </c>
      <c r="I50" s="50"/>
      <c r="J50" s="10"/>
      <c r="K50" s="50"/>
      <c r="L50" s="7"/>
      <c r="M50" s="50"/>
      <c r="N50" s="7"/>
      <c r="O50" s="50"/>
      <c r="P50" s="7"/>
      <c r="Q50" s="50"/>
      <c r="R50" s="7"/>
      <c r="S50" s="50"/>
    </row>
    <row r="51" spans="1:37" ht="24" customHeight="1" x14ac:dyDescent="0.3">
      <c r="A51" s="252"/>
      <c r="B51" s="100" t="s">
        <v>124</v>
      </c>
      <c r="C51" s="7"/>
      <c r="D51" s="7"/>
      <c r="E51" s="50"/>
      <c r="F51" s="50"/>
      <c r="G51" s="177"/>
      <c r="H51" s="7"/>
      <c r="I51" s="50"/>
      <c r="J51" s="10"/>
      <c r="K51" s="50"/>
      <c r="L51" s="7">
        <v>2</v>
      </c>
      <c r="M51" s="50"/>
      <c r="N51" s="7"/>
      <c r="O51" s="50"/>
      <c r="P51" s="7"/>
      <c r="Q51" s="50"/>
      <c r="R51" s="7"/>
      <c r="S51" s="50"/>
    </row>
    <row r="52" spans="1:37" ht="26.25" x14ac:dyDescent="0.3">
      <c r="A52" s="279"/>
      <c r="B52" s="122"/>
      <c r="C52" s="123">
        <f>SUM(C44:C51)</f>
        <v>4</v>
      </c>
      <c r="D52" s="123">
        <f>SUM(D44:D51)</f>
        <v>0</v>
      </c>
      <c r="E52" s="123">
        <f>SUM(E44:E51)</f>
        <v>3</v>
      </c>
      <c r="F52" s="123">
        <f>SUM(F44:F51)</f>
        <v>3</v>
      </c>
      <c r="G52" s="177"/>
      <c r="H52" s="2">
        <f t="shared" ref="H52:S52" si="3">SUM(H44:H51)</f>
        <v>1</v>
      </c>
      <c r="I52" s="123">
        <f t="shared" si="3"/>
        <v>0</v>
      </c>
      <c r="J52" s="123">
        <f t="shared" si="3"/>
        <v>0</v>
      </c>
      <c r="K52" s="123">
        <f t="shared" si="3"/>
        <v>1</v>
      </c>
      <c r="L52" s="123">
        <f t="shared" si="3"/>
        <v>3</v>
      </c>
      <c r="M52" s="123">
        <f t="shared" si="3"/>
        <v>1</v>
      </c>
      <c r="N52" s="123">
        <f t="shared" si="3"/>
        <v>0</v>
      </c>
      <c r="O52" s="123">
        <f t="shared" si="3"/>
        <v>0</v>
      </c>
      <c r="P52" s="123">
        <f t="shared" si="3"/>
        <v>1</v>
      </c>
      <c r="Q52" s="123">
        <f t="shared" si="3"/>
        <v>0</v>
      </c>
      <c r="R52" s="123">
        <f t="shared" si="3"/>
        <v>0</v>
      </c>
      <c r="S52" s="123">
        <f t="shared" si="3"/>
        <v>0</v>
      </c>
      <c r="Y52" s="254"/>
      <c r="Z52" s="254"/>
      <c r="AA52" s="254"/>
      <c r="AB52" s="254"/>
      <c r="AD52" s="234"/>
      <c r="AE52" s="234"/>
      <c r="AF52" s="234"/>
      <c r="AG52" s="234"/>
      <c r="AH52" s="234"/>
      <c r="AJ52" s="234"/>
      <c r="AK52" s="234"/>
    </row>
    <row r="53" spans="1:37" ht="24" customHeight="1" x14ac:dyDescent="0.3">
      <c r="A53" s="253" t="s">
        <v>118</v>
      </c>
      <c r="B53" s="3" t="s">
        <v>171</v>
      </c>
      <c r="C53" s="7">
        <v>3</v>
      </c>
      <c r="D53" s="7"/>
      <c r="E53" s="50"/>
      <c r="F53" s="50">
        <v>2</v>
      </c>
      <c r="G53" s="177"/>
      <c r="H53" s="7"/>
      <c r="I53" s="50"/>
      <c r="J53" s="10"/>
      <c r="K53" s="50">
        <v>1</v>
      </c>
      <c r="L53" s="7"/>
      <c r="M53" s="50"/>
      <c r="N53" s="7"/>
      <c r="O53" s="50"/>
      <c r="P53" s="7"/>
      <c r="Q53" s="50"/>
      <c r="R53" s="7"/>
      <c r="S53" s="50"/>
    </row>
    <row r="54" spans="1:37" ht="24" customHeight="1" x14ac:dyDescent="0.3">
      <c r="A54" s="253"/>
      <c r="B54" s="3" t="s">
        <v>168</v>
      </c>
      <c r="C54" s="7">
        <v>1</v>
      </c>
      <c r="D54" s="7"/>
      <c r="E54" s="50"/>
      <c r="F54" s="50">
        <v>4</v>
      </c>
      <c r="G54" s="177"/>
      <c r="H54" s="7"/>
      <c r="I54" s="50"/>
      <c r="J54" s="10"/>
      <c r="K54" s="50"/>
      <c r="L54" s="7"/>
      <c r="M54" s="50"/>
      <c r="N54" s="7"/>
      <c r="O54" s="50"/>
      <c r="P54" s="7"/>
      <c r="Q54" s="50"/>
      <c r="R54" s="7"/>
      <c r="S54" s="50"/>
    </row>
    <row r="55" spans="1:37" ht="24" customHeight="1" x14ac:dyDescent="0.3">
      <c r="A55" s="253"/>
      <c r="B55" s="3" t="s">
        <v>170</v>
      </c>
      <c r="C55" s="7"/>
      <c r="D55" s="7"/>
      <c r="E55" s="50"/>
      <c r="F55" s="50">
        <v>5</v>
      </c>
      <c r="G55" s="177"/>
      <c r="H55" s="7"/>
      <c r="I55" s="50"/>
      <c r="J55" s="10"/>
      <c r="L55" s="7"/>
      <c r="M55" s="50"/>
      <c r="N55" s="7"/>
      <c r="O55" s="50"/>
      <c r="P55" s="7"/>
      <c r="Q55" s="50"/>
      <c r="R55" s="7"/>
      <c r="S55" s="50"/>
    </row>
    <row r="56" spans="1:37" ht="24" customHeight="1" x14ac:dyDescent="0.3">
      <c r="A56" s="253"/>
      <c r="B56" s="100" t="s">
        <v>166</v>
      </c>
      <c r="C56" s="7"/>
      <c r="D56" s="7"/>
      <c r="E56" s="50"/>
      <c r="F56" s="50"/>
      <c r="G56" s="177"/>
      <c r="H56" s="7"/>
      <c r="I56" s="50"/>
      <c r="J56" s="10"/>
      <c r="K56" s="50"/>
      <c r="L56" s="7">
        <v>2</v>
      </c>
      <c r="M56" s="50"/>
      <c r="N56" s="7">
        <v>2</v>
      </c>
      <c r="O56" s="50"/>
      <c r="P56" s="7"/>
      <c r="Q56" s="50"/>
      <c r="R56" s="7"/>
      <c r="S56" s="50"/>
    </row>
    <row r="57" spans="1:37" ht="24" customHeight="1" x14ac:dyDescent="0.3">
      <c r="A57" s="253"/>
      <c r="B57" s="100" t="s">
        <v>167</v>
      </c>
      <c r="C57" s="7">
        <v>8</v>
      </c>
      <c r="D57" s="7"/>
      <c r="E57" s="50">
        <v>3</v>
      </c>
      <c r="F57" s="50"/>
      <c r="G57" s="177"/>
      <c r="H57" s="7"/>
      <c r="I57" s="50"/>
      <c r="J57" s="10"/>
      <c r="K57" s="50"/>
      <c r="L57" s="7"/>
      <c r="M57" s="50">
        <v>1</v>
      </c>
      <c r="N57" s="7"/>
      <c r="O57" s="50"/>
      <c r="P57" s="7">
        <v>1</v>
      </c>
      <c r="Q57" s="50"/>
      <c r="R57" s="7"/>
      <c r="S57" s="50"/>
    </row>
    <row r="58" spans="1:37" ht="24" customHeight="1" x14ac:dyDescent="0.3">
      <c r="A58" s="253"/>
      <c r="B58" s="100" t="s">
        <v>172</v>
      </c>
      <c r="C58" s="7"/>
      <c r="D58" s="7"/>
      <c r="E58" s="50"/>
      <c r="F58" s="50"/>
      <c r="G58" s="177"/>
      <c r="H58" s="7"/>
      <c r="I58" s="50"/>
      <c r="J58" s="10"/>
      <c r="K58" s="50"/>
      <c r="L58" s="7">
        <v>2</v>
      </c>
      <c r="M58" s="50"/>
      <c r="N58" s="7">
        <v>2</v>
      </c>
      <c r="O58" s="50"/>
      <c r="P58" s="7"/>
      <c r="Q58" s="50"/>
      <c r="R58" s="7">
        <v>2</v>
      </c>
      <c r="S58" s="50"/>
    </row>
    <row r="59" spans="1:37" ht="24" customHeight="1" x14ac:dyDescent="0.3">
      <c r="A59" s="253"/>
      <c r="B59" s="100" t="s">
        <v>165</v>
      </c>
      <c r="C59" s="7"/>
      <c r="D59" s="7"/>
      <c r="E59" s="50"/>
      <c r="F59" s="50"/>
      <c r="G59" s="177"/>
      <c r="H59" s="7"/>
      <c r="I59" s="50"/>
      <c r="J59" s="10"/>
      <c r="K59" s="50">
        <v>1</v>
      </c>
      <c r="L59" s="7"/>
      <c r="M59" s="50"/>
      <c r="N59" s="7"/>
      <c r="O59" s="50"/>
      <c r="P59" s="7"/>
      <c r="Q59" s="50"/>
      <c r="R59" s="7"/>
      <c r="S59" s="50"/>
    </row>
    <row r="60" spans="1:37" ht="24" customHeight="1" x14ac:dyDescent="0.3">
      <c r="A60" s="253"/>
      <c r="B60" s="3" t="s">
        <v>173</v>
      </c>
      <c r="C60" s="7">
        <v>1</v>
      </c>
      <c r="D60" s="7"/>
      <c r="E60" s="50"/>
      <c r="F60" s="50"/>
      <c r="G60" s="177"/>
      <c r="H60" s="7">
        <v>1</v>
      </c>
      <c r="I60" s="50"/>
      <c r="J60" s="10"/>
      <c r="K60" s="50"/>
      <c r="L60" s="7"/>
      <c r="M60" s="50"/>
      <c r="N60" s="7"/>
      <c r="O60" s="50"/>
      <c r="P60" s="7"/>
      <c r="Q60" s="50"/>
      <c r="R60" s="7"/>
      <c r="S60" s="50"/>
    </row>
    <row r="61" spans="1:37" ht="24" customHeight="1" x14ac:dyDescent="0.3">
      <c r="A61" s="253"/>
      <c r="B61" s="3" t="s">
        <v>169</v>
      </c>
      <c r="C61" s="7"/>
      <c r="D61" s="7"/>
      <c r="E61" s="50"/>
      <c r="F61" s="50"/>
      <c r="G61" s="177"/>
      <c r="H61" s="7"/>
      <c r="I61" s="50"/>
      <c r="J61" s="10">
        <v>1</v>
      </c>
      <c r="K61" s="50"/>
      <c r="L61" s="7"/>
      <c r="M61" s="50"/>
      <c r="N61" s="7"/>
      <c r="O61" s="50"/>
      <c r="P61" s="7"/>
      <c r="Q61" s="50"/>
      <c r="R61" s="7"/>
      <c r="S61" s="50"/>
    </row>
    <row r="62" spans="1:37" ht="26.25" x14ac:dyDescent="0.3">
      <c r="A62" s="253"/>
      <c r="B62" s="2"/>
      <c r="C62" s="2">
        <f>SUM(C53:C61)</f>
        <v>13</v>
      </c>
      <c r="D62" s="2">
        <f>SUM(D53:D61)</f>
        <v>0</v>
      </c>
      <c r="E62" s="2">
        <f>SUM(E53:E61)</f>
        <v>3</v>
      </c>
      <c r="F62" s="2">
        <f>SUM(F53:F61)</f>
        <v>11</v>
      </c>
      <c r="G62" s="177"/>
      <c r="H62" s="2">
        <f t="shared" ref="H62:S62" si="4">SUM(H53:H61)</f>
        <v>1</v>
      </c>
      <c r="I62" s="2">
        <f t="shared" si="4"/>
        <v>0</v>
      </c>
      <c r="J62" s="2">
        <f t="shared" si="4"/>
        <v>1</v>
      </c>
      <c r="K62" s="2">
        <f t="shared" si="4"/>
        <v>2</v>
      </c>
      <c r="L62" s="2">
        <f t="shared" si="4"/>
        <v>4</v>
      </c>
      <c r="M62" s="2">
        <f t="shared" si="4"/>
        <v>1</v>
      </c>
      <c r="N62" s="2">
        <f t="shared" si="4"/>
        <v>4</v>
      </c>
      <c r="O62" s="2">
        <f t="shared" si="4"/>
        <v>0</v>
      </c>
      <c r="P62" s="2">
        <f t="shared" si="4"/>
        <v>1</v>
      </c>
      <c r="Q62" s="2">
        <f t="shared" si="4"/>
        <v>0</v>
      </c>
      <c r="R62" s="2">
        <f t="shared" si="4"/>
        <v>2</v>
      </c>
      <c r="S62" s="2">
        <f t="shared" si="4"/>
        <v>0</v>
      </c>
      <c r="Y62" s="254"/>
      <c r="Z62" s="254"/>
      <c r="AA62" s="254"/>
      <c r="AB62" s="254"/>
      <c r="AD62" s="234"/>
      <c r="AE62" s="234"/>
      <c r="AF62" s="234"/>
      <c r="AG62" s="234"/>
      <c r="AH62" s="234"/>
      <c r="AJ62" s="234"/>
      <c r="AK62" s="234"/>
    </row>
    <row r="64" spans="1:37" ht="19.5" customHeight="1" x14ac:dyDescent="0.35">
      <c r="A64" s="235" t="s">
        <v>23</v>
      </c>
      <c r="B64" s="235"/>
      <c r="C64" s="126">
        <v>47000</v>
      </c>
      <c r="D64" s="126">
        <v>4700</v>
      </c>
      <c r="E64" s="126">
        <v>58000</v>
      </c>
      <c r="F64" s="126">
        <v>5800</v>
      </c>
      <c r="H64" s="126">
        <v>5800</v>
      </c>
      <c r="I64" s="126">
        <v>4700</v>
      </c>
      <c r="J64" s="20">
        <v>6800</v>
      </c>
      <c r="K64" s="20">
        <v>5200</v>
      </c>
      <c r="L64" s="20">
        <v>20700</v>
      </c>
      <c r="M64" s="20">
        <v>6400</v>
      </c>
      <c r="N64" s="20">
        <v>18700</v>
      </c>
      <c r="O64" s="126">
        <v>25700</v>
      </c>
      <c r="P64" s="126">
        <v>8800</v>
      </c>
      <c r="Q64" s="20">
        <v>18700</v>
      </c>
      <c r="R64" s="20">
        <v>15000</v>
      </c>
      <c r="S64" s="20">
        <v>18000</v>
      </c>
      <c r="U64" s="236">
        <f>P67*0.85</f>
        <v>1437945</v>
      </c>
      <c r="V64" s="237"/>
      <c r="W64" s="238"/>
      <c r="Y64" s="242">
        <f>P69-P67</f>
        <v>0</v>
      </c>
      <c r="Z64" s="243"/>
      <c r="AA64" s="243"/>
      <c r="AB64" s="243"/>
      <c r="AD64" s="234"/>
      <c r="AE64" s="234"/>
      <c r="AF64" s="234"/>
      <c r="AG64" s="234"/>
      <c r="AH64" s="234"/>
      <c r="AJ64" s="234"/>
      <c r="AK64" s="234"/>
    </row>
    <row r="65" spans="1:37" ht="19.5" customHeight="1" x14ac:dyDescent="0.35">
      <c r="A65" s="235" t="s">
        <v>24</v>
      </c>
      <c r="B65" s="235"/>
      <c r="C65" s="20">
        <f>C64*C3</f>
        <v>799000</v>
      </c>
      <c r="D65" s="20">
        <f>D64*D3</f>
        <v>0</v>
      </c>
      <c r="E65" s="20">
        <f>E64*E3</f>
        <v>348000</v>
      </c>
      <c r="F65" s="20">
        <f>F64*F3</f>
        <v>81200</v>
      </c>
      <c r="H65" s="20">
        <f t="shared" ref="H65:S65" si="5">H64*H3</f>
        <v>11600</v>
      </c>
      <c r="I65" s="20">
        <f t="shared" si="5"/>
        <v>4700</v>
      </c>
      <c r="J65" s="20">
        <f t="shared" si="5"/>
        <v>6800</v>
      </c>
      <c r="K65" s="20">
        <f t="shared" si="5"/>
        <v>15600</v>
      </c>
      <c r="L65" s="20">
        <f t="shared" si="5"/>
        <v>207000</v>
      </c>
      <c r="M65" s="20">
        <f t="shared" si="5"/>
        <v>19200</v>
      </c>
      <c r="N65" s="20">
        <f t="shared" si="5"/>
        <v>112200</v>
      </c>
      <c r="O65" s="20">
        <f t="shared" si="5"/>
        <v>0</v>
      </c>
      <c r="P65" s="20">
        <f t="shared" si="5"/>
        <v>26400</v>
      </c>
      <c r="Q65" s="20">
        <f t="shared" si="5"/>
        <v>0</v>
      </c>
      <c r="R65" s="20">
        <f t="shared" si="5"/>
        <v>60000</v>
      </c>
      <c r="S65" s="20">
        <f t="shared" si="5"/>
        <v>0</v>
      </c>
      <c r="U65" s="239"/>
      <c r="V65" s="240"/>
      <c r="W65" s="241"/>
      <c r="Y65" s="243"/>
      <c r="Z65" s="243"/>
      <c r="AA65" s="243"/>
      <c r="AB65" s="243"/>
      <c r="AD65" s="234"/>
      <c r="AE65" s="234"/>
      <c r="AF65" s="234"/>
      <c r="AG65" s="234"/>
      <c r="AH65" s="234"/>
      <c r="AJ65" s="234"/>
      <c r="AK65" s="234"/>
    </row>
    <row r="67" spans="1:37" ht="26.25" x14ac:dyDescent="0.3">
      <c r="P67" s="259">
        <f>SUM(C65:S65)</f>
        <v>1691700</v>
      </c>
      <c r="Q67" s="260"/>
      <c r="U67" s="247"/>
      <c r="V67" s="248"/>
      <c r="W67" s="248"/>
      <c r="Y67" s="249"/>
      <c r="Z67" s="250"/>
      <c r="AA67" s="250"/>
      <c r="AB67" s="251"/>
    </row>
    <row r="69" spans="1:37" ht="26.25" x14ac:dyDescent="0.3">
      <c r="C69" s="244"/>
      <c r="D69" s="245"/>
      <c r="P69" s="246">
        <v>1691700</v>
      </c>
      <c r="Q69" s="246"/>
      <c r="U69" s="247">
        <f>P69*0.85</f>
        <v>1437945</v>
      </c>
      <c r="V69" s="248"/>
      <c r="W69" s="248"/>
      <c r="Y69" s="249"/>
      <c r="Z69" s="250"/>
      <c r="AA69" s="250"/>
      <c r="AB69" s="251"/>
    </row>
    <row r="70" spans="1:37" x14ac:dyDescent="0.3">
      <c r="Q70" s="18"/>
      <c r="S70" s="18"/>
      <c r="U70" s="245"/>
      <c r="V70" s="245"/>
      <c r="W70" s="245"/>
      <c r="Y70" s="255"/>
      <c r="Z70" s="256"/>
      <c r="AA70" s="256"/>
      <c r="AB70" s="256"/>
    </row>
    <row r="71" spans="1:37" x14ac:dyDescent="0.3">
      <c r="P71" s="244"/>
      <c r="Q71" s="245"/>
      <c r="U71" s="245"/>
      <c r="V71" s="245"/>
      <c r="W71" s="245"/>
      <c r="Y71" s="245"/>
      <c r="Z71" s="245"/>
      <c r="AA71" s="245"/>
      <c r="AB71" s="245"/>
    </row>
    <row r="72" spans="1:37" x14ac:dyDescent="0.3">
      <c r="P72" s="245"/>
      <c r="Q72" s="245"/>
      <c r="U72" s="245"/>
      <c r="V72" s="245"/>
      <c r="W72" s="245"/>
      <c r="Y72" s="245"/>
      <c r="Z72" s="245"/>
      <c r="AA72" s="245"/>
      <c r="AB72" s="245"/>
    </row>
    <row r="73" spans="1:37" x14ac:dyDescent="0.3">
      <c r="P73" s="18"/>
      <c r="Q73" s="18"/>
      <c r="S73" s="18"/>
      <c r="Y73" s="245"/>
      <c r="Z73" s="245"/>
      <c r="AA73" s="245"/>
      <c r="AB73" s="245"/>
    </row>
    <row r="74" spans="1:37" x14ac:dyDescent="0.3">
      <c r="C74">
        <f>C64*0.85</f>
        <v>39950</v>
      </c>
      <c r="D74">
        <f t="shared" ref="D74:R74" si="6">D64*0.85</f>
        <v>3995</v>
      </c>
      <c r="E74">
        <f t="shared" si="6"/>
        <v>49300</v>
      </c>
      <c r="F74">
        <f t="shared" si="6"/>
        <v>4930</v>
      </c>
      <c r="H74">
        <f t="shared" si="6"/>
        <v>4930</v>
      </c>
      <c r="I74">
        <f t="shared" si="6"/>
        <v>3995</v>
      </c>
      <c r="J74">
        <f t="shared" si="6"/>
        <v>5780</v>
      </c>
      <c r="K74">
        <f t="shared" si="6"/>
        <v>4420</v>
      </c>
      <c r="L74">
        <f t="shared" si="6"/>
        <v>17595</v>
      </c>
      <c r="M74">
        <f t="shared" si="6"/>
        <v>5440</v>
      </c>
      <c r="N74">
        <f t="shared" si="6"/>
        <v>15895</v>
      </c>
      <c r="O74">
        <f t="shared" si="6"/>
        <v>21845</v>
      </c>
      <c r="P74">
        <f t="shared" si="6"/>
        <v>7480</v>
      </c>
      <c r="Q74">
        <f t="shared" si="6"/>
        <v>15895</v>
      </c>
      <c r="R74">
        <f t="shared" si="6"/>
        <v>12750</v>
      </c>
      <c r="S74">
        <f>S64*0.85</f>
        <v>15300</v>
      </c>
    </row>
    <row r="75" spans="1:37" x14ac:dyDescent="0.3">
      <c r="C75">
        <v>29500</v>
      </c>
      <c r="D75">
        <v>2950</v>
      </c>
      <c r="E75">
        <v>51000</v>
      </c>
      <c r="F75">
        <v>5100</v>
      </c>
      <c r="H75">
        <v>3600</v>
      </c>
      <c r="I75">
        <v>2950</v>
      </c>
      <c r="J75">
        <v>4000</v>
      </c>
      <c r="K75">
        <v>4200</v>
      </c>
      <c r="L75">
        <v>15000</v>
      </c>
      <c r="M75">
        <v>4500</v>
      </c>
      <c r="N75">
        <v>9500</v>
      </c>
      <c r="O75">
        <v>12000</v>
      </c>
      <c r="P75">
        <v>8000</v>
      </c>
      <c r="Q75">
        <v>12000</v>
      </c>
      <c r="R75">
        <v>8500</v>
      </c>
    </row>
    <row r="76" spans="1:37" x14ac:dyDescent="0.3">
      <c r="C76">
        <f>C74-C75</f>
        <v>10450</v>
      </c>
      <c r="D76">
        <f t="shared" ref="D76:R76" si="7">D74-D75</f>
        <v>1045</v>
      </c>
      <c r="E76">
        <f t="shared" si="7"/>
        <v>-1700</v>
      </c>
      <c r="F76">
        <f t="shared" si="7"/>
        <v>-170</v>
      </c>
      <c r="H76">
        <f t="shared" si="7"/>
        <v>1330</v>
      </c>
      <c r="I76">
        <f t="shared" si="7"/>
        <v>1045</v>
      </c>
      <c r="J76">
        <f t="shared" si="7"/>
        <v>1780</v>
      </c>
      <c r="K76">
        <f t="shared" si="7"/>
        <v>220</v>
      </c>
      <c r="L76">
        <f t="shared" si="7"/>
        <v>2595</v>
      </c>
      <c r="M76">
        <f t="shared" si="7"/>
        <v>940</v>
      </c>
      <c r="N76">
        <f t="shared" si="7"/>
        <v>6395</v>
      </c>
      <c r="O76">
        <f t="shared" si="7"/>
        <v>9845</v>
      </c>
      <c r="P76">
        <f t="shared" si="7"/>
        <v>-520</v>
      </c>
      <c r="Q76">
        <f t="shared" si="7"/>
        <v>3895</v>
      </c>
      <c r="R76">
        <f t="shared" si="7"/>
        <v>4250</v>
      </c>
    </row>
    <row r="77" spans="1:37" x14ac:dyDescent="0.3">
      <c r="C77">
        <f t="shared" ref="C77:R77" si="8">C76*C3</f>
        <v>177650</v>
      </c>
      <c r="D77">
        <f t="shared" si="8"/>
        <v>0</v>
      </c>
      <c r="E77">
        <f t="shared" si="8"/>
        <v>-10200</v>
      </c>
      <c r="F77">
        <f t="shared" si="8"/>
        <v>-2380</v>
      </c>
      <c r="G77">
        <f t="shared" si="8"/>
        <v>0</v>
      </c>
      <c r="H77">
        <f t="shared" si="8"/>
        <v>2660</v>
      </c>
      <c r="I77">
        <f t="shared" si="8"/>
        <v>1045</v>
      </c>
      <c r="J77">
        <f t="shared" si="8"/>
        <v>1780</v>
      </c>
      <c r="K77">
        <f t="shared" si="8"/>
        <v>660</v>
      </c>
      <c r="L77">
        <f t="shared" si="8"/>
        <v>25950</v>
      </c>
      <c r="M77">
        <f t="shared" si="8"/>
        <v>2820</v>
      </c>
      <c r="N77">
        <f t="shared" si="8"/>
        <v>38370</v>
      </c>
      <c r="O77">
        <f t="shared" si="8"/>
        <v>0</v>
      </c>
      <c r="P77">
        <f t="shared" si="8"/>
        <v>-1560</v>
      </c>
      <c r="Q77">
        <f t="shared" si="8"/>
        <v>0</v>
      </c>
      <c r="R77">
        <f t="shared" si="8"/>
        <v>17000</v>
      </c>
      <c r="X77" s="245"/>
      <c r="Y77" s="245"/>
      <c r="Z77" s="245"/>
      <c r="AA77" s="245"/>
      <c r="AB77" s="245"/>
    </row>
    <row r="78" spans="1:37" x14ac:dyDescent="0.3">
      <c r="X78" s="245"/>
      <c r="Y78" s="245"/>
      <c r="Z78" s="245"/>
      <c r="AA78" s="245"/>
      <c r="AB78" s="245"/>
    </row>
    <row r="79" spans="1:37" ht="26.25" x14ac:dyDescent="0.3">
      <c r="P79" s="257">
        <f>SUM(C77:R77)</f>
        <v>253795</v>
      </c>
      <c r="Q79" s="258"/>
    </row>
  </sheetData>
  <mergeCells count="31">
    <mergeCell ref="A1:B2"/>
    <mergeCell ref="C1:D1"/>
    <mergeCell ref="E1:F1"/>
    <mergeCell ref="A4:A22"/>
    <mergeCell ref="A23:A43"/>
    <mergeCell ref="A44:A52"/>
    <mergeCell ref="AD64:AH65"/>
    <mergeCell ref="AJ64:AK65"/>
    <mergeCell ref="A65:B65"/>
    <mergeCell ref="Y52:AB52"/>
    <mergeCell ref="AD52:AH52"/>
    <mergeCell ref="AJ52:AK52"/>
    <mergeCell ref="A53:A62"/>
    <mergeCell ref="Y62:AB62"/>
    <mergeCell ref="AD62:AH62"/>
    <mergeCell ref="AJ62:AK62"/>
    <mergeCell ref="C69:D69"/>
    <mergeCell ref="P69:Q69"/>
    <mergeCell ref="U69:W69"/>
    <mergeCell ref="Y69:AB69"/>
    <mergeCell ref="A64:B64"/>
    <mergeCell ref="U64:W65"/>
    <mergeCell ref="Y64:AB65"/>
    <mergeCell ref="U70:W72"/>
    <mergeCell ref="Y70:AB73"/>
    <mergeCell ref="P71:Q72"/>
    <mergeCell ref="X77:AB78"/>
    <mergeCell ref="P79:Q79"/>
    <mergeCell ref="P67:Q67"/>
    <mergeCell ref="U67:W67"/>
    <mergeCell ref="Y67:AB67"/>
  </mergeCells>
  <phoneticPr fontId="50" type="noConversion"/>
  <conditionalFormatting sqref="B7:B11">
    <cfRule type="duplicateValues" dxfId="45" priority="2"/>
  </conditionalFormatting>
  <conditionalFormatting sqref="B44:B51">
    <cfRule type="duplicateValues" dxfId="44" priority="3"/>
  </conditionalFormatting>
  <conditionalFormatting sqref="B12">
    <cfRule type="duplicateValues" dxfId="43" priority="1"/>
  </conditionalFormatting>
  <conditionalFormatting sqref="B4:B6 B13:B21">
    <cfRule type="expression" dxfId="42" priority="4" stopIfTrue="1">
      <formula>AND(COUNTIF($B$4:$B$6, B4)+COUNTIF($B$13:$B$21, B4)&gt;1,NOT(ISBLANK(B4)))</formula>
    </cfRule>
  </conditionalFormatting>
  <conditionalFormatting sqref="B53:B61">
    <cfRule type="duplicateValues" dxfId="41" priority="5"/>
  </conditionalFormatting>
  <conditionalFormatting sqref="B23:B42">
    <cfRule type="duplicateValues" dxfId="40" priority="6"/>
  </conditionalFormatting>
  <printOptions horizontalCentered="1" verticalCentered="1"/>
  <pageMargins left="0" right="0" top="7.874015748031496E-2" bottom="7.874015748031496E-2" header="0" footer="0"/>
  <pageSetup paperSize="9" scale="23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T18"/>
  <sheetViews>
    <sheetView zoomScale="70" zoomScaleNormal="70" workbookViewId="0">
      <pane ySplit="3" topLeftCell="A7" activePane="bottomLeft" state="frozen"/>
      <selection activeCell="X9" sqref="X9"/>
      <selection pane="bottomLeft" activeCell="X9" sqref="X9"/>
    </sheetView>
  </sheetViews>
  <sheetFormatPr defaultRowHeight="16.5" x14ac:dyDescent="0.3"/>
  <cols>
    <col min="1" max="1" width="32.875" customWidth="1"/>
    <col min="2" max="6" width="10" customWidth="1"/>
    <col min="7" max="7" width="5.75" customWidth="1"/>
    <col min="8" max="8" width="18.5" customWidth="1"/>
    <col min="9" max="20" width="10.875" customWidth="1"/>
  </cols>
  <sheetData>
    <row r="1" spans="1:20" ht="113.25" customHeight="1" x14ac:dyDescent="0.3">
      <c r="A1" s="222" t="s">
        <v>205</v>
      </c>
      <c r="B1" s="223"/>
      <c r="C1" s="267" t="s">
        <v>97</v>
      </c>
      <c r="D1" s="268"/>
      <c r="E1" s="228" t="s">
        <v>98</v>
      </c>
      <c r="F1" s="228"/>
      <c r="G1" s="8"/>
      <c r="H1" s="269" t="s">
        <v>18</v>
      </c>
      <c r="I1" s="72" t="s">
        <v>20</v>
      </c>
      <c r="J1" s="176" t="s">
        <v>21</v>
      </c>
      <c r="K1" s="5" t="s">
        <v>101</v>
      </c>
      <c r="L1" s="176" t="s">
        <v>100</v>
      </c>
      <c r="M1" s="5" t="s">
        <v>96</v>
      </c>
      <c r="N1" s="176" t="s">
        <v>183</v>
      </c>
      <c r="O1" s="5" t="s">
        <v>114</v>
      </c>
      <c r="P1" s="176" t="s">
        <v>115</v>
      </c>
      <c r="Q1" s="5" t="s">
        <v>190</v>
      </c>
      <c r="R1" s="176" t="s">
        <v>105</v>
      </c>
      <c r="S1" s="5" t="s">
        <v>106</v>
      </c>
      <c r="T1" s="176" t="s">
        <v>191</v>
      </c>
    </row>
    <row r="2" spans="1:20" ht="43.5" customHeight="1" x14ac:dyDescent="0.3">
      <c r="A2" s="224"/>
      <c r="B2" s="225"/>
      <c r="C2" s="73" t="s">
        <v>2</v>
      </c>
      <c r="D2" s="73" t="s">
        <v>22</v>
      </c>
      <c r="E2" s="1" t="s">
        <v>2</v>
      </c>
      <c r="F2" s="1" t="s">
        <v>1</v>
      </c>
      <c r="G2" s="9"/>
      <c r="H2" s="270"/>
      <c r="I2" s="6" t="s">
        <v>3</v>
      </c>
      <c r="J2" s="1" t="s">
        <v>1</v>
      </c>
      <c r="K2" s="6" t="s">
        <v>3</v>
      </c>
      <c r="L2" s="1" t="s">
        <v>1</v>
      </c>
      <c r="M2" s="6" t="s">
        <v>3</v>
      </c>
      <c r="N2" s="1" t="s">
        <v>1</v>
      </c>
      <c r="O2" s="6" t="s">
        <v>3</v>
      </c>
      <c r="P2" s="1" t="s">
        <v>1</v>
      </c>
      <c r="Q2" s="6" t="s">
        <v>3</v>
      </c>
      <c r="R2" s="1" t="s">
        <v>1</v>
      </c>
      <c r="S2" s="6" t="s">
        <v>3</v>
      </c>
      <c r="T2" s="1" t="s">
        <v>1</v>
      </c>
    </row>
    <row r="3" spans="1:20" ht="39" customHeight="1" thickBot="1" x14ac:dyDescent="0.35">
      <c r="A3" s="271" t="s">
        <v>10</v>
      </c>
      <c r="B3" s="272"/>
      <c r="C3" s="44">
        <f>SUM(C4:C20)</f>
        <v>17</v>
      </c>
      <c r="D3" s="44">
        <f>SUM(D4:D20)</f>
        <v>0</v>
      </c>
      <c r="E3" s="44">
        <f>SUM(E4:E20)</f>
        <v>6</v>
      </c>
      <c r="F3" s="44">
        <f>SUM(F4:F20)</f>
        <v>14</v>
      </c>
      <c r="G3" s="177"/>
      <c r="H3" s="13" t="s">
        <v>10</v>
      </c>
      <c r="I3" s="44">
        <f>SUM(I4:I15)</f>
        <v>2</v>
      </c>
      <c r="J3" s="44">
        <f t="shared" ref="J3:T3" si="0">SUM(J4:J15)</f>
        <v>1</v>
      </c>
      <c r="K3" s="44">
        <f t="shared" si="0"/>
        <v>1</v>
      </c>
      <c r="L3" s="44">
        <f t="shared" si="0"/>
        <v>3</v>
      </c>
      <c r="M3" s="44">
        <f t="shared" si="0"/>
        <v>10</v>
      </c>
      <c r="N3" s="44">
        <f t="shared" si="0"/>
        <v>3</v>
      </c>
      <c r="O3" s="44">
        <f t="shared" si="0"/>
        <v>6</v>
      </c>
      <c r="P3" s="44">
        <f t="shared" si="0"/>
        <v>0</v>
      </c>
      <c r="Q3" s="44">
        <f t="shared" si="0"/>
        <v>3</v>
      </c>
      <c r="R3" s="44">
        <f t="shared" si="0"/>
        <v>0</v>
      </c>
      <c r="S3" s="44">
        <f t="shared" si="0"/>
        <v>4</v>
      </c>
      <c r="T3" s="44">
        <f t="shared" si="0"/>
        <v>0</v>
      </c>
    </row>
    <row r="4" spans="1:20" ht="82.7" customHeight="1" thickTop="1" x14ac:dyDescent="0.3">
      <c r="A4" s="273" t="s">
        <v>15</v>
      </c>
      <c r="B4" s="274"/>
      <c r="C4" s="57">
        <f>'학교별05.22'!C22</f>
        <v>0</v>
      </c>
      <c r="D4" s="57">
        <f>'학교별05.22'!D22</f>
        <v>0</v>
      </c>
      <c r="E4" s="58">
        <f>'학교별05.22'!E22</f>
        <v>0</v>
      </c>
      <c r="F4" s="59">
        <f>'학교별05.22'!F22</f>
        <v>0</v>
      </c>
      <c r="G4" s="177"/>
      <c r="H4" s="49" t="s">
        <v>15</v>
      </c>
      <c r="I4" s="47">
        <f>'학교별05.22'!H22</f>
        <v>0</v>
      </c>
      <c r="J4" s="45">
        <f>'학교별05.22'!I22</f>
        <v>1</v>
      </c>
      <c r="K4" s="47">
        <f>'학교별05.22'!J22</f>
        <v>0</v>
      </c>
      <c r="L4" s="45">
        <f>'학교별05.22'!K22</f>
        <v>0</v>
      </c>
      <c r="M4" s="47">
        <f>'학교별05.22'!L22</f>
        <v>0</v>
      </c>
      <c r="N4" s="45">
        <f>'학교별05.22'!M22</f>
        <v>0</v>
      </c>
      <c r="O4" s="47">
        <f>'학교별05.22'!N22</f>
        <v>2</v>
      </c>
      <c r="P4" s="45">
        <f>'학교별05.22'!O22</f>
        <v>0</v>
      </c>
      <c r="Q4" s="47">
        <f>'학교별05.22'!P22</f>
        <v>1</v>
      </c>
      <c r="R4" s="45">
        <f>'학교별05.22'!Q22</f>
        <v>0</v>
      </c>
      <c r="S4" s="47">
        <f>'학교별05.22'!R22</f>
        <v>2</v>
      </c>
      <c r="T4" s="87">
        <f>'학교별05.22'!S22</f>
        <v>0</v>
      </c>
    </row>
    <row r="5" spans="1:20" ht="82.7" customHeight="1" x14ac:dyDescent="0.3">
      <c r="A5" s="289"/>
      <c r="B5" s="290"/>
      <c r="C5" s="172"/>
      <c r="D5" s="165"/>
      <c r="E5" s="166"/>
      <c r="F5" s="173"/>
      <c r="G5" s="177"/>
      <c r="H5" s="40"/>
      <c r="I5" s="41"/>
      <c r="J5" s="42"/>
      <c r="K5" s="41"/>
      <c r="L5" s="42"/>
      <c r="M5" s="41"/>
      <c r="N5" s="42"/>
      <c r="O5" s="41"/>
      <c r="P5" s="42"/>
      <c r="Q5" s="41"/>
      <c r="R5" s="42"/>
      <c r="S5" s="41"/>
      <c r="T5" s="88"/>
    </row>
    <row r="6" spans="1:20" ht="82.7" customHeight="1" thickBot="1" x14ac:dyDescent="0.35">
      <c r="A6" s="275"/>
      <c r="B6" s="276"/>
      <c r="C6" s="79"/>
      <c r="D6" s="60"/>
      <c r="E6" s="62"/>
      <c r="F6" s="61"/>
      <c r="G6" s="177"/>
      <c r="H6" s="40"/>
      <c r="I6" s="83"/>
      <c r="J6" s="81"/>
      <c r="K6" s="95"/>
      <c r="L6" s="81"/>
      <c r="M6" s="84"/>
      <c r="N6" s="81"/>
      <c r="O6" s="83"/>
      <c r="P6" s="42"/>
      <c r="Q6" s="41"/>
      <c r="R6" s="42"/>
      <c r="S6" s="83"/>
      <c r="T6" s="88"/>
    </row>
    <row r="7" spans="1:20" ht="18" thickTop="1" thickBot="1" x14ac:dyDescent="0.35">
      <c r="H7" s="33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138"/>
    </row>
    <row r="8" spans="1:20" ht="82.7" customHeight="1" thickTop="1" x14ac:dyDescent="0.3">
      <c r="A8" s="277" t="s">
        <v>26</v>
      </c>
      <c r="B8" s="278"/>
      <c r="C8" s="47">
        <f>'학교별05.22'!C43</f>
        <v>0</v>
      </c>
      <c r="D8" s="47">
        <f>'학교별05.22'!D43</f>
        <v>0</v>
      </c>
      <c r="E8" s="45">
        <f>'학교별05.22'!E43</f>
        <v>0</v>
      </c>
      <c r="F8" s="45">
        <f>'학교별05.22'!F43</f>
        <v>0</v>
      </c>
      <c r="G8" s="37"/>
      <c r="H8" s="55" t="s">
        <v>17</v>
      </c>
      <c r="I8" s="48">
        <f>'학교별05.22'!H43</f>
        <v>0</v>
      </c>
      <c r="J8" s="46">
        <f>'학교별05.22'!I43</f>
        <v>0</v>
      </c>
      <c r="K8" s="48">
        <f>'학교별05.22'!J43</f>
        <v>0</v>
      </c>
      <c r="L8" s="46">
        <f>'학교별05.22'!K43</f>
        <v>0</v>
      </c>
      <c r="M8" s="48">
        <f>'학교별05.22'!L43</f>
        <v>3</v>
      </c>
      <c r="N8" s="46">
        <f>'학교별05.22'!M43</f>
        <v>1</v>
      </c>
      <c r="O8" s="48">
        <f>'학교별05.22'!N43</f>
        <v>0</v>
      </c>
      <c r="P8" s="46">
        <f>'학교별05.22'!O43</f>
        <v>0</v>
      </c>
      <c r="Q8" s="48">
        <f>'학교별05.22'!P43</f>
        <v>0</v>
      </c>
      <c r="R8" s="46">
        <f>'학교별05.22'!Q43</f>
        <v>0</v>
      </c>
      <c r="S8" s="48">
        <f>'학교별05.22'!R43</f>
        <v>0</v>
      </c>
      <c r="T8" s="90">
        <f>'학교별05.22'!S43</f>
        <v>0</v>
      </c>
    </row>
    <row r="9" spans="1:20" ht="82.7" customHeight="1" thickBot="1" x14ac:dyDescent="0.35">
      <c r="A9" s="261"/>
      <c r="B9" s="262"/>
      <c r="C9" s="75"/>
      <c r="D9" s="96"/>
      <c r="E9" s="78"/>
      <c r="F9" s="38"/>
      <c r="G9" s="39"/>
      <c r="H9" s="177"/>
      <c r="I9" s="41"/>
      <c r="J9" s="42"/>
      <c r="K9" s="41"/>
      <c r="L9" s="42"/>
      <c r="M9" s="41"/>
      <c r="N9" s="42"/>
      <c r="O9" s="41"/>
      <c r="P9" s="42"/>
      <c r="Q9" s="41"/>
      <c r="R9" s="98"/>
      <c r="S9" s="41"/>
      <c r="T9" s="88"/>
    </row>
    <row r="10" spans="1:20" ht="18" thickTop="1" thickBot="1" x14ac:dyDescent="0.35">
      <c r="H10" s="33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138"/>
    </row>
    <row r="11" spans="1:20" ht="82.7" customHeight="1" thickTop="1" x14ac:dyDescent="0.3">
      <c r="A11" s="263" t="s">
        <v>16</v>
      </c>
      <c r="B11" s="264"/>
      <c r="C11" s="65">
        <f>'학교별05.22'!C52</f>
        <v>4</v>
      </c>
      <c r="D11" s="65">
        <f>'학교별05.22'!D52</f>
        <v>0</v>
      </c>
      <c r="E11" s="66">
        <f>'학교별05.22'!E52</f>
        <v>3</v>
      </c>
      <c r="F11" s="67">
        <f>'학교별05.22'!F52</f>
        <v>3</v>
      </c>
      <c r="G11" s="177"/>
      <c r="H11" s="136" t="s">
        <v>25</v>
      </c>
      <c r="I11" s="127">
        <f>'학교별05.22'!H52</f>
        <v>1</v>
      </c>
      <c r="J11" s="128">
        <f>'학교별05.22'!I52</f>
        <v>0</v>
      </c>
      <c r="K11" s="127">
        <f>'학교별05.22'!J52</f>
        <v>0</v>
      </c>
      <c r="L11" s="128">
        <f>'학교별05.22'!K52</f>
        <v>1</v>
      </c>
      <c r="M11" s="127">
        <f>'학교별05.22'!L52</f>
        <v>3</v>
      </c>
      <c r="N11" s="128">
        <f>'학교별05.22'!M52</f>
        <v>1</v>
      </c>
      <c r="O11" s="127">
        <f>'학교별05.22'!N52</f>
        <v>0</v>
      </c>
      <c r="P11" s="128">
        <f>'학교별05.22'!O52</f>
        <v>0</v>
      </c>
      <c r="Q11" s="127">
        <f>'학교별05.22'!P52</f>
        <v>1</v>
      </c>
      <c r="R11" s="128">
        <f>'학교별05.22'!Q52</f>
        <v>0</v>
      </c>
      <c r="S11" s="127">
        <f>'학교별05.22'!R52</f>
        <v>0</v>
      </c>
      <c r="T11" s="137">
        <f>'학교별05.22'!S52</f>
        <v>0</v>
      </c>
    </row>
    <row r="12" spans="1:20" ht="82.7" customHeight="1" thickBot="1" x14ac:dyDescent="0.35">
      <c r="A12" s="265"/>
      <c r="B12" s="266"/>
      <c r="C12" s="68"/>
      <c r="D12" s="69"/>
      <c r="E12" s="144"/>
      <c r="F12" s="71"/>
      <c r="H12" s="33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138"/>
    </row>
    <row r="13" spans="1:20" ht="18" thickTop="1" thickBot="1" x14ac:dyDescent="0.35">
      <c r="H13" s="33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138"/>
    </row>
    <row r="14" spans="1:20" ht="82.7" customHeight="1" thickTop="1" x14ac:dyDescent="0.3">
      <c r="A14" s="282" t="s">
        <v>175</v>
      </c>
      <c r="B14" s="283"/>
      <c r="C14" s="129">
        <f>'학교별05.22'!C62</f>
        <v>13</v>
      </c>
      <c r="D14" s="129">
        <f>'학교별05.22'!D62</f>
        <v>0</v>
      </c>
      <c r="E14" s="130">
        <f>'학교별05.22'!E62</f>
        <v>3</v>
      </c>
      <c r="F14" s="131">
        <f>'학교별05.22'!F62</f>
        <v>11</v>
      </c>
      <c r="G14" s="177"/>
      <c r="H14" s="136" t="s">
        <v>174</v>
      </c>
      <c r="I14" s="127">
        <f>'학교별05.22'!H62</f>
        <v>1</v>
      </c>
      <c r="J14" s="128">
        <f>'학교별05.22'!I62</f>
        <v>0</v>
      </c>
      <c r="K14" s="127">
        <f>'학교별05.22'!J62</f>
        <v>1</v>
      </c>
      <c r="L14" s="128">
        <f>'학교별05.22'!K62</f>
        <v>2</v>
      </c>
      <c r="M14" s="127">
        <f>'학교별05.22'!L62</f>
        <v>4</v>
      </c>
      <c r="N14" s="128">
        <f>'학교별05.22'!M62</f>
        <v>1</v>
      </c>
      <c r="O14" s="127">
        <f>'학교별05.22'!N62</f>
        <v>4</v>
      </c>
      <c r="P14" s="128">
        <f>'학교별05.22'!O62</f>
        <v>0</v>
      </c>
      <c r="Q14" s="127">
        <f>'학교별05.22'!P62</f>
        <v>1</v>
      </c>
      <c r="R14" s="128">
        <f>'학교별05.22'!Q62</f>
        <v>0</v>
      </c>
      <c r="S14" s="127">
        <f>'학교별05.22'!R62</f>
        <v>2</v>
      </c>
      <c r="T14" s="137">
        <f>'학교별05.22'!S62</f>
        <v>0</v>
      </c>
    </row>
    <row r="15" spans="1:20" ht="82.7" customHeight="1" thickBot="1" x14ac:dyDescent="0.35">
      <c r="A15" s="280"/>
      <c r="B15" s="281"/>
      <c r="C15" s="132"/>
      <c r="D15" s="133"/>
      <c r="E15" s="134"/>
      <c r="F15" s="135"/>
      <c r="H15" s="64"/>
      <c r="I15" s="14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152"/>
    </row>
    <row r="16" spans="1:20" ht="17.25" thickTop="1" x14ac:dyDescent="0.3"/>
    <row r="18" spans="8:8" x14ac:dyDescent="0.3">
      <c r="H18" t="s">
        <v>83</v>
      </c>
    </row>
  </sheetData>
  <mergeCells count="14">
    <mergeCell ref="A1:B2"/>
    <mergeCell ref="C1:D1"/>
    <mergeCell ref="E1:F1"/>
    <mergeCell ref="H1:H2"/>
    <mergeCell ref="A3:B3"/>
    <mergeCell ref="A4:B4"/>
    <mergeCell ref="A14:B14"/>
    <mergeCell ref="A15:B15"/>
    <mergeCell ref="A5:B5"/>
    <mergeCell ref="A6:B6"/>
    <mergeCell ref="A8:B8"/>
    <mergeCell ref="A9:B9"/>
    <mergeCell ref="A11:B11"/>
    <mergeCell ref="A12:B12"/>
  </mergeCells>
  <phoneticPr fontId="50" type="noConversion"/>
  <conditionalFormatting sqref="A4:A6">
    <cfRule type="duplicateValues" dxfId="39" priority="2"/>
  </conditionalFormatting>
  <conditionalFormatting sqref="A8:A9">
    <cfRule type="duplicateValues" dxfId="38" priority="3"/>
  </conditionalFormatting>
  <conditionalFormatting sqref="A14">
    <cfRule type="duplicateValues" dxfId="37" priority="1"/>
  </conditionalFormatting>
  <conditionalFormatting sqref="A11">
    <cfRule type="duplicateValues" dxfId="36" priority="4"/>
  </conditionalFormatting>
  <printOptions horizontalCentered="1" verticalCentered="1"/>
  <pageMargins left="0" right="0" top="7.874015748031496E-2" bottom="7.874015748031496E-2" header="0" footer="0"/>
  <pageSetup paperSize="9" scale="55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79"/>
  <sheetViews>
    <sheetView zoomScale="70" zoomScaleNormal="70" workbookViewId="0">
      <pane ySplit="3" topLeftCell="A4" activePane="bottomLeft" state="frozen"/>
      <selection activeCell="J6" sqref="J6"/>
      <selection pane="bottomLeft" activeCell="N1" sqref="N1"/>
    </sheetView>
  </sheetViews>
  <sheetFormatPr defaultRowHeight="16.5" x14ac:dyDescent="0.3"/>
  <cols>
    <col min="1" max="1" width="9" customWidth="1"/>
    <col min="2" max="2" width="33.75" customWidth="1"/>
    <col min="3" max="3" width="10.75" customWidth="1"/>
    <col min="4" max="4" width="10" customWidth="1"/>
    <col min="5" max="5" width="10.5" customWidth="1"/>
    <col min="6" max="6" width="10" customWidth="1"/>
    <col min="7" max="7" width="4.125" customWidth="1"/>
    <col min="8" max="19" width="10.875" customWidth="1"/>
    <col min="20" max="20" width="5.5" customWidth="1"/>
    <col min="21" max="21" width="10.875" bestFit="1" customWidth="1"/>
  </cols>
  <sheetData>
    <row r="1" spans="1:23" ht="113.25" customHeight="1" x14ac:dyDescent="0.3">
      <c r="A1" s="222" t="s">
        <v>206</v>
      </c>
      <c r="B1" s="223"/>
      <c r="C1" s="226" t="s">
        <v>0</v>
      </c>
      <c r="D1" s="227"/>
      <c r="E1" s="228" t="s">
        <v>19</v>
      </c>
      <c r="F1" s="228"/>
      <c r="G1" s="8"/>
      <c r="H1" s="72" t="s">
        <v>20</v>
      </c>
      <c r="I1" s="178" t="s">
        <v>21</v>
      </c>
      <c r="J1" s="5" t="s">
        <v>7</v>
      </c>
      <c r="K1" s="178" t="s">
        <v>4</v>
      </c>
      <c r="L1" s="5" t="s">
        <v>6</v>
      </c>
      <c r="M1" s="178" t="s">
        <v>5</v>
      </c>
      <c r="N1" s="5" t="s">
        <v>9</v>
      </c>
      <c r="O1" s="178" t="s">
        <v>119</v>
      </c>
      <c r="P1" s="5" t="s">
        <v>8</v>
      </c>
      <c r="Q1" s="178" t="s">
        <v>12</v>
      </c>
      <c r="R1" s="5" t="s">
        <v>95</v>
      </c>
      <c r="S1" s="178" t="s">
        <v>11</v>
      </c>
    </row>
    <row r="2" spans="1:23" ht="43.5" customHeight="1" x14ac:dyDescent="0.3">
      <c r="A2" s="224"/>
      <c r="B2" s="225"/>
      <c r="C2" s="73" t="s">
        <v>2</v>
      </c>
      <c r="D2" s="21" t="s">
        <v>1</v>
      </c>
      <c r="E2" s="1" t="s">
        <v>2</v>
      </c>
      <c r="F2" s="1" t="s">
        <v>1</v>
      </c>
      <c r="G2" s="9"/>
      <c r="H2" s="6" t="s">
        <v>3</v>
      </c>
      <c r="I2" s="1" t="s">
        <v>1</v>
      </c>
      <c r="J2" s="6" t="s">
        <v>3</v>
      </c>
      <c r="K2" s="1" t="s">
        <v>1</v>
      </c>
      <c r="L2" s="6" t="s">
        <v>3</v>
      </c>
      <c r="M2" s="1" t="s">
        <v>1</v>
      </c>
      <c r="N2" s="6" t="s">
        <v>3</v>
      </c>
      <c r="O2" s="1" t="s">
        <v>1</v>
      </c>
      <c r="P2" s="6" t="s">
        <v>3</v>
      </c>
      <c r="Q2" s="1" t="s">
        <v>1</v>
      </c>
      <c r="R2" s="6" t="s">
        <v>3</v>
      </c>
      <c r="S2" s="1" t="s">
        <v>1</v>
      </c>
    </row>
    <row r="3" spans="1:23" ht="26.25" x14ac:dyDescent="0.3">
      <c r="A3" s="97" t="s">
        <v>14</v>
      </c>
      <c r="B3" s="12" t="s">
        <v>10</v>
      </c>
      <c r="C3" s="29">
        <f>C22+C43+C52+C62</f>
        <v>85</v>
      </c>
      <c r="D3" s="29">
        <f>D22+D43+D52+D62</f>
        <v>0</v>
      </c>
      <c r="E3" s="29">
        <f>E22+E43+E52+E62</f>
        <v>9</v>
      </c>
      <c r="F3" s="2">
        <f>F22+F43+F52+F62</f>
        <v>56</v>
      </c>
      <c r="G3" s="179"/>
      <c r="H3" s="2">
        <f t="shared" ref="H3:S3" si="0">H22+H43+H52+H62</f>
        <v>3</v>
      </c>
      <c r="I3" s="2">
        <f t="shared" si="0"/>
        <v>2</v>
      </c>
      <c r="J3" s="2">
        <f t="shared" si="0"/>
        <v>4</v>
      </c>
      <c r="K3" s="2">
        <f t="shared" si="0"/>
        <v>5</v>
      </c>
      <c r="L3" s="2">
        <f t="shared" si="0"/>
        <v>4</v>
      </c>
      <c r="M3" s="2">
        <f t="shared" si="0"/>
        <v>4</v>
      </c>
      <c r="N3" s="2">
        <f t="shared" si="0"/>
        <v>5</v>
      </c>
      <c r="O3" s="2">
        <f t="shared" si="0"/>
        <v>0</v>
      </c>
      <c r="P3" s="2">
        <f t="shared" si="0"/>
        <v>1</v>
      </c>
      <c r="Q3" s="2">
        <f t="shared" si="0"/>
        <v>0</v>
      </c>
      <c r="R3" s="2">
        <f t="shared" si="0"/>
        <v>5</v>
      </c>
      <c r="S3" s="2">
        <f t="shared" si="0"/>
        <v>0</v>
      </c>
      <c r="T3" s="4">
        <f>D3*10</f>
        <v>0</v>
      </c>
      <c r="U3">
        <f>F3*10+E3</f>
        <v>569</v>
      </c>
      <c r="V3" s="4">
        <f>SUM(H3:Q3)</f>
        <v>28</v>
      </c>
      <c r="W3" s="11">
        <f>SUM(T3:V3)</f>
        <v>597</v>
      </c>
    </row>
    <row r="4" spans="1:23" ht="24" customHeight="1" x14ac:dyDescent="0.3">
      <c r="A4" s="229" t="s">
        <v>34</v>
      </c>
      <c r="B4" s="3" t="s">
        <v>160</v>
      </c>
      <c r="C4" s="7"/>
      <c r="D4" s="7"/>
      <c r="E4" s="50"/>
      <c r="F4" s="50"/>
      <c r="G4" s="179"/>
      <c r="H4" s="7"/>
      <c r="I4" s="50"/>
      <c r="J4" s="10"/>
      <c r="K4" s="50">
        <v>1</v>
      </c>
      <c r="L4" s="7"/>
      <c r="M4" s="50"/>
      <c r="N4" s="10">
        <v>1</v>
      </c>
      <c r="O4" s="50"/>
      <c r="P4" s="7"/>
      <c r="Q4" s="50"/>
      <c r="R4" s="7">
        <v>1</v>
      </c>
      <c r="S4" s="50"/>
    </row>
    <row r="5" spans="1:23" ht="24" customHeight="1" x14ac:dyDescent="0.3">
      <c r="A5" s="230"/>
      <c r="B5" s="3" t="s">
        <v>150</v>
      </c>
      <c r="C5" s="7"/>
      <c r="D5" s="7"/>
      <c r="E5" s="50"/>
      <c r="F5" s="50"/>
      <c r="G5" s="179"/>
      <c r="H5" s="7"/>
      <c r="I5" s="50"/>
      <c r="J5" s="10"/>
      <c r="K5" s="50"/>
      <c r="L5" s="7"/>
      <c r="M5" s="50">
        <v>1</v>
      </c>
      <c r="N5" s="10"/>
      <c r="O5" s="50"/>
      <c r="P5" s="7"/>
      <c r="Q5" s="50"/>
      <c r="R5" s="7"/>
      <c r="S5" s="50"/>
    </row>
    <row r="6" spans="1:23" ht="24" customHeight="1" x14ac:dyDescent="0.3">
      <c r="A6" s="230"/>
      <c r="B6" s="3" t="s">
        <v>149</v>
      </c>
      <c r="C6" s="7"/>
      <c r="D6" s="7"/>
      <c r="E6" s="50"/>
      <c r="F6" s="50"/>
      <c r="G6" s="179"/>
      <c r="H6" s="7"/>
      <c r="I6" s="50"/>
      <c r="J6" s="10"/>
      <c r="K6" s="50"/>
      <c r="L6" s="7"/>
      <c r="M6" s="50"/>
      <c r="N6" s="10"/>
      <c r="O6" s="50"/>
      <c r="P6" s="7"/>
      <c r="Q6" s="50"/>
      <c r="R6" s="7"/>
      <c r="S6" s="50"/>
    </row>
    <row r="7" spans="1:23" ht="24" customHeight="1" x14ac:dyDescent="0.3">
      <c r="A7" s="230"/>
      <c r="B7" s="3" t="s">
        <v>156</v>
      </c>
      <c r="C7" s="7"/>
      <c r="D7" s="7"/>
      <c r="E7" s="50"/>
      <c r="F7" s="50"/>
      <c r="G7" s="179"/>
      <c r="H7" s="7"/>
      <c r="I7" s="50"/>
      <c r="J7" s="10"/>
      <c r="K7" s="50"/>
      <c r="L7" s="7"/>
      <c r="M7" s="50"/>
      <c r="N7" s="10"/>
      <c r="O7" s="50"/>
      <c r="P7" s="7"/>
      <c r="Q7" s="50"/>
      <c r="R7" s="7"/>
      <c r="S7" s="50"/>
    </row>
    <row r="8" spans="1:23" ht="24" customHeight="1" x14ac:dyDescent="0.3">
      <c r="A8" s="230"/>
      <c r="B8" s="3" t="s">
        <v>148</v>
      </c>
      <c r="C8" s="7">
        <v>1</v>
      </c>
      <c r="D8" s="7"/>
      <c r="E8" s="50"/>
      <c r="F8" s="50">
        <v>4</v>
      </c>
      <c r="G8" s="63"/>
      <c r="H8" s="7">
        <v>1</v>
      </c>
      <c r="I8" s="50"/>
      <c r="J8" s="10"/>
      <c r="K8" s="50"/>
      <c r="L8" s="7"/>
      <c r="M8" s="50"/>
      <c r="N8" s="10"/>
      <c r="O8" s="50"/>
      <c r="P8" s="7"/>
      <c r="Q8" s="50"/>
      <c r="R8" s="7"/>
      <c r="S8" s="50"/>
    </row>
    <row r="9" spans="1:23" ht="24" customHeight="1" x14ac:dyDescent="0.3">
      <c r="A9" s="230"/>
      <c r="B9" s="3" t="s">
        <v>153</v>
      </c>
      <c r="C9" s="7">
        <v>5</v>
      </c>
      <c r="D9" s="7"/>
      <c r="E9" s="50"/>
      <c r="F9" s="50"/>
      <c r="G9" s="179"/>
      <c r="H9" s="7"/>
      <c r="I9" s="50">
        <v>1</v>
      </c>
      <c r="J9" s="10"/>
      <c r="K9" s="50"/>
      <c r="L9" s="7"/>
      <c r="M9" s="50"/>
      <c r="N9" s="10"/>
      <c r="O9" s="50"/>
      <c r="P9" s="7"/>
      <c r="Q9" s="50"/>
      <c r="R9" s="7"/>
      <c r="S9" s="50"/>
    </row>
    <row r="10" spans="1:23" ht="24" customHeight="1" x14ac:dyDescent="0.3">
      <c r="A10" s="230"/>
      <c r="B10" s="3" t="s">
        <v>158</v>
      </c>
      <c r="C10" s="7"/>
      <c r="D10" s="7"/>
      <c r="E10" s="50"/>
      <c r="F10" s="50"/>
      <c r="G10" s="179"/>
      <c r="H10" s="7"/>
      <c r="I10" s="50"/>
      <c r="J10" s="10"/>
      <c r="K10" s="50"/>
      <c r="L10" s="7"/>
      <c r="M10" s="50"/>
      <c r="N10" s="10"/>
      <c r="O10" s="50"/>
      <c r="P10" s="7"/>
      <c r="Q10" s="50"/>
      <c r="R10" s="7"/>
      <c r="S10" s="50"/>
    </row>
    <row r="11" spans="1:23" ht="24" customHeight="1" x14ac:dyDescent="0.3">
      <c r="A11" s="230"/>
      <c r="B11" s="3" t="s">
        <v>152</v>
      </c>
      <c r="C11" s="7">
        <v>3</v>
      </c>
      <c r="D11" s="7"/>
      <c r="E11" s="50"/>
      <c r="F11" s="50">
        <v>5</v>
      </c>
      <c r="G11" s="179"/>
      <c r="H11" s="7"/>
      <c r="I11" s="50"/>
      <c r="J11" s="10"/>
      <c r="K11" s="50"/>
      <c r="L11" s="7"/>
      <c r="M11" s="50"/>
      <c r="N11" s="10"/>
      <c r="O11" s="50"/>
      <c r="P11" s="7"/>
      <c r="Q11" s="50"/>
      <c r="R11" s="7"/>
      <c r="S11" s="50"/>
    </row>
    <row r="12" spans="1:23" ht="24" customHeight="1" x14ac:dyDescent="0.3">
      <c r="A12" s="230"/>
      <c r="B12" s="3" t="s">
        <v>161</v>
      </c>
      <c r="C12" s="7">
        <v>9</v>
      </c>
      <c r="D12" s="77"/>
      <c r="E12" s="76"/>
      <c r="F12" s="50">
        <v>25</v>
      </c>
      <c r="G12" s="80"/>
      <c r="H12" s="7"/>
      <c r="I12" s="76"/>
      <c r="J12" s="7"/>
      <c r="K12" s="50"/>
      <c r="L12" s="7"/>
      <c r="M12" s="50"/>
      <c r="N12" s="10"/>
      <c r="O12" s="50"/>
      <c r="P12" s="7"/>
      <c r="Q12" s="76"/>
      <c r="R12" s="10"/>
      <c r="S12" s="76"/>
    </row>
    <row r="13" spans="1:23" ht="24" customHeight="1" x14ac:dyDescent="0.3">
      <c r="A13" s="230"/>
      <c r="B13" s="3" t="s">
        <v>154</v>
      </c>
      <c r="C13" s="7">
        <v>1</v>
      </c>
      <c r="D13" s="7"/>
      <c r="E13" s="50"/>
      <c r="F13" s="50">
        <v>8</v>
      </c>
      <c r="G13" s="179"/>
      <c r="H13" s="7"/>
      <c r="I13" s="50"/>
      <c r="J13" s="10"/>
      <c r="K13" s="50"/>
      <c r="L13" s="7"/>
      <c r="M13" s="50"/>
      <c r="N13" s="10"/>
      <c r="O13" s="50"/>
      <c r="P13" s="7"/>
      <c r="Q13" s="50"/>
      <c r="R13" s="7"/>
      <c r="S13" s="50"/>
    </row>
    <row r="14" spans="1:23" ht="24" customHeight="1" x14ac:dyDescent="0.3">
      <c r="A14" s="230"/>
      <c r="B14" s="100" t="s">
        <v>164</v>
      </c>
      <c r="C14" s="7"/>
      <c r="D14" s="7"/>
      <c r="E14" s="50"/>
      <c r="F14" s="50"/>
      <c r="G14" s="179"/>
      <c r="H14" s="7"/>
      <c r="I14" s="50"/>
      <c r="J14" s="10"/>
      <c r="K14" s="50"/>
      <c r="L14" s="7"/>
      <c r="M14" s="50"/>
      <c r="N14" s="10"/>
      <c r="O14" s="50"/>
      <c r="P14" s="7"/>
      <c r="Q14" s="50"/>
      <c r="R14" s="7"/>
      <c r="S14" s="50"/>
    </row>
    <row r="15" spans="1:23" ht="24" customHeight="1" x14ac:dyDescent="0.3">
      <c r="A15" s="230"/>
      <c r="B15" s="3" t="s">
        <v>159</v>
      </c>
      <c r="C15" s="7">
        <v>6</v>
      </c>
      <c r="D15" s="7"/>
      <c r="E15" s="50"/>
      <c r="F15" s="50"/>
      <c r="G15" s="179"/>
      <c r="H15" s="7">
        <v>1</v>
      </c>
      <c r="I15" s="50"/>
      <c r="J15" s="10"/>
      <c r="K15" s="50"/>
      <c r="L15" s="7"/>
      <c r="M15" s="50"/>
      <c r="N15" s="10"/>
      <c r="O15" s="50"/>
      <c r="P15" s="7"/>
      <c r="Q15" s="50"/>
      <c r="R15" s="7"/>
      <c r="S15" s="50"/>
    </row>
    <row r="16" spans="1:23" ht="24" customHeight="1" x14ac:dyDescent="0.3">
      <c r="A16" s="230"/>
      <c r="B16" s="3" t="s">
        <v>147</v>
      </c>
      <c r="C16" s="7"/>
      <c r="D16" s="7"/>
      <c r="E16" s="50"/>
      <c r="F16" s="50">
        <v>4</v>
      </c>
      <c r="G16" s="179"/>
      <c r="H16" s="7"/>
      <c r="I16" s="50"/>
      <c r="J16" s="10"/>
      <c r="K16" s="50"/>
      <c r="L16" s="7"/>
      <c r="M16" s="50"/>
      <c r="N16" s="10"/>
      <c r="O16" s="50"/>
      <c r="P16" s="7"/>
      <c r="Q16" s="50"/>
      <c r="R16" s="7"/>
      <c r="S16" s="50"/>
    </row>
    <row r="17" spans="1:25" ht="24" customHeight="1" x14ac:dyDescent="0.3">
      <c r="A17" s="230"/>
      <c r="B17" s="3" t="s">
        <v>163</v>
      </c>
      <c r="C17" s="7">
        <v>3</v>
      </c>
      <c r="D17" s="7"/>
      <c r="E17" s="50">
        <v>2</v>
      </c>
      <c r="F17" s="50"/>
      <c r="G17" s="179"/>
      <c r="H17" s="7"/>
      <c r="I17" s="50"/>
      <c r="J17" s="10"/>
      <c r="K17" s="50"/>
      <c r="L17" s="7"/>
      <c r="M17" s="50"/>
      <c r="N17" s="10"/>
      <c r="O17" s="50"/>
      <c r="P17" s="7"/>
      <c r="Q17" s="50"/>
      <c r="R17" s="7"/>
      <c r="S17" s="50"/>
    </row>
    <row r="18" spans="1:25" ht="24" customHeight="1" x14ac:dyDescent="0.3">
      <c r="A18" s="230"/>
      <c r="B18" s="3" t="s">
        <v>162</v>
      </c>
      <c r="C18" s="7"/>
      <c r="D18" s="7"/>
      <c r="E18" s="50"/>
      <c r="F18" s="50"/>
      <c r="G18" s="179"/>
      <c r="H18" s="7"/>
      <c r="I18" s="50"/>
      <c r="J18" s="10"/>
      <c r="K18" s="50"/>
      <c r="L18" s="7"/>
      <c r="M18" s="50"/>
      <c r="N18" s="10"/>
      <c r="O18" s="50"/>
      <c r="P18" s="7"/>
      <c r="Q18" s="50"/>
      <c r="R18" s="7"/>
      <c r="S18" s="50"/>
    </row>
    <row r="19" spans="1:25" ht="24" customHeight="1" x14ac:dyDescent="0.3">
      <c r="A19" s="230"/>
      <c r="B19" s="3" t="s">
        <v>155</v>
      </c>
      <c r="C19" s="7">
        <v>2</v>
      </c>
      <c r="D19" s="7"/>
      <c r="E19" s="50"/>
      <c r="F19" s="50">
        <v>4</v>
      </c>
      <c r="G19" s="179"/>
      <c r="H19" s="7">
        <v>1</v>
      </c>
      <c r="I19" s="50"/>
      <c r="J19" s="10"/>
      <c r="K19" s="50"/>
      <c r="L19" s="7"/>
      <c r="M19" s="50"/>
      <c r="N19" s="10"/>
      <c r="O19" s="50"/>
      <c r="P19" s="7"/>
      <c r="Q19" s="50"/>
      <c r="R19" s="7"/>
      <c r="S19" s="50"/>
    </row>
    <row r="20" spans="1:25" ht="24" customHeight="1" x14ac:dyDescent="0.3">
      <c r="A20" s="230"/>
      <c r="B20" s="3" t="s">
        <v>157</v>
      </c>
      <c r="C20" s="7"/>
      <c r="D20" s="7"/>
      <c r="E20" s="50"/>
      <c r="F20" s="50">
        <v>2</v>
      </c>
      <c r="G20" s="179"/>
      <c r="H20" s="7"/>
      <c r="I20" s="50"/>
      <c r="J20" s="10"/>
      <c r="K20" s="50"/>
      <c r="L20" s="7"/>
      <c r="M20" s="50"/>
      <c r="N20" s="10"/>
      <c r="O20" s="50"/>
      <c r="P20" s="7"/>
      <c r="Q20" s="50"/>
      <c r="R20" s="7"/>
      <c r="S20" s="50"/>
    </row>
    <row r="21" spans="1:25" ht="24" customHeight="1" x14ac:dyDescent="0.3">
      <c r="A21" s="230"/>
      <c r="B21" s="3" t="s">
        <v>151</v>
      </c>
      <c r="C21" s="7">
        <v>4</v>
      </c>
      <c r="D21" s="7"/>
      <c r="E21" s="50"/>
      <c r="F21" s="50">
        <v>4</v>
      </c>
      <c r="G21" s="179"/>
      <c r="H21" s="7"/>
      <c r="I21" s="50">
        <v>1</v>
      </c>
      <c r="J21" s="10"/>
      <c r="K21" s="50"/>
      <c r="L21" s="7"/>
      <c r="M21" s="50"/>
      <c r="N21" s="10">
        <v>1</v>
      </c>
      <c r="O21" s="50"/>
      <c r="P21" s="7"/>
      <c r="Q21" s="50"/>
      <c r="R21" s="7">
        <v>1</v>
      </c>
      <c r="S21" s="50"/>
    </row>
    <row r="22" spans="1:25" ht="27" thickBot="1" x14ac:dyDescent="0.35">
      <c r="A22" s="231"/>
      <c r="B22" s="31"/>
      <c r="C22" s="31">
        <f>SUM(C4:C21)</f>
        <v>34</v>
      </c>
      <c r="D22" s="31">
        <f>SUM(D4:D21)</f>
        <v>0</v>
      </c>
      <c r="E22" s="31">
        <f>SUM(E4:E21)</f>
        <v>2</v>
      </c>
      <c r="F22" s="31">
        <f>SUM(F4:F21)</f>
        <v>56</v>
      </c>
      <c r="G22" s="179"/>
      <c r="H22" s="2">
        <f t="shared" ref="H22:S22" si="1">SUM(H4:H21)</f>
        <v>3</v>
      </c>
      <c r="I22" s="2">
        <f t="shared" si="1"/>
        <v>2</v>
      </c>
      <c r="J22" s="2">
        <f t="shared" si="1"/>
        <v>0</v>
      </c>
      <c r="K22" s="2">
        <f t="shared" si="1"/>
        <v>1</v>
      </c>
      <c r="L22" s="2">
        <f t="shared" si="1"/>
        <v>0</v>
      </c>
      <c r="M22" s="2">
        <f t="shared" si="1"/>
        <v>1</v>
      </c>
      <c r="N22" s="2">
        <f t="shared" si="1"/>
        <v>2</v>
      </c>
      <c r="O22" s="2">
        <f t="shared" si="1"/>
        <v>0</v>
      </c>
      <c r="P22" s="2">
        <f t="shared" si="1"/>
        <v>0</v>
      </c>
      <c r="Q22" s="2">
        <f t="shared" si="1"/>
        <v>0</v>
      </c>
      <c r="R22" s="2">
        <f t="shared" si="1"/>
        <v>2</v>
      </c>
      <c r="S22" s="2">
        <f t="shared" si="1"/>
        <v>0</v>
      </c>
      <c r="U22" s="35"/>
      <c r="V22" s="18"/>
      <c r="W22" s="18"/>
    </row>
    <row r="23" spans="1:25" ht="24" customHeight="1" thickTop="1" x14ac:dyDescent="0.3">
      <c r="A23" s="286" t="s">
        <v>27</v>
      </c>
      <c r="B23" s="23" t="s">
        <v>187</v>
      </c>
      <c r="C23" s="28"/>
      <c r="D23" s="28"/>
      <c r="E23" s="15"/>
      <c r="F23" s="16"/>
      <c r="G23" s="25"/>
      <c r="H23" s="43"/>
      <c r="I23" s="50"/>
      <c r="J23" s="10"/>
      <c r="K23" s="50"/>
      <c r="L23" s="7"/>
      <c r="M23" s="50"/>
      <c r="N23" s="7"/>
      <c r="O23" s="50"/>
      <c r="P23" s="7"/>
      <c r="Q23" s="50"/>
      <c r="R23" s="7"/>
      <c r="S23" s="50"/>
      <c r="U23" s="18"/>
      <c r="V23" s="18"/>
      <c r="W23" s="18"/>
      <c r="X23" s="18"/>
      <c r="Y23" s="18"/>
    </row>
    <row r="24" spans="1:25" ht="24" customHeight="1" x14ac:dyDescent="0.3">
      <c r="A24" s="287"/>
      <c r="B24" s="24" t="s">
        <v>188</v>
      </c>
      <c r="C24" s="32">
        <v>3</v>
      </c>
      <c r="D24" s="32"/>
      <c r="E24" s="54">
        <v>2</v>
      </c>
      <c r="F24" s="22"/>
      <c r="G24" s="25"/>
      <c r="H24" s="7"/>
      <c r="I24" s="50"/>
      <c r="J24" s="10"/>
      <c r="K24" s="50"/>
      <c r="L24" s="7"/>
      <c r="M24" s="50"/>
      <c r="N24" s="7"/>
      <c r="O24" s="50"/>
      <c r="P24" s="7"/>
      <c r="Q24" s="50"/>
      <c r="R24" s="7"/>
      <c r="S24" s="50"/>
      <c r="U24" s="18"/>
      <c r="V24" s="18"/>
      <c r="W24" s="18"/>
      <c r="X24" s="18"/>
      <c r="Y24" s="18"/>
    </row>
    <row r="25" spans="1:25" ht="24" customHeight="1" x14ac:dyDescent="0.3">
      <c r="A25" s="287"/>
      <c r="B25" s="24" t="s">
        <v>128</v>
      </c>
      <c r="C25" s="32"/>
      <c r="D25" s="32"/>
      <c r="E25" s="54"/>
      <c r="F25" s="22"/>
      <c r="G25" s="25"/>
      <c r="H25" s="43"/>
      <c r="I25" s="50"/>
      <c r="J25" s="10"/>
      <c r="K25" s="50"/>
      <c r="L25" s="7"/>
      <c r="M25" s="50"/>
      <c r="N25" s="7"/>
      <c r="O25" s="50"/>
      <c r="P25" s="7"/>
      <c r="Q25" s="50"/>
      <c r="R25" s="7"/>
      <c r="S25" s="50"/>
      <c r="U25" s="18"/>
      <c r="V25" s="18"/>
      <c r="W25" s="18"/>
      <c r="X25" s="18"/>
      <c r="Y25" s="18"/>
    </row>
    <row r="26" spans="1:25" ht="24" customHeight="1" x14ac:dyDescent="0.3">
      <c r="A26" s="287"/>
      <c r="B26" s="24" t="s">
        <v>127</v>
      </c>
      <c r="C26" s="32">
        <v>2</v>
      </c>
      <c r="D26" s="32"/>
      <c r="E26" s="54"/>
      <c r="F26" s="22"/>
      <c r="G26" s="25"/>
      <c r="H26" s="43"/>
      <c r="I26" s="50"/>
      <c r="J26" s="10"/>
      <c r="K26" s="50"/>
      <c r="L26" s="7">
        <v>1</v>
      </c>
      <c r="M26" s="50"/>
      <c r="N26" s="7"/>
      <c r="O26" s="50"/>
      <c r="P26" s="7"/>
      <c r="Q26" s="50"/>
      <c r="R26" s="7"/>
      <c r="S26" s="50"/>
      <c r="U26" s="18"/>
      <c r="V26" s="18"/>
      <c r="W26" s="18"/>
      <c r="X26" s="18"/>
      <c r="Y26" s="18"/>
    </row>
    <row r="27" spans="1:25" ht="24" customHeight="1" x14ac:dyDescent="0.3">
      <c r="A27" s="287"/>
      <c r="B27" s="24" t="s">
        <v>189</v>
      </c>
      <c r="C27" s="32"/>
      <c r="D27" s="32"/>
      <c r="E27" s="54"/>
      <c r="F27" s="22"/>
      <c r="G27" s="25"/>
      <c r="H27" s="10"/>
      <c r="I27" s="50"/>
      <c r="J27" s="10"/>
      <c r="K27" s="50"/>
      <c r="L27" s="7"/>
      <c r="M27" s="50"/>
      <c r="N27" s="7"/>
      <c r="O27" s="50"/>
      <c r="P27" s="7"/>
      <c r="Q27" s="50"/>
      <c r="R27" s="7"/>
      <c r="S27" s="50"/>
      <c r="U27" s="18"/>
      <c r="V27" s="18"/>
      <c r="W27" s="18"/>
      <c r="X27" s="18"/>
      <c r="Y27" s="18"/>
    </row>
    <row r="28" spans="1:25" ht="24" customHeight="1" x14ac:dyDescent="0.3">
      <c r="A28" s="287"/>
      <c r="B28" s="24" t="s">
        <v>140</v>
      </c>
      <c r="C28" s="32"/>
      <c r="D28" s="32"/>
      <c r="E28" s="54"/>
      <c r="F28" s="22"/>
      <c r="G28" s="25"/>
      <c r="H28" s="10"/>
      <c r="I28" s="50"/>
      <c r="J28" s="10"/>
      <c r="K28" s="50"/>
      <c r="L28" s="7"/>
      <c r="M28" s="50"/>
      <c r="N28" s="7"/>
      <c r="O28" s="50"/>
      <c r="P28" s="7"/>
      <c r="Q28" s="76"/>
      <c r="R28" s="7"/>
      <c r="S28" s="50"/>
      <c r="U28" s="18"/>
      <c r="V28" s="18"/>
      <c r="W28" s="18"/>
      <c r="X28" s="18"/>
      <c r="Y28" s="18"/>
    </row>
    <row r="29" spans="1:25" ht="24" customHeight="1" x14ac:dyDescent="0.3">
      <c r="A29" s="287"/>
      <c r="B29" s="24" t="s">
        <v>129</v>
      </c>
      <c r="C29" s="32">
        <v>3</v>
      </c>
      <c r="D29" s="32"/>
      <c r="E29" s="54">
        <v>1</v>
      </c>
      <c r="F29" s="22"/>
      <c r="G29" s="25"/>
      <c r="H29" s="43"/>
      <c r="I29" s="50"/>
      <c r="J29" s="10"/>
      <c r="K29" s="50"/>
      <c r="L29" s="7"/>
      <c r="M29" s="50"/>
      <c r="N29" s="7"/>
      <c r="O29" s="50"/>
      <c r="P29" s="7"/>
      <c r="Q29" s="50"/>
      <c r="R29" s="7"/>
      <c r="S29" s="50"/>
      <c r="U29" s="18"/>
      <c r="V29" s="18"/>
      <c r="W29" s="18"/>
      <c r="X29" s="18"/>
      <c r="Y29" s="18"/>
    </row>
    <row r="30" spans="1:25" ht="24" customHeight="1" x14ac:dyDescent="0.3">
      <c r="A30" s="287"/>
      <c r="B30" s="24" t="s">
        <v>145</v>
      </c>
      <c r="C30" s="32">
        <v>7</v>
      </c>
      <c r="D30" s="32"/>
      <c r="E30" s="54">
        <v>3</v>
      </c>
      <c r="F30" s="22"/>
      <c r="G30" s="25"/>
      <c r="H30" s="43"/>
      <c r="I30" s="50"/>
      <c r="J30" s="10"/>
      <c r="K30" s="50"/>
      <c r="L30" s="7"/>
      <c r="M30" s="50"/>
      <c r="N30" s="7"/>
      <c r="O30" s="50"/>
      <c r="P30" s="7"/>
      <c r="Q30" s="50"/>
      <c r="R30" s="7"/>
      <c r="S30" s="50"/>
      <c r="U30" s="18"/>
      <c r="V30" s="18"/>
      <c r="W30" s="18"/>
      <c r="X30" s="18"/>
      <c r="Y30" s="18"/>
    </row>
    <row r="31" spans="1:25" ht="24" customHeight="1" x14ac:dyDescent="0.3">
      <c r="A31" s="287"/>
      <c r="B31" s="24" t="s">
        <v>130</v>
      </c>
      <c r="C31" s="32">
        <v>2</v>
      </c>
      <c r="D31" s="32"/>
      <c r="E31" s="54"/>
      <c r="F31" s="22"/>
      <c r="G31" s="25"/>
      <c r="H31" s="43"/>
      <c r="I31" s="50"/>
      <c r="J31" s="10"/>
      <c r="K31" s="50"/>
      <c r="L31" s="7"/>
      <c r="M31" s="50"/>
      <c r="N31" s="7"/>
      <c r="O31" s="50"/>
      <c r="P31" s="7"/>
      <c r="Q31" s="50"/>
      <c r="R31" s="7"/>
      <c r="S31" s="50"/>
      <c r="U31" s="18"/>
      <c r="V31" s="18"/>
      <c r="W31" s="18"/>
      <c r="X31" s="18"/>
      <c r="Y31" s="18"/>
    </row>
    <row r="32" spans="1:25" ht="24" customHeight="1" x14ac:dyDescent="0.3">
      <c r="A32" s="287"/>
      <c r="B32" s="24" t="s">
        <v>131</v>
      </c>
      <c r="C32" s="32">
        <v>1</v>
      </c>
      <c r="D32" s="32"/>
      <c r="E32" s="54"/>
      <c r="F32" s="22"/>
      <c r="G32" s="25"/>
      <c r="H32" s="43"/>
      <c r="I32" s="50"/>
      <c r="J32" s="10"/>
      <c r="K32" s="50"/>
      <c r="L32" s="7"/>
      <c r="M32" s="50"/>
      <c r="N32" s="7"/>
      <c r="O32" s="50"/>
      <c r="P32" s="7"/>
      <c r="Q32" s="50"/>
      <c r="R32" s="7"/>
      <c r="S32" s="50"/>
      <c r="U32" s="18"/>
      <c r="V32" s="18"/>
      <c r="W32" s="18"/>
      <c r="X32" s="18"/>
      <c r="Y32" s="18"/>
    </row>
    <row r="33" spans="1:25" ht="24" customHeight="1" x14ac:dyDescent="0.3">
      <c r="A33" s="287"/>
      <c r="B33" s="24" t="s">
        <v>132</v>
      </c>
      <c r="C33" s="32"/>
      <c r="D33" s="32"/>
      <c r="E33" s="54"/>
      <c r="F33" s="22"/>
      <c r="G33" s="25"/>
      <c r="H33" s="43"/>
      <c r="I33" s="50"/>
      <c r="J33" s="10"/>
      <c r="K33" s="50"/>
      <c r="L33" s="7"/>
      <c r="M33" s="50"/>
      <c r="N33" s="7"/>
      <c r="O33" s="50"/>
      <c r="P33" s="7"/>
      <c r="Q33" s="50"/>
      <c r="R33" s="7"/>
      <c r="S33" s="50"/>
      <c r="U33" s="18"/>
      <c r="V33" s="18"/>
      <c r="W33" s="18"/>
      <c r="X33" s="18"/>
      <c r="Y33" s="18"/>
    </row>
    <row r="34" spans="1:25" ht="24" customHeight="1" x14ac:dyDescent="0.3">
      <c r="A34" s="287"/>
      <c r="B34" s="24" t="s">
        <v>133</v>
      </c>
      <c r="C34" s="32"/>
      <c r="D34" s="32"/>
      <c r="E34" s="54"/>
      <c r="F34" s="22"/>
      <c r="G34" s="25"/>
      <c r="H34" s="7"/>
      <c r="I34" s="50"/>
      <c r="J34" s="10"/>
      <c r="K34" s="50"/>
      <c r="L34" s="7"/>
      <c r="M34" s="50"/>
      <c r="N34" s="7"/>
      <c r="O34" s="50"/>
      <c r="P34" s="7"/>
      <c r="Q34" s="50"/>
      <c r="R34" s="7"/>
      <c r="S34" s="50"/>
      <c r="U34" s="18"/>
      <c r="V34" s="18"/>
      <c r="W34" s="18"/>
      <c r="X34" s="18"/>
      <c r="Y34" s="18"/>
    </row>
    <row r="35" spans="1:25" ht="24" customHeight="1" x14ac:dyDescent="0.3">
      <c r="A35" s="287"/>
      <c r="B35" s="24" t="s">
        <v>135</v>
      </c>
      <c r="C35" s="32">
        <v>5</v>
      </c>
      <c r="D35" s="32"/>
      <c r="E35" s="54"/>
      <c r="F35" s="22"/>
      <c r="G35" s="25"/>
      <c r="H35" s="7"/>
      <c r="I35" s="50"/>
      <c r="J35" s="10"/>
      <c r="K35" s="50"/>
      <c r="L35" s="7"/>
      <c r="M35" s="50"/>
      <c r="N35" s="7"/>
      <c r="O35" s="50"/>
      <c r="P35" s="7"/>
      <c r="Q35" s="50"/>
      <c r="R35" s="7"/>
      <c r="S35" s="50"/>
      <c r="U35" s="18"/>
      <c r="V35" s="18"/>
      <c r="W35" s="18"/>
      <c r="X35" s="18"/>
      <c r="Y35" s="18"/>
    </row>
    <row r="36" spans="1:25" ht="24" customHeight="1" x14ac:dyDescent="0.3">
      <c r="A36" s="287"/>
      <c r="B36" s="24" t="s">
        <v>141</v>
      </c>
      <c r="C36" s="32">
        <v>25</v>
      </c>
      <c r="D36" s="56"/>
      <c r="E36" s="54"/>
      <c r="F36" s="22"/>
      <c r="G36" s="25"/>
      <c r="H36" s="43"/>
      <c r="I36" s="50"/>
      <c r="J36" s="10"/>
      <c r="K36" s="50"/>
      <c r="L36" s="7"/>
      <c r="M36" s="50"/>
      <c r="N36" s="7"/>
      <c r="O36" s="50"/>
      <c r="P36" s="7"/>
      <c r="Q36" s="76"/>
      <c r="R36" s="7"/>
      <c r="S36" s="50"/>
      <c r="U36" s="18"/>
      <c r="V36" s="18"/>
      <c r="W36" s="18"/>
      <c r="X36" s="18"/>
      <c r="Y36" s="18"/>
    </row>
    <row r="37" spans="1:25" ht="24" customHeight="1" x14ac:dyDescent="0.3">
      <c r="A37" s="287"/>
      <c r="B37" s="24" t="s">
        <v>142</v>
      </c>
      <c r="C37" s="32"/>
      <c r="D37" s="32"/>
      <c r="E37" s="54"/>
      <c r="F37" s="22"/>
      <c r="G37" s="25"/>
      <c r="H37" s="43"/>
      <c r="I37" s="50"/>
      <c r="J37" s="10"/>
      <c r="K37" s="50"/>
      <c r="L37" s="7"/>
      <c r="M37" s="50"/>
      <c r="N37" s="7"/>
      <c r="O37" s="50"/>
      <c r="P37" s="7"/>
      <c r="Q37" s="50"/>
      <c r="R37" s="7"/>
      <c r="S37" s="50"/>
      <c r="U37" s="18"/>
      <c r="V37" s="18"/>
      <c r="W37" s="18"/>
      <c r="X37" s="18"/>
      <c r="Y37" s="18"/>
    </row>
    <row r="38" spans="1:25" ht="24" customHeight="1" x14ac:dyDescent="0.3">
      <c r="A38" s="287"/>
      <c r="B38" s="24" t="s">
        <v>144</v>
      </c>
      <c r="C38" s="32"/>
      <c r="D38" s="32"/>
      <c r="E38" s="101"/>
      <c r="F38" s="22"/>
      <c r="G38" s="25"/>
      <c r="H38" s="43"/>
      <c r="I38" s="50"/>
      <c r="J38" s="10"/>
      <c r="K38" s="50"/>
      <c r="L38" s="7"/>
      <c r="M38" s="50"/>
      <c r="N38" s="7"/>
      <c r="O38" s="50"/>
      <c r="P38" s="7"/>
      <c r="Q38" s="50"/>
      <c r="R38" s="7"/>
      <c r="S38" s="50"/>
      <c r="U38" s="18"/>
      <c r="V38" s="18"/>
      <c r="W38" s="18"/>
      <c r="X38" s="18"/>
      <c r="Y38" s="18"/>
    </row>
    <row r="39" spans="1:25" ht="24" customHeight="1" x14ac:dyDescent="0.3">
      <c r="A39" s="287"/>
      <c r="B39" s="24" t="s">
        <v>146</v>
      </c>
      <c r="C39" s="32"/>
      <c r="D39" s="32"/>
      <c r="E39" s="54"/>
      <c r="F39" s="22"/>
      <c r="G39" s="25"/>
      <c r="H39" s="43"/>
      <c r="I39" s="50"/>
      <c r="J39" s="10"/>
      <c r="K39" s="50"/>
      <c r="L39" s="7"/>
      <c r="M39" s="50"/>
      <c r="N39" s="7"/>
      <c r="O39" s="50"/>
      <c r="P39" s="7"/>
      <c r="Q39" s="50"/>
      <c r="R39" s="7"/>
      <c r="S39" s="50"/>
      <c r="U39" s="18"/>
      <c r="V39" s="18"/>
      <c r="W39" s="18"/>
      <c r="X39" s="18"/>
      <c r="Y39" s="18"/>
    </row>
    <row r="40" spans="1:25" ht="24" customHeight="1" x14ac:dyDescent="0.3">
      <c r="A40" s="287"/>
      <c r="B40" s="24" t="s">
        <v>136</v>
      </c>
      <c r="C40" s="32"/>
      <c r="D40" s="32"/>
      <c r="E40" s="54"/>
      <c r="F40" s="22"/>
      <c r="G40" s="25"/>
      <c r="H40" s="43"/>
      <c r="I40" s="50"/>
      <c r="J40" s="10"/>
      <c r="K40" s="50"/>
      <c r="L40" s="7"/>
      <c r="M40" s="50"/>
      <c r="N40" s="7"/>
      <c r="O40" s="50"/>
      <c r="P40" s="7"/>
      <c r="Q40" s="50"/>
      <c r="R40" s="7"/>
      <c r="S40" s="50"/>
      <c r="U40" s="18"/>
      <c r="V40" s="18"/>
      <c r="W40" s="18"/>
      <c r="X40" s="18"/>
      <c r="Y40" s="18"/>
    </row>
    <row r="41" spans="1:25" ht="24" customHeight="1" x14ac:dyDescent="0.3">
      <c r="A41" s="287"/>
      <c r="B41" s="24" t="s">
        <v>139</v>
      </c>
      <c r="C41" s="32"/>
      <c r="D41" s="32"/>
      <c r="E41" s="54"/>
      <c r="F41" s="22"/>
      <c r="G41" s="25"/>
      <c r="H41" s="10"/>
      <c r="I41" s="50"/>
      <c r="J41" s="10"/>
      <c r="K41" s="50"/>
      <c r="L41" s="7"/>
      <c r="M41" s="50"/>
      <c r="N41" s="7"/>
      <c r="O41" s="50"/>
      <c r="P41" s="7"/>
      <c r="Q41" s="50"/>
      <c r="R41" s="7"/>
      <c r="S41" s="50"/>
      <c r="U41" s="18"/>
      <c r="V41" s="18"/>
      <c r="W41" s="18"/>
      <c r="X41" s="18"/>
      <c r="Y41" s="18"/>
    </row>
    <row r="42" spans="1:25" ht="24" customHeight="1" x14ac:dyDescent="0.3">
      <c r="A42" s="287"/>
      <c r="B42" s="24" t="s">
        <v>137</v>
      </c>
      <c r="C42" s="32">
        <v>3</v>
      </c>
      <c r="D42" s="32"/>
      <c r="E42" s="54">
        <v>1</v>
      </c>
      <c r="F42" s="22"/>
      <c r="G42" s="25"/>
      <c r="H42" s="7"/>
      <c r="I42" s="50"/>
      <c r="J42" s="10"/>
      <c r="K42" s="50"/>
      <c r="L42" s="7"/>
      <c r="M42" s="50"/>
      <c r="N42" s="7"/>
      <c r="O42" s="50"/>
      <c r="P42" s="7"/>
      <c r="Q42" s="50"/>
      <c r="R42" s="7"/>
      <c r="S42" s="50"/>
      <c r="U42" s="18"/>
      <c r="V42" s="18"/>
      <c r="W42" s="18"/>
      <c r="X42" s="18"/>
      <c r="Y42" s="18"/>
    </row>
    <row r="43" spans="1:25" ht="27" thickBot="1" x14ac:dyDescent="0.35">
      <c r="A43" s="288"/>
      <c r="B43" s="26"/>
      <c r="C43" s="27">
        <f>SUM(C23:C42)</f>
        <v>51</v>
      </c>
      <c r="D43" s="27">
        <f>SUM(D23:D42)</f>
        <v>0</v>
      </c>
      <c r="E43" s="27">
        <f>SUM(E23:E42)</f>
        <v>7</v>
      </c>
      <c r="F43" s="27">
        <f>SUM(F23:F42)</f>
        <v>0</v>
      </c>
      <c r="G43" s="179"/>
      <c r="H43" s="2">
        <f t="shared" ref="H43:S43" si="2">SUM(H23:H42)</f>
        <v>0</v>
      </c>
      <c r="I43" s="2">
        <f t="shared" si="2"/>
        <v>0</v>
      </c>
      <c r="J43" s="2">
        <f t="shared" si="2"/>
        <v>0</v>
      </c>
      <c r="K43" s="2">
        <f t="shared" si="2"/>
        <v>0</v>
      </c>
      <c r="L43" s="2">
        <f t="shared" si="2"/>
        <v>1</v>
      </c>
      <c r="M43" s="2">
        <f t="shared" si="2"/>
        <v>0</v>
      </c>
      <c r="N43" s="2">
        <f t="shared" si="2"/>
        <v>0</v>
      </c>
      <c r="O43" s="2">
        <f t="shared" si="2"/>
        <v>0</v>
      </c>
      <c r="P43" s="2">
        <f t="shared" si="2"/>
        <v>0</v>
      </c>
      <c r="Q43" s="2">
        <f t="shared" si="2"/>
        <v>0</v>
      </c>
      <c r="R43" s="2">
        <f t="shared" si="2"/>
        <v>0</v>
      </c>
      <c r="S43" s="2">
        <f t="shared" si="2"/>
        <v>0</v>
      </c>
    </row>
    <row r="44" spans="1:25" ht="24" customHeight="1" thickTop="1" x14ac:dyDescent="0.3">
      <c r="A44" s="252" t="s">
        <v>13</v>
      </c>
      <c r="B44" s="3" t="s">
        <v>28</v>
      </c>
      <c r="C44" s="7"/>
      <c r="D44" s="7"/>
      <c r="E44" s="50"/>
      <c r="F44" s="50"/>
      <c r="G44" s="179"/>
      <c r="H44" s="7"/>
      <c r="I44" s="50"/>
      <c r="J44" s="10"/>
      <c r="K44" s="50"/>
      <c r="L44" s="7"/>
      <c r="M44" s="50"/>
      <c r="N44" s="7"/>
      <c r="O44" s="50"/>
      <c r="P44" s="7"/>
      <c r="Q44" s="50"/>
      <c r="R44" s="7"/>
      <c r="S44" s="50"/>
    </row>
    <row r="45" spans="1:25" ht="24" customHeight="1" x14ac:dyDescent="0.3">
      <c r="A45" s="252"/>
      <c r="B45" s="3" t="s">
        <v>29</v>
      </c>
      <c r="C45" s="77"/>
      <c r="D45" s="7"/>
      <c r="E45" s="50"/>
      <c r="F45" s="50"/>
      <c r="G45" s="179"/>
      <c r="H45" s="7"/>
      <c r="I45" s="50"/>
      <c r="J45" s="10"/>
      <c r="K45" s="50"/>
      <c r="L45" s="7"/>
      <c r="M45" s="50"/>
      <c r="N45" s="7"/>
      <c r="O45" s="50"/>
      <c r="P45" s="7"/>
      <c r="Q45" s="50"/>
      <c r="R45" s="7"/>
      <c r="S45" s="50"/>
    </row>
    <row r="46" spans="1:25" ht="24" customHeight="1" x14ac:dyDescent="0.3">
      <c r="A46" s="252"/>
      <c r="B46" s="3" t="s">
        <v>125</v>
      </c>
      <c r="C46" s="7"/>
      <c r="D46" s="7"/>
      <c r="E46" s="50"/>
      <c r="F46" s="50"/>
      <c r="G46" s="179"/>
      <c r="H46" s="7"/>
      <c r="I46" s="50"/>
      <c r="J46" s="10"/>
      <c r="K46" s="50"/>
      <c r="L46" s="7">
        <v>1</v>
      </c>
      <c r="M46" s="50"/>
      <c r="N46" s="7">
        <v>1</v>
      </c>
      <c r="O46" s="50"/>
      <c r="P46" s="7"/>
      <c r="Q46" s="50"/>
      <c r="R46" s="7"/>
      <c r="S46" s="50"/>
    </row>
    <row r="47" spans="1:25" ht="24" customHeight="1" x14ac:dyDescent="0.3">
      <c r="A47" s="252"/>
      <c r="B47" s="3" t="s">
        <v>121</v>
      </c>
      <c r="C47" s="7"/>
      <c r="D47" s="7"/>
      <c r="E47" s="50"/>
      <c r="F47" s="50"/>
      <c r="G47" s="179"/>
      <c r="H47" s="7"/>
      <c r="I47" s="50"/>
      <c r="J47" s="10">
        <v>1</v>
      </c>
      <c r="K47" s="50">
        <v>1</v>
      </c>
      <c r="L47" s="7"/>
      <c r="M47" s="50"/>
      <c r="N47" s="7"/>
      <c r="O47" s="50"/>
      <c r="P47" s="7"/>
      <c r="Q47" s="50"/>
      <c r="R47" s="7"/>
      <c r="S47" s="50"/>
    </row>
    <row r="48" spans="1:25" ht="24" customHeight="1" x14ac:dyDescent="0.3">
      <c r="A48" s="252"/>
      <c r="B48" s="3" t="s">
        <v>122</v>
      </c>
      <c r="C48" s="7"/>
      <c r="D48" s="7"/>
      <c r="E48" s="50"/>
      <c r="F48" s="50"/>
      <c r="G48" s="179"/>
      <c r="H48" s="7"/>
      <c r="I48" s="50"/>
      <c r="J48" s="10"/>
      <c r="K48" s="50"/>
      <c r="L48" s="7"/>
      <c r="M48" s="50"/>
      <c r="N48" s="7"/>
      <c r="O48" s="50"/>
      <c r="P48" s="7"/>
      <c r="Q48" s="50"/>
      <c r="R48" s="7"/>
      <c r="S48" s="50"/>
    </row>
    <row r="49" spans="1:37" ht="24" customHeight="1" x14ac:dyDescent="0.3">
      <c r="A49" s="252"/>
      <c r="B49" s="3" t="s">
        <v>123</v>
      </c>
      <c r="C49" s="7"/>
      <c r="D49" s="7"/>
      <c r="E49" s="50"/>
      <c r="F49" s="50"/>
      <c r="G49" s="179"/>
      <c r="H49" s="7"/>
      <c r="I49" s="50"/>
      <c r="J49" s="10"/>
      <c r="K49" s="50"/>
      <c r="L49" s="7"/>
      <c r="M49" s="50"/>
      <c r="N49" s="7"/>
      <c r="O49" s="50"/>
      <c r="P49" s="7"/>
      <c r="Q49" s="50"/>
      <c r="R49" s="7"/>
      <c r="S49" s="50"/>
    </row>
    <row r="50" spans="1:37" ht="24" customHeight="1" x14ac:dyDescent="0.3">
      <c r="A50" s="252"/>
      <c r="B50" s="100" t="s">
        <v>126</v>
      </c>
      <c r="C50" s="7"/>
      <c r="D50" s="7"/>
      <c r="E50" s="50"/>
      <c r="F50" s="50"/>
      <c r="G50" s="179"/>
      <c r="H50" s="7"/>
      <c r="I50" s="50"/>
      <c r="J50" s="10"/>
      <c r="K50" s="50"/>
      <c r="L50" s="7"/>
      <c r="M50" s="50"/>
      <c r="N50" s="7"/>
      <c r="O50" s="50"/>
      <c r="P50" s="7"/>
      <c r="Q50" s="50"/>
      <c r="R50" s="7"/>
      <c r="S50" s="50"/>
    </row>
    <row r="51" spans="1:37" ht="24" customHeight="1" x14ac:dyDescent="0.3">
      <c r="A51" s="252"/>
      <c r="B51" s="100" t="s">
        <v>124</v>
      </c>
      <c r="C51" s="7"/>
      <c r="D51" s="7"/>
      <c r="E51" s="50"/>
      <c r="F51" s="50"/>
      <c r="G51" s="179"/>
      <c r="H51" s="7"/>
      <c r="I51" s="50"/>
      <c r="J51" s="10"/>
      <c r="K51" s="50"/>
      <c r="L51" s="7"/>
      <c r="M51" s="50"/>
      <c r="N51" s="7"/>
      <c r="O51" s="50"/>
      <c r="P51" s="7"/>
      <c r="Q51" s="50"/>
      <c r="R51" s="7"/>
      <c r="S51" s="50"/>
    </row>
    <row r="52" spans="1:37" ht="26.25" x14ac:dyDescent="0.3">
      <c r="A52" s="279"/>
      <c r="B52" s="122"/>
      <c r="C52" s="123">
        <f>SUM(C44:C51)</f>
        <v>0</v>
      </c>
      <c r="D52" s="123">
        <f>SUM(D44:D51)</f>
        <v>0</v>
      </c>
      <c r="E52" s="123">
        <f>SUM(E44:E51)</f>
        <v>0</v>
      </c>
      <c r="F52" s="123">
        <f>SUM(F44:F51)</f>
        <v>0</v>
      </c>
      <c r="G52" s="179"/>
      <c r="H52" s="2">
        <f t="shared" ref="H52:S52" si="3">SUM(H44:H51)</f>
        <v>0</v>
      </c>
      <c r="I52" s="123">
        <f t="shared" si="3"/>
        <v>0</v>
      </c>
      <c r="J52" s="123">
        <f t="shared" si="3"/>
        <v>1</v>
      </c>
      <c r="K52" s="123">
        <f t="shared" si="3"/>
        <v>1</v>
      </c>
      <c r="L52" s="123">
        <f t="shared" si="3"/>
        <v>1</v>
      </c>
      <c r="M52" s="123">
        <f t="shared" si="3"/>
        <v>0</v>
      </c>
      <c r="N52" s="123">
        <f t="shared" si="3"/>
        <v>1</v>
      </c>
      <c r="O52" s="123">
        <f t="shared" si="3"/>
        <v>0</v>
      </c>
      <c r="P52" s="123">
        <f t="shared" si="3"/>
        <v>0</v>
      </c>
      <c r="Q52" s="123">
        <f t="shared" si="3"/>
        <v>0</v>
      </c>
      <c r="R52" s="123">
        <f t="shared" si="3"/>
        <v>0</v>
      </c>
      <c r="S52" s="123">
        <f t="shared" si="3"/>
        <v>0</v>
      </c>
      <c r="Y52" s="254"/>
      <c r="Z52" s="254"/>
      <c r="AA52" s="254"/>
      <c r="AB52" s="254"/>
      <c r="AD52" s="234"/>
      <c r="AE52" s="234"/>
      <c r="AF52" s="234"/>
      <c r="AG52" s="234"/>
      <c r="AH52" s="234"/>
      <c r="AJ52" s="234"/>
      <c r="AK52" s="234"/>
    </row>
    <row r="53" spans="1:37" ht="24" customHeight="1" x14ac:dyDescent="0.3">
      <c r="A53" s="253" t="s">
        <v>118</v>
      </c>
      <c r="B53" s="3" t="s">
        <v>171</v>
      </c>
      <c r="C53" s="7"/>
      <c r="D53" s="7"/>
      <c r="E53" s="50"/>
      <c r="F53" s="50"/>
      <c r="G53" s="179"/>
      <c r="H53" s="7"/>
      <c r="I53" s="50"/>
      <c r="J53" s="10"/>
      <c r="K53" s="50"/>
      <c r="L53" s="7"/>
      <c r="M53" s="50"/>
      <c r="N53" s="7"/>
      <c r="O53" s="50"/>
      <c r="P53" s="7"/>
      <c r="Q53" s="50"/>
      <c r="R53" s="7">
        <v>1</v>
      </c>
      <c r="S53" s="50"/>
    </row>
    <row r="54" spans="1:37" ht="24" customHeight="1" x14ac:dyDescent="0.3">
      <c r="A54" s="253"/>
      <c r="B54" s="3" t="s">
        <v>168</v>
      </c>
      <c r="C54" s="7"/>
      <c r="D54" s="7"/>
      <c r="E54" s="50"/>
      <c r="F54" s="50"/>
      <c r="G54" s="179"/>
      <c r="H54" s="7"/>
      <c r="I54" s="50"/>
      <c r="J54" s="10"/>
      <c r="K54" s="50">
        <v>1</v>
      </c>
      <c r="L54" s="7"/>
      <c r="M54" s="50"/>
      <c r="N54" s="7"/>
      <c r="O54" s="50"/>
      <c r="P54" s="7"/>
      <c r="Q54" s="50"/>
      <c r="R54" s="7"/>
      <c r="S54" s="50"/>
    </row>
    <row r="55" spans="1:37" ht="24" customHeight="1" x14ac:dyDescent="0.3">
      <c r="A55" s="253"/>
      <c r="B55" s="3" t="s">
        <v>170</v>
      </c>
      <c r="C55" s="7"/>
      <c r="D55" s="7"/>
      <c r="E55" s="50"/>
      <c r="F55" s="50"/>
      <c r="G55" s="179"/>
      <c r="H55" s="7"/>
      <c r="I55" s="50"/>
      <c r="J55" s="10"/>
      <c r="L55" s="7"/>
      <c r="M55" s="50"/>
      <c r="N55" s="7"/>
      <c r="O55" s="50"/>
      <c r="P55" s="7"/>
      <c r="Q55" s="50"/>
      <c r="R55" s="7"/>
      <c r="S55" s="50"/>
    </row>
    <row r="56" spans="1:37" ht="24" customHeight="1" x14ac:dyDescent="0.3">
      <c r="A56" s="253"/>
      <c r="B56" s="100" t="s">
        <v>166</v>
      </c>
      <c r="C56" s="7"/>
      <c r="D56" s="7"/>
      <c r="E56" s="50"/>
      <c r="F56" s="50"/>
      <c r="G56" s="179"/>
      <c r="H56" s="7"/>
      <c r="I56" s="50"/>
      <c r="J56" s="10">
        <v>2</v>
      </c>
      <c r="K56" s="50"/>
      <c r="L56" s="7"/>
      <c r="M56" s="50">
        <v>2</v>
      </c>
      <c r="N56" s="7"/>
      <c r="O56" s="50"/>
      <c r="P56" s="7"/>
      <c r="Q56" s="50"/>
      <c r="R56" s="7">
        <v>2</v>
      </c>
      <c r="S56" s="50"/>
    </row>
    <row r="57" spans="1:37" ht="24" customHeight="1" x14ac:dyDescent="0.3">
      <c r="A57" s="253"/>
      <c r="B57" s="100" t="s">
        <v>167</v>
      </c>
      <c r="C57" s="7"/>
      <c r="D57" s="7"/>
      <c r="E57" s="50"/>
      <c r="F57" s="50"/>
      <c r="G57" s="179"/>
      <c r="H57" s="7"/>
      <c r="I57" s="50"/>
      <c r="J57" s="10"/>
      <c r="K57" s="50"/>
      <c r="L57" s="7"/>
      <c r="M57" s="50">
        <v>1</v>
      </c>
      <c r="N57" s="7"/>
      <c r="O57" s="50"/>
      <c r="P57" s="7">
        <v>1</v>
      </c>
      <c r="Q57" s="50"/>
      <c r="R57" s="7"/>
      <c r="S57" s="50"/>
    </row>
    <row r="58" spans="1:37" ht="24" customHeight="1" x14ac:dyDescent="0.3">
      <c r="A58" s="253"/>
      <c r="B58" s="100" t="s">
        <v>172</v>
      </c>
      <c r="C58" s="7"/>
      <c r="D58" s="7"/>
      <c r="E58" s="50"/>
      <c r="F58" s="50"/>
      <c r="G58" s="179"/>
      <c r="H58" s="7"/>
      <c r="I58" s="50"/>
      <c r="J58" s="10"/>
      <c r="K58" s="50">
        <v>2</v>
      </c>
      <c r="L58" s="7">
        <v>2</v>
      </c>
      <c r="M58" s="50"/>
      <c r="N58" s="7">
        <v>2</v>
      </c>
      <c r="O58" s="50"/>
      <c r="P58" s="7"/>
      <c r="Q58" s="50"/>
      <c r="R58" s="7"/>
      <c r="S58" s="50"/>
    </row>
    <row r="59" spans="1:37" ht="24" customHeight="1" x14ac:dyDescent="0.3">
      <c r="A59" s="253"/>
      <c r="B59" s="100" t="s">
        <v>165</v>
      </c>
      <c r="C59" s="7"/>
      <c r="D59" s="7"/>
      <c r="E59" s="50"/>
      <c r="F59" s="50"/>
      <c r="G59" s="179"/>
      <c r="H59" s="7"/>
      <c r="I59" s="50"/>
      <c r="J59" s="10"/>
      <c r="K59" s="50"/>
      <c r="L59" s="7"/>
      <c r="M59" s="50"/>
      <c r="N59" s="7"/>
      <c r="O59" s="50"/>
      <c r="P59" s="7"/>
      <c r="Q59" s="50"/>
      <c r="R59" s="7"/>
      <c r="S59" s="50"/>
    </row>
    <row r="60" spans="1:37" ht="24" customHeight="1" x14ac:dyDescent="0.3">
      <c r="A60" s="253"/>
      <c r="B60" s="3" t="s">
        <v>173</v>
      </c>
      <c r="C60" s="7"/>
      <c r="D60" s="7"/>
      <c r="E60" s="50"/>
      <c r="F60" s="50"/>
      <c r="G60" s="179"/>
      <c r="H60" s="7"/>
      <c r="I60" s="50"/>
      <c r="J60" s="10">
        <v>1</v>
      </c>
      <c r="K60" s="50"/>
      <c r="L60" s="7"/>
      <c r="M60" s="50"/>
      <c r="N60" s="7"/>
      <c r="O60" s="50"/>
      <c r="P60" s="7"/>
      <c r="Q60" s="50"/>
      <c r="R60" s="7"/>
      <c r="S60" s="50"/>
    </row>
    <row r="61" spans="1:37" ht="24" customHeight="1" x14ac:dyDescent="0.3">
      <c r="A61" s="253"/>
      <c r="B61" s="3" t="s">
        <v>169</v>
      </c>
      <c r="C61" s="7"/>
      <c r="D61" s="7"/>
      <c r="E61" s="50"/>
      <c r="F61" s="50"/>
      <c r="G61" s="179"/>
      <c r="H61" s="7"/>
      <c r="I61" s="50"/>
      <c r="J61" s="10"/>
      <c r="K61" s="50"/>
      <c r="L61" s="7"/>
      <c r="M61" s="50"/>
      <c r="N61" s="7"/>
      <c r="O61" s="50"/>
      <c r="P61" s="7"/>
      <c r="Q61" s="50"/>
      <c r="R61" s="7"/>
      <c r="S61" s="50"/>
    </row>
    <row r="62" spans="1:37" ht="26.25" x14ac:dyDescent="0.3">
      <c r="A62" s="253"/>
      <c r="B62" s="2"/>
      <c r="C62" s="2">
        <f>SUM(C53:C61)</f>
        <v>0</v>
      </c>
      <c r="D62" s="2">
        <f>SUM(D53:D61)</f>
        <v>0</v>
      </c>
      <c r="E62" s="2">
        <f>SUM(E53:E61)</f>
        <v>0</v>
      </c>
      <c r="F62" s="2">
        <f>SUM(F53:F61)</f>
        <v>0</v>
      </c>
      <c r="G62" s="179"/>
      <c r="H62" s="2">
        <f t="shared" ref="H62:S62" si="4">SUM(H53:H61)</f>
        <v>0</v>
      </c>
      <c r="I62" s="2">
        <f t="shared" si="4"/>
        <v>0</v>
      </c>
      <c r="J62" s="2">
        <f t="shared" si="4"/>
        <v>3</v>
      </c>
      <c r="K62" s="2">
        <f t="shared" si="4"/>
        <v>3</v>
      </c>
      <c r="L62" s="2">
        <f t="shared" si="4"/>
        <v>2</v>
      </c>
      <c r="M62" s="2">
        <f t="shared" si="4"/>
        <v>3</v>
      </c>
      <c r="N62" s="2">
        <f t="shared" si="4"/>
        <v>2</v>
      </c>
      <c r="O62" s="2">
        <f t="shared" si="4"/>
        <v>0</v>
      </c>
      <c r="P62" s="2">
        <f t="shared" si="4"/>
        <v>1</v>
      </c>
      <c r="Q62" s="2">
        <f t="shared" si="4"/>
        <v>0</v>
      </c>
      <c r="R62" s="2">
        <f t="shared" si="4"/>
        <v>3</v>
      </c>
      <c r="S62" s="2">
        <f t="shared" si="4"/>
        <v>0</v>
      </c>
      <c r="Y62" s="254"/>
      <c r="Z62" s="254"/>
      <c r="AA62" s="254"/>
      <c r="AB62" s="254"/>
      <c r="AD62" s="234"/>
      <c r="AE62" s="234"/>
      <c r="AF62" s="234"/>
      <c r="AG62" s="234"/>
      <c r="AH62" s="234"/>
      <c r="AJ62" s="234"/>
      <c r="AK62" s="234"/>
    </row>
    <row r="64" spans="1:37" ht="19.5" customHeight="1" x14ac:dyDescent="0.35">
      <c r="A64" s="235" t="s">
        <v>23</v>
      </c>
      <c r="B64" s="235"/>
      <c r="C64" s="126">
        <v>47000</v>
      </c>
      <c r="D64" s="126">
        <v>4700</v>
      </c>
      <c r="E64" s="126">
        <v>58000</v>
      </c>
      <c r="F64" s="126">
        <v>5800</v>
      </c>
      <c r="H64" s="126">
        <v>5800</v>
      </c>
      <c r="I64" s="126">
        <v>4700</v>
      </c>
      <c r="J64" s="20">
        <v>6800</v>
      </c>
      <c r="K64" s="20">
        <v>5200</v>
      </c>
      <c r="L64" s="20">
        <v>20700</v>
      </c>
      <c r="M64" s="20">
        <v>6400</v>
      </c>
      <c r="N64" s="20">
        <v>18700</v>
      </c>
      <c r="O64" s="126">
        <v>25700</v>
      </c>
      <c r="P64" s="126">
        <v>8800</v>
      </c>
      <c r="Q64" s="20">
        <v>18700</v>
      </c>
      <c r="R64" s="20">
        <v>15000</v>
      </c>
      <c r="S64" s="20">
        <v>18000</v>
      </c>
      <c r="U64" s="236">
        <f>P67*0.85</f>
        <v>4426375</v>
      </c>
      <c r="V64" s="237"/>
      <c r="W64" s="238"/>
      <c r="Y64" s="242">
        <f>P69-P67</f>
        <v>0</v>
      </c>
      <c r="Z64" s="243"/>
      <c r="AA64" s="243"/>
      <c r="AB64" s="243"/>
      <c r="AD64" s="234"/>
      <c r="AE64" s="234"/>
      <c r="AF64" s="234"/>
      <c r="AG64" s="234"/>
      <c r="AH64" s="234"/>
      <c r="AJ64" s="234"/>
      <c r="AK64" s="234"/>
    </row>
    <row r="65" spans="1:37" ht="19.5" customHeight="1" x14ac:dyDescent="0.35">
      <c r="A65" s="235" t="s">
        <v>24</v>
      </c>
      <c r="B65" s="235"/>
      <c r="C65" s="20">
        <f>C64*C3</f>
        <v>3995000</v>
      </c>
      <c r="D65" s="20">
        <f>D64*D3</f>
        <v>0</v>
      </c>
      <c r="E65" s="20">
        <f>E64*E3</f>
        <v>522000</v>
      </c>
      <c r="F65" s="20">
        <f>F64*F3</f>
        <v>324800</v>
      </c>
      <c r="H65" s="20">
        <f t="shared" ref="H65:S65" si="5">H64*H3</f>
        <v>17400</v>
      </c>
      <c r="I65" s="20">
        <f t="shared" si="5"/>
        <v>9400</v>
      </c>
      <c r="J65" s="20">
        <f t="shared" si="5"/>
        <v>27200</v>
      </c>
      <c r="K65" s="20">
        <f t="shared" si="5"/>
        <v>26000</v>
      </c>
      <c r="L65" s="20">
        <f t="shared" si="5"/>
        <v>82800</v>
      </c>
      <c r="M65" s="20">
        <f t="shared" si="5"/>
        <v>25600</v>
      </c>
      <c r="N65" s="20">
        <f t="shared" si="5"/>
        <v>93500</v>
      </c>
      <c r="O65" s="20">
        <f t="shared" si="5"/>
        <v>0</v>
      </c>
      <c r="P65" s="20">
        <f t="shared" si="5"/>
        <v>8800</v>
      </c>
      <c r="Q65" s="20">
        <f t="shared" si="5"/>
        <v>0</v>
      </c>
      <c r="R65" s="20">
        <f t="shared" si="5"/>
        <v>75000</v>
      </c>
      <c r="S65" s="20">
        <f t="shared" si="5"/>
        <v>0</v>
      </c>
      <c r="U65" s="239"/>
      <c r="V65" s="240"/>
      <c r="W65" s="241"/>
      <c r="Y65" s="243"/>
      <c r="Z65" s="243"/>
      <c r="AA65" s="243"/>
      <c r="AB65" s="243"/>
      <c r="AD65" s="234"/>
      <c r="AE65" s="234"/>
      <c r="AF65" s="234"/>
      <c r="AG65" s="234"/>
      <c r="AH65" s="234"/>
      <c r="AJ65" s="234"/>
      <c r="AK65" s="234"/>
    </row>
    <row r="67" spans="1:37" ht="26.25" x14ac:dyDescent="0.3">
      <c r="P67" s="259">
        <f>SUM(C65:S65)</f>
        <v>5207500</v>
      </c>
      <c r="Q67" s="260"/>
      <c r="U67" s="247"/>
      <c r="V67" s="248"/>
      <c r="W67" s="248"/>
      <c r="Y67" s="249"/>
      <c r="Z67" s="250"/>
      <c r="AA67" s="250"/>
      <c r="AB67" s="251"/>
    </row>
    <row r="69" spans="1:37" ht="26.25" x14ac:dyDescent="0.3">
      <c r="C69" s="244"/>
      <c r="D69" s="245"/>
      <c r="P69" s="246">
        <v>5207500</v>
      </c>
      <c r="Q69" s="246"/>
      <c r="U69" s="247">
        <f>P69*0.85</f>
        <v>4426375</v>
      </c>
      <c r="V69" s="248"/>
      <c r="W69" s="248"/>
      <c r="Y69" s="249"/>
      <c r="Z69" s="250"/>
      <c r="AA69" s="250"/>
      <c r="AB69" s="251"/>
    </row>
    <row r="70" spans="1:37" x14ac:dyDescent="0.3">
      <c r="Q70" s="18"/>
      <c r="S70" s="18"/>
      <c r="U70" s="245"/>
      <c r="V70" s="245"/>
      <c r="W70" s="245"/>
      <c r="Y70" s="255"/>
      <c r="Z70" s="256"/>
      <c r="AA70" s="256"/>
      <c r="AB70" s="256"/>
    </row>
    <row r="71" spans="1:37" x14ac:dyDescent="0.3">
      <c r="P71" s="244"/>
      <c r="Q71" s="245"/>
      <c r="U71" s="245"/>
      <c r="V71" s="245"/>
      <c r="W71" s="245"/>
      <c r="Y71" s="245"/>
      <c r="Z71" s="245"/>
      <c r="AA71" s="245"/>
      <c r="AB71" s="245"/>
    </row>
    <row r="72" spans="1:37" x14ac:dyDescent="0.3">
      <c r="P72" s="245"/>
      <c r="Q72" s="245"/>
      <c r="U72" s="245"/>
      <c r="V72" s="245"/>
      <c r="W72" s="245"/>
      <c r="Y72" s="245"/>
      <c r="Z72" s="245"/>
      <c r="AA72" s="245"/>
      <c r="AB72" s="245"/>
    </row>
    <row r="73" spans="1:37" x14ac:dyDescent="0.3">
      <c r="P73" s="18"/>
      <c r="Q73" s="18"/>
      <c r="S73" s="18"/>
      <c r="Y73" s="245"/>
      <c r="Z73" s="245"/>
      <c r="AA73" s="245"/>
      <c r="AB73" s="245"/>
    </row>
    <row r="74" spans="1:37" x14ac:dyDescent="0.3">
      <c r="C74">
        <f>C64*0.85</f>
        <v>39950</v>
      </c>
      <c r="D74">
        <f t="shared" ref="D74:R74" si="6">D64*0.85</f>
        <v>3995</v>
      </c>
      <c r="E74">
        <f t="shared" si="6"/>
        <v>49300</v>
      </c>
      <c r="F74">
        <f t="shared" si="6"/>
        <v>4930</v>
      </c>
      <c r="H74">
        <f t="shared" si="6"/>
        <v>4930</v>
      </c>
      <c r="I74">
        <f t="shared" si="6"/>
        <v>3995</v>
      </c>
      <c r="J74">
        <f t="shared" si="6"/>
        <v>5780</v>
      </c>
      <c r="K74">
        <f t="shared" si="6"/>
        <v>4420</v>
      </c>
      <c r="L74">
        <f t="shared" si="6"/>
        <v>17595</v>
      </c>
      <c r="M74">
        <f t="shared" si="6"/>
        <v>5440</v>
      </c>
      <c r="N74">
        <f t="shared" si="6"/>
        <v>15895</v>
      </c>
      <c r="O74">
        <f t="shared" si="6"/>
        <v>21845</v>
      </c>
      <c r="P74">
        <f t="shared" si="6"/>
        <v>7480</v>
      </c>
      <c r="Q74">
        <f t="shared" si="6"/>
        <v>15895</v>
      </c>
      <c r="R74">
        <f t="shared" si="6"/>
        <v>12750</v>
      </c>
      <c r="S74">
        <f>S64*0.85</f>
        <v>15300</v>
      </c>
    </row>
    <row r="75" spans="1:37" x14ac:dyDescent="0.3">
      <c r="C75">
        <v>29500</v>
      </c>
      <c r="D75">
        <v>2950</v>
      </c>
      <c r="E75">
        <v>51000</v>
      </c>
      <c r="F75">
        <v>5100</v>
      </c>
      <c r="H75">
        <v>3600</v>
      </c>
      <c r="I75">
        <v>2950</v>
      </c>
      <c r="J75">
        <v>4000</v>
      </c>
      <c r="K75">
        <v>4200</v>
      </c>
      <c r="L75">
        <v>15000</v>
      </c>
      <c r="M75">
        <v>4500</v>
      </c>
      <c r="N75">
        <v>9500</v>
      </c>
      <c r="O75">
        <v>12000</v>
      </c>
      <c r="P75">
        <v>8000</v>
      </c>
      <c r="Q75">
        <v>12000</v>
      </c>
      <c r="R75">
        <v>8500</v>
      </c>
    </row>
    <row r="76" spans="1:37" x14ac:dyDescent="0.3">
      <c r="C76">
        <f>C74-C75</f>
        <v>10450</v>
      </c>
      <c r="D76">
        <f t="shared" ref="D76:R76" si="7">D74-D75</f>
        <v>1045</v>
      </c>
      <c r="E76">
        <f t="shared" si="7"/>
        <v>-1700</v>
      </c>
      <c r="F76">
        <f t="shared" si="7"/>
        <v>-170</v>
      </c>
      <c r="H76">
        <f t="shared" si="7"/>
        <v>1330</v>
      </c>
      <c r="I76">
        <f t="shared" si="7"/>
        <v>1045</v>
      </c>
      <c r="J76">
        <f t="shared" si="7"/>
        <v>1780</v>
      </c>
      <c r="K76">
        <f t="shared" si="7"/>
        <v>220</v>
      </c>
      <c r="L76">
        <f t="shared" si="7"/>
        <v>2595</v>
      </c>
      <c r="M76">
        <f t="shared" si="7"/>
        <v>940</v>
      </c>
      <c r="N76">
        <f t="shared" si="7"/>
        <v>6395</v>
      </c>
      <c r="O76">
        <f t="shared" si="7"/>
        <v>9845</v>
      </c>
      <c r="P76">
        <f t="shared" si="7"/>
        <v>-520</v>
      </c>
      <c r="Q76">
        <f t="shared" si="7"/>
        <v>3895</v>
      </c>
      <c r="R76">
        <f t="shared" si="7"/>
        <v>4250</v>
      </c>
    </row>
    <row r="77" spans="1:37" x14ac:dyDescent="0.3">
      <c r="C77">
        <f t="shared" ref="C77:R77" si="8">C76*C3</f>
        <v>888250</v>
      </c>
      <c r="D77">
        <f t="shared" si="8"/>
        <v>0</v>
      </c>
      <c r="E77">
        <f t="shared" si="8"/>
        <v>-15300</v>
      </c>
      <c r="F77">
        <f t="shared" si="8"/>
        <v>-9520</v>
      </c>
      <c r="G77">
        <f t="shared" si="8"/>
        <v>0</v>
      </c>
      <c r="H77">
        <f t="shared" si="8"/>
        <v>3990</v>
      </c>
      <c r="I77">
        <f t="shared" si="8"/>
        <v>2090</v>
      </c>
      <c r="J77">
        <f t="shared" si="8"/>
        <v>7120</v>
      </c>
      <c r="K77">
        <f t="shared" si="8"/>
        <v>1100</v>
      </c>
      <c r="L77">
        <f t="shared" si="8"/>
        <v>10380</v>
      </c>
      <c r="M77">
        <f t="shared" si="8"/>
        <v>3760</v>
      </c>
      <c r="N77">
        <f t="shared" si="8"/>
        <v>31975</v>
      </c>
      <c r="O77">
        <f t="shared" si="8"/>
        <v>0</v>
      </c>
      <c r="P77">
        <f t="shared" si="8"/>
        <v>-520</v>
      </c>
      <c r="Q77">
        <f t="shared" si="8"/>
        <v>0</v>
      </c>
      <c r="R77">
        <f t="shared" si="8"/>
        <v>21250</v>
      </c>
      <c r="X77" s="245"/>
      <c r="Y77" s="245"/>
      <c r="Z77" s="245"/>
      <c r="AA77" s="245"/>
      <c r="AB77" s="245"/>
    </row>
    <row r="78" spans="1:37" x14ac:dyDescent="0.3">
      <c r="X78" s="245"/>
      <c r="Y78" s="245"/>
      <c r="Z78" s="245"/>
      <c r="AA78" s="245"/>
      <c r="AB78" s="245"/>
    </row>
    <row r="79" spans="1:37" ht="26.25" x14ac:dyDescent="0.3">
      <c r="P79" s="257">
        <f>SUM(C77:R77)</f>
        <v>944575</v>
      </c>
      <c r="Q79" s="258"/>
    </row>
  </sheetData>
  <mergeCells count="31">
    <mergeCell ref="U70:W72"/>
    <mergeCell ref="Y70:AB73"/>
    <mergeCell ref="P71:Q72"/>
    <mergeCell ref="X77:AB78"/>
    <mergeCell ref="P79:Q79"/>
    <mergeCell ref="P67:Q67"/>
    <mergeCell ref="U67:W67"/>
    <mergeCell ref="Y67:AB67"/>
    <mergeCell ref="C69:D69"/>
    <mergeCell ref="P69:Q69"/>
    <mergeCell ref="U69:W69"/>
    <mergeCell ref="Y69:AB69"/>
    <mergeCell ref="A64:B64"/>
    <mergeCell ref="U64:W65"/>
    <mergeCell ref="Y64:AB65"/>
    <mergeCell ref="AD64:AH65"/>
    <mergeCell ref="AJ64:AK65"/>
    <mergeCell ref="A65:B65"/>
    <mergeCell ref="Y52:AB52"/>
    <mergeCell ref="AD52:AH52"/>
    <mergeCell ref="AJ52:AK52"/>
    <mergeCell ref="A53:A62"/>
    <mergeCell ref="Y62:AB62"/>
    <mergeCell ref="AD62:AH62"/>
    <mergeCell ref="AJ62:AK62"/>
    <mergeCell ref="A1:B2"/>
    <mergeCell ref="C1:D1"/>
    <mergeCell ref="E1:F1"/>
    <mergeCell ref="A4:A22"/>
    <mergeCell ref="A23:A43"/>
    <mergeCell ref="A44:A52"/>
  </mergeCells>
  <phoneticPr fontId="51" type="noConversion"/>
  <conditionalFormatting sqref="B7:B11">
    <cfRule type="duplicateValues" dxfId="35" priority="2"/>
  </conditionalFormatting>
  <conditionalFormatting sqref="B44:B51">
    <cfRule type="duplicateValues" dxfId="34" priority="3"/>
  </conditionalFormatting>
  <conditionalFormatting sqref="B12">
    <cfRule type="duplicateValues" dxfId="33" priority="1"/>
  </conditionalFormatting>
  <conditionalFormatting sqref="B4:B6 B13:B21">
    <cfRule type="expression" dxfId="32" priority="4" stopIfTrue="1">
      <formula>AND(COUNTIF($B$4:$B$6, B4)+COUNTIF($B$13:$B$21, B4)&gt;1,NOT(ISBLANK(B4)))</formula>
    </cfRule>
  </conditionalFormatting>
  <conditionalFormatting sqref="B53:B61">
    <cfRule type="duplicateValues" dxfId="31" priority="5"/>
  </conditionalFormatting>
  <conditionalFormatting sqref="B23:B42">
    <cfRule type="duplicateValues" dxfId="30" priority="6"/>
  </conditionalFormatting>
  <printOptions horizontalCentered="1" verticalCentered="1"/>
  <pageMargins left="0" right="0" top="7.874015748031496E-2" bottom="7.874015748031496E-2" header="0" footer="0"/>
  <pageSetup paperSize="9" scale="23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T18"/>
  <sheetViews>
    <sheetView zoomScale="70" zoomScaleNormal="70" workbookViewId="0">
      <pane ySplit="3" topLeftCell="A4" activePane="bottomLeft" state="frozen"/>
      <selection activeCell="J6" sqref="J6"/>
      <selection pane="bottomLeft" activeCell="R1" sqref="R1"/>
    </sheetView>
  </sheetViews>
  <sheetFormatPr defaultRowHeight="16.5" x14ac:dyDescent="0.3"/>
  <cols>
    <col min="1" max="1" width="32.875" customWidth="1"/>
    <col min="2" max="6" width="10" customWidth="1"/>
    <col min="7" max="7" width="5.75" customWidth="1"/>
    <col min="8" max="8" width="18.5" customWidth="1"/>
    <col min="9" max="20" width="10.875" customWidth="1"/>
  </cols>
  <sheetData>
    <row r="1" spans="1:20" ht="113.25" customHeight="1" x14ac:dyDescent="0.3">
      <c r="A1" s="222" t="s">
        <v>206</v>
      </c>
      <c r="B1" s="223"/>
      <c r="C1" s="267" t="s">
        <v>97</v>
      </c>
      <c r="D1" s="268"/>
      <c r="E1" s="228" t="s">
        <v>98</v>
      </c>
      <c r="F1" s="228"/>
      <c r="G1" s="8"/>
      <c r="H1" s="269" t="s">
        <v>18</v>
      </c>
      <c r="I1" s="72" t="s">
        <v>20</v>
      </c>
      <c r="J1" s="178" t="s">
        <v>21</v>
      </c>
      <c r="K1" s="5" t="s">
        <v>101</v>
      </c>
      <c r="L1" s="178" t="s">
        <v>100</v>
      </c>
      <c r="M1" s="5" t="s">
        <v>96</v>
      </c>
      <c r="N1" s="178" t="s">
        <v>183</v>
      </c>
      <c r="O1" s="5" t="s">
        <v>114</v>
      </c>
      <c r="P1" s="178" t="s">
        <v>115</v>
      </c>
      <c r="Q1" s="5" t="s">
        <v>190</v>
      </c>
      <c r="R1" s="178" t="s">
        <v>105</v>
      </c>
      <c r="S1" s="5" t="s">
        <v>106</v>
      </c>
      <c r="T1" s="178" t="s">
        <v>191</v>
      </c>
    </row>
    <row r="2" spans="1:20" ht="43.5" customHeight="1" x14ac:dyDescent="0.3">
      <c r="A2" s="224"/>
      <c r="B2" s="225"/>
      <c r="C2" s="73" t="s">
        <v>2</v>
      </c>
      <c r="D2" s="73" t="s">
        <v>22</v>
      </c>
      <c r="E2" s="1" t="s">
        <v>2</v>
      </c>
      <c r="F2" s="1" t="s">
        <v>1</v>
      </c>
      <c r="G2" s="9"/>
      <c r="H2" s="270"/>
      <c r="I2" s="6" t="s">
        <v>3</v>
      </c>
      <c r="J2" s="1" t="s">
        <v>1</v>
      </c>
      <c r="K2" s="6" t="s">
        <v>3</v>
      </c>
      <c r="L2" s="1" t="s">
        <v>1</v>
      </c>
      <c r="M2" s="6" t="s">
        <v>3</v>
      </c>
      <c r="N2" s="1" t="s">
        <v>1</v>
      </c>
      <c r="O2" s="6" t="s">
        <v>3</v>
      </c>
      <c r="P2" s="1" t="s">
        <v>1</v>
      </c>
      <c r="Q2" s="6" t="s">
        <v>3</v>
      </c>
      <c r="R2" s="1" t="s">
        <v>1</v>
      </c>
      <c r="S2" s="6" t="s">
        <v>3</v>
      </c>
      <c r="T2" s="1" t="s">
        <v>1</v>
      </c>
    </row>
    <row r="3" spans="1:20" ht="39" customHeight="1" thickBot="1" x14ac:dyDescent="0.35">
      <c r="A3" s="271" t="s">
        <v>10</v>
      </c>
      <c r="B3" s="272"/>
      <c r="C3" s="44">
        <f>SUM(C4:C20)</f>
        <v>85</v>
      </c>
      <c r="D3" s="44">
        <f>SUM(D4:D20)</f>
        <v>0</v>
      </c>
      <c r="E3" s="44">
        <f>SUM(E4:E20)</f>
        <v>9</v>
      </c>
      <c r="F3" s="44">
        <f>SUM(F4:F20)</f>
        <v>56</v>
      </c>
      <c r="G3" s="179"/>
      <c r="H3" s="13" t="s">
        <v>10</v>
      </c>
      <c r="I3" s="44">
        <f>SUM(I4:I15)</f>
        <v>3</v>
      </c>
      <c r="J3" s="44">
        <f t="shared" ref="J3:T3" si="0">SUM(J4:J15)</f>
        <v>2</v>
      </c>
      <c r="K3" s="44">
        <f t="shared" si="0"/>
        <v>4</v>
      </c>
      <c r="L3" s="44">
        <f t="shared" si="0"/>
        <v>5</v>
      </c>
      <c r="M3" s="44">
        <f t="shared" si="0"/>
        <v>4</v>
      </c>
      <c r="N3" s="44">
        <f t="shared" si="0"/>
        <v>4</v>
      </c>
      <c r="O3" s="44">
        <f t="shared" si="0"/>
        <v>5</v>
      </c>
      <c r="P3" s="44">
        <f t="shared" si="0"/>
        <v>0</v>
      </c>
      <c r="Q3" s="44">
        <f t="shared" si="0"/>
        <v>1</v>
      </c>
      <c r="R3" s="44">
        <f t="shared" si="0"/>
        <v>0</v>
      </c>
      <c r="S3" s="44">
        <f t="shared" si="0"/>
        <v>5</v>
      </c>
      <c r="T3" s="44">
        <f t="shared" si="0"/>
        <v>0</v>
      </c>
    </row>
    <row r="4" spans="1:20" ht="82.7" customHeight="1" thickTop="1" x14ac:dyDescent="0.3">
      <c r="A4" s="273" t="s">
        <v>15</v>
      </c>
      <c r="B4" s="274"/>
      <c r="C4" s="57">
        <f>'학교별05.29'!C22</f>
        <v>34</v>
      </c>
      <c r="D4" s="57">
        <f>'학교별05.29'!D22</f>
        <v>0</v>
      </c>
      <c r="E4" s="58">
        <f>'학교별05.29'!E22</f>
        <v>2</v>
      </c>
      <c r="F4" s="59">
        <f>'학교별05.29'!F22</f>
        <v>56</v>
      </c>
      <c r="G4" s="179"/>
      <c r="H4" s="49" t="s">
        <v>15</v>
      </c>
      <c r="I4" s="47">
        <f>'학교별05.29'!H22</f>
        <v>3</v>
      </c>
      <c r="J4" s="45">
        <f>'학교별05.29'!I22</f>
        <v>2</v>
      </c>
      <c r="K4" s="47">
        <f>'학교별05.29'!J22</f>
        <v>0</v>
      </c>
      <c r="L4" s="45">
        <f>'학교별05.29'!K22</f>
        <v>1</v>
      </c>
      <c r="M4" s="47">
        <f>'학교별05.29'!L22</f>
        <v>0</v>
      </c>
      <c r="N4" s="45">
        <f>'학교별05.29'!M22</f>
        <v>1</v>
      </c>
      <c r="O4" s="47">
        <f>'학교별05.29'!N22</f>
        <v>2</v>
      </c>
      <c r="P4" s="45">
        <f>'학교별05.29'!O22</f>
        <v>0</v>
      </c>
      <c r="Q4" s="47">
        <f>'학교별05.29'!P22</f>
        <v>0</v>
      </c>
      <c r="R4" s="45">
        <f>'학교별05.29'!Q22</f>
        <v>0</v>
      </c>
      <c r="S4" s="47">
        <f>'학교별05.29'!R22</f>
        <v>2</v>
      </c>
      <c r="T4" s="87">
        <f>'학교별05.29'!S22</f>
        <v>0</v>
      </c>
    </row>
    <row r="5" spans="1:20" ht="82.7" customHeight="1" x14ac:dyDescent="0.3">
      <c r="A5" s="289"/>
      <c r="B5" s="290"/>
      <c r="C5" s="172"/>
      <c r="D5" s="165"/>
      <c r="E5" s="166"/>
      <c r="F5" s="173"/>
      <c r="G5" s="179"/>
      <c r="H5" s="40"/>
      <c r="I5" s="41"/>
      <c r="J5" s="42"/>
      <c r="K5" s="41"/>
      <c r="L5" s="42"/>
      <c r="M5" s="41"/>
      <c r="N5" s="42"/>
      <c r="O5" s="41"/>
      <c r="P5" s="42"/>
      <c r="Q5" s="41"/>
      <c r="R5" s="42"/>
      <c r="S5" s="41"/>
      <c r="T5" s="88"/>
    </row>
    <row r="6" spans="1:20" ht="82.7" customHeight="1" thickBot="1" x14ac:dyDescent="0.35">
      <c r="A6" s="275"/>
      <c r="B6" s="276"/>
      <c r="C6" s="79"/>
      <c r="D6" s="60"/>
      <c r="E6" s="62"/>
      <c r="F6" s="61"/>
      <c r="G6" s="179"/>
      <c r="H6" s="40"/>
      <c r="I6" s="83"/>
      <c r="J6" s="81"/>
      <c r="K6" s="95"/>
      <c r="L6" s="81"/>
      <c r="M6" s="84"/>
      <c r="N6" s="81"/>
      <c r="O6" s="83"/>
      <c r="P6" s="42"/>
      <c r="Q6" s="41"/>
      <c r="R6" s="42"/>
      <c r="S6" s="83"/>
      <c r="T6" s="88"/>
    </row>
    <row r="7" spans="1:20" ht="18" thickTop="1" thickBot="1" x14ac:dyDescent="0.35">
      <c r="H7" s="33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138"/>
    </row>
    <row r="8" spans="1:20" ht="82.7" customHeight="1" thickTop="1" x14ac:dyDescent="0.3">
      <c r="A8" s="277" t="s">
        <v>26</v>
      </c>
      <c r="B8" s="278"/>
      <c r="C8" s="47">
        <f>'학교별05.29'!C43</f>
        <v>51</v>
      </c>
      <c r="D8" s="47">
        <f>'학교별05.29'!D43</f>
        <v>0</v>
      </c>
      <c r="E8" s="45">
        <f>'학교별05.29'!E43</f>
        <v>7</v>
      </c>
      <c r="F8" s="45">
        <f>'학교별05.29'!F43</f>
        <v>0</v>
      </c>
      <c r="G8" s="37"/>
      <c r="H8" s="55" t="s">
        <v>17</v>
      </c>
      <c r="I8" s="48">
        <f>'학교별05.29'!H43</f>
        <v>0</v>
      </c>
      <c r="J8" s="46">
        <f>'학교별05.29'!I43</f>
        <v>0</v>
      </c>
      <c r="K8" s="48">
        <f>'학교별05.29'!J43</f>
        <v>0</v>
      </c>
      <c r="L8" s="46">
        <f>'학교별05.29'!K43</f>
        <v>0</v>
      </c>
      <c r="M8" s="48">
        <f>'학교별05.29'!L43</f>
        <v>1</v>
      </c>
      <c r="N8" s="46">
        <f>'학교별05.29'!M43</f>
        <v>0</v>
      </c>
      <c r="O8" s="48">
        <f>'학교별05.29'!N43</f>
        <v>0</v>
      </c>
      <c r="P8" s="46">
        <f>'학교별05.29'!O43</f>
        <v>0</v>
      </c>
      <c r="Q8" s="48">
        <f>'학교별05.29'!P43</f>
        <v>0</v>
      </c>
      <c r="R8" s="46">
        <f>'학교별05.29'!Q43</f>
        <v>0</v>
      </c>
      <c r="S8" s="48">
        <f>'학교별05.29'!R43</f>
        <v>0</v>
      </c>
      <c r="T8" s="90">
        <f>'학교별05.29'!S43</f>
        <v>0</v>
      </c>
    </row>
    <row r="9" spans="1:20" ht="82.7" customHeight="1" thickBot="1" x14ac:dyDescent="0.35">
      <c r="A9" s="261"/>
      <c r="B9" s="262"/>
      <c r="C9" s="75"/>
      <c r="D9" s="96"/>
      <c r="E9" s="78"/>
      <c r="F9" s="38"/>
      <c r="G9" s="39"/>
      <c r="H9" s="179"/>
      <c r="I9" s="41"/>
      <c r="J9" s="42"/>
      <c r="K9" s="41"/>
      <c r="L9" s="42"/>
      <c r="M9" s="41"/>
      <c r="N9" s="42"/>
      <c r="O9" s="41"/>
      <c r="P9" s="42"/>
      <c r="Q9" s="41"/>
      <c r="R9" s="98"/>
      <c r="S9" s="41"/>
      <c r="T9" s="88"/>
    </row>
    <row r="10" spans="1:20" ht="18" thickTop="1" thickBot="1" x14ac:dyDescent="0.35">
      <c r="H10" s="33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138"/>
    </row>
    <row r="11" spans="1:20" ht="82.7" customHeight="1" thickTop="1" x14ac:dyDescent="0.3">
      <c r="A11" s="263" t="s">
        <v>16</v>
      </c>
      <c r="B11" s="264"/>
      <c r="C11" s="65">
        <f>'학교별05.29'!C52</f>
        <v>0</v>
      </c>
      <c r="D11" s="65">
        <f>'학교별05.29'!D52</f>
        <v>0</v>
      </c>
      <c r="E11" s="66">
        <f>'학교별05.29'!E52</f>
        <v>0</v>
      </c>
      <c r="F11" s="67">
        <f>'학교별05.29'!F52</f>
        <v>0</v>
      </c>
      <c r="G11" s="179"/>
      <c r="H11" s="136" t="s">
        <v>25</v>
      </c>
      <c r="I11" s="127">
        <f>'학교별05.29'!H52</f>
        <v>0</v>
      </c>
      <c r="J11" s="128">
        <f>'학교별05.29'!I52</f>
        <v>0</v>
      </c>
      <c r="K11" s="127">
        <f>'학교별05.29'!J52</f>
        <v>1</v>
      </c>
      <c r="L11" s="128">
        <f>'학교별05.29'!K52</f>
        <v>1</v>
      </c>
      <c r="M11" s="127">
        <f>'학교별05.29'!L52</f>
        <v>1</v>
      </c>
      <c r="N11" s="128">
        <f>'학교별05.29'!M52</f>
        <v>0</v>
      </c>
      <c r="O11" s="127">
        <f>'학교별05.29'!N52</f>
        <v>1</v>
      </c>
      <c r="P11" s="128">
        <f>'학교별05.29'!O52</f>
        <v>0</v>
      </c>
      <c r="Q11" s="127">
        <f>'학교별05.29'!P52</f>
        <v>0</v>
      </c>
      <c r="R11" s="128">
        <f>'학교별05.29'!Q52</f>
        <v>0</v>
      </c>
      <c r="S11" s="127">
        <f>'학교별05.29'!R52</f>
        <v>0</v>
      </c>
      <c r="T11" s="137">
        <f>'학교별05.29'!S52</f>
        <v>0</v>
      </c>
    </row>
    <row r="12" spans="1:20" ht="82.7" customHeight="1" thickBot="1" x14ac:dyDescent="0.35">
      <c r="A12" s="265"/>
      <c r="B12" s="266"/>
      <c r="C12" s="68"/>
      <c r="D12" s="69"/>
      <c r="E12" s="144"/>
      <c r="F12" s="71"/>
      <c r="H12" s="33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138"/>
    </row>
    <row r="13" spans="1:20" ht="18" thickTop="1" thickBot="1" x14ac:dyDescent="0.35">
      <c r="H13" s="33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138"/>
    </row>
    <row r="14" spans="1:20" ht="82.7" customHeight="1" thickTop="1" x14ac:dyDescent="0.3">
      <c r="A14" s="282" t="s">
        <v>175</v>
      </c>
      <c r="B14" s="283"/>
      <c r="C14" s="129">
        <f>'학교별05.29'!C62</f>
        <v>0</v>
      </c>
      <c r="D14" s="129">
        <f>'학교별05.29'!D62</f>
        <v>0</v>
      </c>
      <c r="E14" s="130">
        <f>'학교별05.29'!E62</f>
        <v>0</v>
      </c>
      <c r="F14" s="131">
        <f>'학교별05.29'!F62</f>
        <v>0</v>
      </c>
      <c r="G14" s="179"/>
      <c r="H14" s="136" t="s">
        <v>174</v>
      </c>
      <c r="I14" s="127">
        <f>'학교별05.29'!H62</f>
        <v>0</v>
      </c>
      <c r="J14" s="128">
        <f>'학교별05.29'!I62</f>
        <v>0</v>
      </c>
      <c r="K14" s="127">
        <f>'학교별05.29'!J62</f>
        <v>3</v>
      </c>
      <c r="L14" s="128">
        <f>'학교별05.29'!K62</f>
        <v>3</v>
      </c>
      <c r="M14" s="127">
        <f>'학교별05.29'!L62</f>
        <v>2</v>
      </c>
      <c r="N14" s="128">
        <f>'학교별05.29'!M62</f>
        <v>3</v>
      </c>
      <c r="O14" s="127">
        <f>'학교별05.29'!N62</f>
        <v>2</v>
      </c>
      <c r="P14" s="128">
        <f>'학교별05.29'!O62</f>
        <v>0</v>
      </c>
      <c r="Q14" s="127">
        <f>'학교별05.29'!P62</f>
        <v>1</v>
      </c>
      <c r="R14" s="128">
        <f>'학교별05.29'!Q62</f>
        <v>0</v>
      </c>
      <c r="S14" s="127">
        <f>'학교별05.29'!R62</f>
        <v>3</v>
      </c>
      <c r="T14" s="137">
        <f>'학교별05.29'!S62</f>
        <v>0</v>
      </c>
    </row>
    <row r="15" spans="1:20" ht="82.7" customHeight="1" thickBot="1" x14ac:dyDescent="0.35">
      <c r="A15" s="280"/>
      <c r="B15" s="281"/>
      <c r="C15" s="132"/>
      <c r="D15" s="133"/>
      <c r="E15" s="134"/>
      <c r="F15" s="135"/>
      <c r="H15" s="64"/>
      <c r="I15" s="14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152"/>
    </row>
    <row r="16" spans="1:20" ht="17.25" thickTop="1" x14ac:dyDescent="0.3"/>
    <row r="18" spans="8:8" x14ac:dyDescent="0.3">
      <c r="H18" t="s">
        <v>83</v>
      </c>
    </row>
  </sheetData>
  <mergeCells count="14">
    <mergeCell ref="A14:B14"/>
    <mergeCell ref="A15:B15"/>
    <mergeCell ref="A5:B5"/>
    <mergeCell ref="A6:B6"/>
    <mergeCell ref="A8:B8"/>
    <mergeCell ref="A9:B9"/>
    <mergeCell ref="A11:B11"/>
    <mergeCell ref="A12:B12"/>
    <mergeCell ref="A1:B2"/>
    <mergeCell ref="C1:D1"/>
    <mergeCell ref="E1:F1"/>
    <mergeCell ref="H1:H2"/>
    <mergeCell ref="A3:B3"/>
    <mergeCell ref="A4:B4"/>
  </mergeCells>
  <phoneticPr fontId="51" type="noConversion"/>
  <conditionalFormatting sqref="A4:A6">
    <cfRule type="duplicateValues" dxfId="29" priority="2"/>
  </conditionalFormatting>
  <conditionalFormatting sqref="A8:A9">
    <cfRule type="duplicateValues" dxfId="28" priority="3"/>
  </conditionalFormatting>
  <conditionalFormatting sqref="A14">
    <cfRule type="duplicateValues" dxfId="27" priority="1"/>
  </conditionalFormatting>
  <conditionalFormatting sqref="A11">
    <cfRule type="duplicateValues" dxfId="26" priority="4"/>
  </conditionalFormatting>
  <printOptions horizontalCentered="1" verticalCentered="1"/>
  <pageMargins left="0" right="0" top="7.874015748031496E-2" bottom="7.874015748031496E-2" header="0" footer="0"/>
  <pageSetup paperSize="9" scale="55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79"/>
  <sheetViews>
    <sheetView zoomScale="70" zoomScaleNormal="70" workbookViewId="0">
      <pane ySplit="3" topLeftCell="A4" activePane="bottomLeft" state="frozen"/>
      <selection activeCell="W41" sqref="W41"/>
      <selection pane="bottomLeft" activeCell="W41" sqref="W41"/>
    </sheetView>
  </sheetViews>
  <sheetFormatPr defaultRowHeight="16.5" x14ac:dyDescent="0.3"/>
  <cols>
    <col min="1" max="1" width="9" customWidth="1"/>
    <col min="2" max="2" width="33.75" customWidth="1"/>
    <col min="3" max="3" width="10.75" customWidth="1"/>
    <col min="4" max="4" width="10" customWidth="1"/>
    <col min="5" max="5" width="10.5" customWidth="1"/>
    <col min="6" max="6" width="10" customWidth="1"/>
    <col min="7" max="7" width="4.125" customWidth="1"/>
    <col min="8" max="19" width="10.875" customWidth="1"/>
    <col min="20" max="20" width="5.5" customWidth="1"/>
    <col min="21" max="21" width="10.875" bestFit="1" customWidth="1"/>
  </cols>
  <sheetData>
    <row r="1" spans="1:23" ht="113.25" customHeight="1" x14ac:dyDescent="0.3">
      <c r="A1" s="222" t="s">
        <v>207</v>
      </c>
      <c r="B1" s="223"/>
      <c r="C1" s="226" t="s">
        <v>0</v>
      </c>
      <c r="D1" s="227"/>
      <c r="E1" s="228" t="s">
        <v>19</v>
      </c>
      <c r="F1" s="228"/>
      <c r="G1" s="8"/>
      <c r="H1" s="72" t="s">
        <v>20</v>
      </c>
      <c r="I1" s="180" t="s">
        <v>21</v>
      </c>
      <c r="J1" s="5" t="s">
        <v>7</v>
      </c>
      <c r="K1" s="180" t="s">
        <v>4</v>
      </c>
      <c r="L1" s="5" t="s">
        <v>6</v>
      </c>
      <c r="M1" s="180" t="s">
        <v>5</v>
      </c>
      <c r="N1" s="5" t="s">
        <v>9</v>
      </c>
      <c r="O1" s="180" t="s">
        <v>8</v>
      </c>
      <c r="P1" s="5" t="s">
        <v>95</v>
      </c>
      <c r="Q1" s="180" t="s">
        <v>12</v>
      </c>
      <c r="R1" s="5" t="s">
        <v>119</v>
      </c>
      <c r="S1" s="180" t="s">
        <v>11</v>
      </c>
    </row>
    <row r="2" spans="1:23" ht="43.5" customHeight="1" x14ac:dyDescent="0.3">
      <c r="A2" s="224"/>
      <c r="B2" s="225"/>
      <c r="C2" s="73" t="s">
        <v>2</v>
      </c>
      <c r="D2" s="21" t="s">
        <v>1</v>
      </c>
      <c r="E2" s="1" t="s">
        <v>2</v>
      </c>
      <c r="F2" s="1" t="s">
        <v>1</v>
      </c>
      <c r="G2" s="9"/>
      <c r="H2" s="6" t="s">
        <v>3</v>
      </c>
      <c r="I2" s="1" t="s">
        <v>1</v>
      </c>
      <c r="J2" s="6" t="s">
        <v>3</v>
      </c>
      <c r="K2" s="1" t="s">
        <v>1</v>
      </c>
      <c r="L2" s="6" t="s">
        <v>3</v>
      </c>
      <c r="M2" s="1" t="s">
        <v>1</v>
      </c>
      <c r="N2" s="6" t="s">
        <v>3</v>
      </c>
      <c r="O2" s="1" t="s">
        <v>1</v>
      </c>
      <c r="P2" s="6" t="s">
        <v>3</v>
      </c>
      <c r="Q2" s="1" t="s">
        <v>1</v>
      </c>
      <c r="R2" s="6" t="s">
        <v>3</v>
      </c>
      <c r="S2" s="1" t="s">
        <v>1</v>
      </c>
    </row>
    <row r="3" spans="1:23" ht="26.25" x14ac:dyDescent="0.3">
      <c r="A3" s="97" t="s">
        <v>14</v>
      </c>
      <c r="B3" s="12" t="s">
        <v>10</v>
      </c>
      <c r="C3" s="29">
        <f>C22+C43+C52+C62</f>
        <v>92</v>
      </c>
      <c r="D3" s="29">
        <f>D22+D43+D52+D62</f>
        <v>0</v>
      </c>
      <c r="E3" s="29">
        <f>E22+E43+E52+E62</f>
        <v>3</v>
      </c>
      <c r="F3" s="2">
        <f>F22+F43+F52+F62</f>
        <v>52</v>
      </c>
      <c r="G3" s="181"/>
      <c r="H3" s="2">
        <f t="shared" ref="H3:S3" si="0">H22+H43+H52+H62</f>
        <v>1</v>
      </c>
      <c r="I3" s="2">
        <f t="shared" si="0"/>
        <v>0</v>
      </c>
      <c r="J3" s="2">
        <f t="shared" si="0"/>
        <v>5</v>
      </c>
      <c r="K3" s="2">
        <f t="shared" si="0"/>
        <v>4</v>
      </c>
      <c r="L3" s="2">
        <f t="shared" si="0"/>
        <v>5</v>
      </c>
      <c r="M3" s="2">
        <f t="shared" si="0"/>
        <v>3</v>
      </c>
      <c r="N3" s="2">
        <f t="shared" si="0"/>
        <v>3</v>
      </c>
      <c r="O3" s="2">
        <f t="shared" si="0"/>
        <v>3</v>
      </c>
      <c r="P3" s="2">
        <f t="shared" si="0"/>
        <v>5</v>
      </c>
      <c r="Q3" s="2">
        <f t="shared" si="0"/>
        <v>0</v>
      </c>
      <c r="R3" s="2">
        <f t="shared" si="0"/>
        <v>0</v>
      </c>
      <c r="S3" s="2">
        <f t="shared" si="0"/>
        <v>0</v>
      </c>
      <c r="T3" s="4">
        <f>D3*10</f>
        <v>0</v>
      </c>
      <c r="U3">
        <f>F3*10+E3</f>
        <v>523</v>
      </c>
      <c r="V3" s="4">
        <f>SUM(H3:Q3)</f>
        <v>29</v>
      </c>
      <c r="W3" s="11">
        <f>SUM(T3:V3)</f>
        <v>552</v>
      </c>
    </row>
    <row r="4" spans="1:23" ht="24" customHeight="1" x14ac:dyDescent="0.3">
      <c r="A4" s="229" t="s">
        <v>34</v>
      </c>
      <c r="B4" s="3" t="s">
        <v>160</v>
      </c>
      <c r="C4" s="7">
        <v>3</v>
      </c>
      <c r="D4" s="7"/>
      <c r="E4" s="50"/>
      <c r="F4" s="50">
        <v>8</v>
      </c>
      <c r="G4" s="181"/>
      <c r="H4" s="7"/>
      <c r="I4" s="50"/>
      <c r="J4" s="10"/>
      <c r="K4" s="50"/>
      <c r="L4" s="7"/>
      <c r="M4" s="50"/>
      <c r="N4" s="10"/>
      <c r="O4" s="50"/>
      <c r="P4" s="7"/>
      <c r="Q4" s="50"/>
      <c r="R4" s="7"/>
      <c r="S4" s="50"/>
    </row>
    <row r="5" spans="1:23" ht="24" customHeight="1" x14ac:dyDescent="0.3">
      <c r="A5" s="230"/>
      <c r="B5" s="3" t="s">
        <v>150</v>
      </c>
      <c r="C5" s="7">
        <v>1</v>
      </c>
      <c r="D5" s="7"/>
      <c r="E5" s="50"/>
      <c r="F5" s="50">
        <v>1</v>
      </c>
      <c r="G5" s="181"/>
      <c r="H5" s="7"/>
      <c r="I5" s="50"/>
      <c r="J5" s="10"/>
      <c r="K5" s="50">
        <v>1</v>
      </c>
      <c r="L5" s="7"/>
      <c r="M5" s="50"/>
      <c r="N5" s="10">
        <v>1</v>
      </c>
      <c r="O5" s="50">
        <v>1</v>
      </c>
      <c r="P5" s="7"/>
      <c r="Q5" s="50"/>
      <c r="R5" s="7"/>
      <c r="S5" s="50"/>
    </row>
    <row r="6" spans="1:23" ht="24" customHeight="1" x14ac:dyDescent="0.3">
      <c r="A6" s="230"/>
      <c r="B6" s="3" t="s">
        <v>149</v>
      </c>
      <c r="C6" s="7"/>
      <c r="D6" s="7"/>
      <c r="E6" s="50"/>
      <c r="F6" s="50"/>
      <c r="G6" s="181"/>
      <c r="H6" s="7"/>
      <c r="I6" s="50"/>
      <c r="J6" s="10"/>
      <c r="K6" s="50"/>
      <c r="L6" s="7"/>
      <c r="M6" s="50"/>
      <c r="N6" s="10"/>
      <c r="O6" s="50"/>
      <c r="P6" s="7"/>
      <c r="Q6" s="50"/>
      <c r="R6" s="7"/>
      <c r="S6" s="50"/>
    </row>
    <row r="7" spans="1:23" ht="24" customHeight="1" x14ac:dyDescent="0.3">
      <c r="A7" s="230"/>
      <c r="B7" s="3" t="s">
        <v>156</v>
      </c>
      <c r="C7" s="7"/>
      <c r="D7" s="7"/>
      <c r="E7" s="50"/>
      <c r="F7" s="50"/>
      <c r="G7" s="181"/>
      <c r="H7" s="7"/>
      <c r="I7" s="50"/>
      <c r="J7" s="10"/>
      <c r="K7" s="50"/>
      <c r="L7" s="7"/>
      <c r="M7" s="50"/>
      <c r="N7" s="10"/>
      <c r="O7" s="50"/>
      <c r="P7" s="7"/>
      <c r="Q7" s="50"/>
      <c r="R7" s="7"/>
      <c r="S7" s="50"/>
    </row>
    <row r="8" spans="1:23" ht="24" customHeight="1" x14ac:dyDescent="0.3">
      <c r="A8" s="230"/>
      <c r="B8" s="3" t="s">
        <v>148</v>
      </c>
      <c r="C8" s="7">
        <v>1</v>
      </c>
      <c r="D8" s="7"/>
      <c r="E8" s="50"/>
      <c r="F8" s="50">
        <v>4</v>
      </c>
      <c r="G8" s="63"/>
      <c r="H8" s="7"/>
      <c r="I8" s="50"/>
      <c r="J8" s="10"/>
      <c r="K8" s="50"/>
      <c r="L8" s="7">
        <v>1</v>
      </c>
      <c r="M8" s="50"/>
      <c r="N8" s="10"/>
      <c r="O8" s="50"/>
      <c r="P8" s="7"/>
      <c r="Q8" s="50"/>
      <c r="R8" s="7"/>
      <c r="S8" s="50"/>
    </row>
    <row r="9" spans="1:23" ht="24" customHeight="1" x14ac:dyDescent="0.3">
      <c r="A9" s="230"/>
      <c r="B9" s="3" t="s">
        <v>153</v>
      </c>
      <c r="C9" s="7"/>
      <c r="D9" s="7"/>
      <c r="E9" s="50"/>
      <c r="F9" s="50"/>
      <c r="G9" s="181"/>
      <c r="H9" s="7"/>
      <c r="I9" s="50"/>
      <c r="J9" s="10">
        <v>1</v>
      </c>
      <c r="K9" s="50"/>
      <c r="L9" s="7"/>
      <c r="M9" s="50"/>
      <c r="N9" s="10"/>
      <c r="O9" s="50"/>
      <c r="P9" s="7"/>
      <c r="Q9" s="50"/>
      <c r="R9" s="7"/>
      <c r="S9" s="50"/>
    </row>
    <row r="10" spans="1:23" ht="24" customHeight="1" x14ac:dyDescent="0.3">
      <c r="A10" s="230"/>
      <c r="B10" s="3" t="s">
        <v>158</v>
      </c>
      <c r="C10" s="7">
        <v>5</v>
      </c>
      <c r="D10" s="7"/>
      <c r="E10" s="50"/>
      <c r="F10" s="76">
        <v>8</v>
      </c>
      <c r="G10" s="181"/>
      <c r="H10" s="7"/>
      <c r="I10" s="50"/>
      <c r="J10" s="10"/>
      <c r="K10" s="50"/>
      <c r="L10" s="7"/>
      <c r="M10" s="50"/>
      <c r="N10" s="10"/>
      <c r="O10" s="50"/>
      <c r="P10" s="7"/>
      <c r="Q10" s="50"/>
      <c r="R10" s="7"/>
      <c r="S10" s="50"/>
    </row>
    <row r="11" spans="1:23" ht="24" customHeight="1" x14ac:dyDescent="0.3">
      <c r="A11" s="230"/>
      <c r="B11" s="3" t="s">
        <v>152</v>
      </c>
      <c r="C11" s="7">
        <v>3</v>
      </c>
      <c r="D11" s="7"/>
      <c r="E11" s="50"/>
      <c r="F11" s="50">
        <v>5</v>
      </c>
      <c r="G11" s="181"/>
      <c r="H11" s="7"/>
      <c r="I11" s="50"/>
      <c r="J11" s="10"/>
      <c r="K11" s="50"/>
      <c r="L11" s="7"/>
      <c r="M11" s="50"/>
      <c r="N11" s="10"/>
      <c r="O11" s="50"/>
      <c r="P11" s="7"/>
      <c r="Q11" s="50"/>
      <c r="R11" s="7"/>
      <c r="S11" s="50"/>
    </row>
    <row r="12" spans="1:23" ht="24" customHeight="1" x14ac:dyDescent="0.3">
      <c r="A12" s="230"/>
      <c r="B12" s="3" t="s">
        <v>161</v>
      </c>
      <c r="C12" s="7"/>
      <c r="D12" s="77"/>
      <c r="E12" s="76"/>
      <c r="F12" s="50"/>
      <c r="G12" s="80"/>
      <c r="H12" s="7"/>
      <c r="I12" s="76"/>
      <c r="J12" s="7"/>
      <c r="K12" s="50">
        <v>1</v>
      </c>
      <c r="L12" s="7"/>
      <c r="M12" s="50">
        <v>1</v>
      </c>
      <c r="N12" s="10"/>
      <c r="O12" s="50"/>
      <c r="P12" s="7"/>
      <c r="Q12" s="76"/>
      <c r="R12" s="10"/>
      <c r="S12" s="76"/>
    </row>
    <row r="13" spans="1:23" ht="24" customHeight="1" x14ac:dyDescent="0.3">
      <c r="A13" s="230"/>
      <c r="B13" s="3" t="s">
        <v>154</v>
      </c>
      <c r="C13" s="7">
        <v>2</v>
      </c>
      <c r="D13" s="7"/>
      <c r="E13" s="50"/>
      <c r="F13" s="50">
        <v>8</v>
      </c>
      <c r="G13" s="181"/>
      <c r="H13" s="7"/>
      <c r="I13" s="50"/>
      <c r="J13" s="10"/>
      <c r="K13" s="50"/>
      <c r="L13" s="7"/>
      <c r="M13" s="50"/>
      <c r="N13" s="10"/>
      <c r="O13" s="50"/>
      <c r="P13" s="7"/>
      <c r="Q13" s="50"/>
      <c r="R13" s="7"/>
      <c r="S13" s="50"/>
    </row>
    <row r="14" spans="1:23" ht="24" customHeight="1" x14ac:dyDescent="0.3">
      <c r="A14" s="230"/>
      <c r="B14" s="100" t="s">
        <v>164</v>
      </c>
      <c r="C14" s="7">
        <v>50</v>
      </c>
      <c r="D14" s="7"/>
      <c r="E14" s="50"/>
      <c r="F14" s="50"/>
      <c r="G14" s="181"/>
      <c r="H14" s="7"/>
      <c r="I14" s="50"/>
      <c r="J14" s="10"/>
      <c r="K14" s="50"/>
      <c r="L14" s="7"/>
      <c r="M14" s="50"/>
      <c r="N14" s="10"/>
      <c r="O14" s="50"/>
      <c r="P14" s="7"/>
      <c r="Q14" s="50"/>
      <c r="R14" s="7"/>
      <c r="S14" s="50"/>
    </row>
    <row r="15" spans="1:23" ht="24" customHeight="1" x14ac:dyDescent="0.3">
      <c r="A15" s="230"/>
      <c r="B15" s="3" t="s">
        <v>159</v>
      </c>
      <c r="C15" s="7"/>
      <c r="D15" s="7"/>
      <c r="E15" s="50"/>
      <c r="F15" s="50"/>
      <c r="G15" s="181"/>
      <c r="H15" s="7"/>
      <c r="I15" s="50"/>
      <c r="J15" s="10"/>
      <c r="K15" s="50"/>
      <c r="L15" s="7"/>
      <c r="M15" s="50"/>
      <c r="N15" s="10"/>
      <c r="O15" s="50"/>
      <c r="P15" s="7"/>
      <c r="Q15" s="50"/>
      <c r="R15" s="7"/>
      <c r="S15" s="50"/>
    </row>
    <row r="16" spans="1:23" ht="24" customHeight="1" x14ac:dyDescent="0.3">
      <c r="A16" s="230"/>
      <c r="B16" s="3" t="s">
        <v>147</v>
      </c>
      <c r="C16" s="7">
        <v>8</v>
      </c>
      <c r="D16" s="7"/>
      <c r="E16" s="50"/>
      <c r="F16" s="50">
        <v>5</v>
      </c>
      <c r="G16" s="181"/>
      <c r="H16" s="7"/>
      <c r="I16" s="50"/>
      <c r="J16" s="10"/>
      <c r="K16" s="50">
        <v>1</v>
      </c>
      <c r="L16" s="7"/>
      <c r="M16" s="50"/>
      <c r="N16" s="10"/>
      <c r="O16" s="50"/>
      <c r="P16" s="7"/>
      <c r="Q16" s="50"/>
      <c r="R16" s="7"/>
      <c r="S16" s="50"/>
    </row>
    <row r="17" spans="1:25" ht="24" customHeight="1" x14ac:dyDescent="0.3">
      <c r="A17" s="230"/>
      <c r="B17" s="3" t="s">
        <v>163</v>
      </c>
      <c r="C17" s="7">
        <v>9</v>
      </c>
      <c r="D17" s="7"/>
      <c r="E17" s="50">
        <v>2</v>
      </c>
      <c r="F17" s="50"/>
      <c r="G17" s="181"/>
      <c r="H17" s="7"/>
      <c r="I17" s="50"/>
      <c r="J17" s="10"/>
      <c r="K17" s="50"/>
      <c r="L17" s="7"/>
      <c r="M17" s="50"/>
      <c r="N17" s="10"/>
      <c r="O17" s="50"/>
      <c r="P17" s="7"/>
      <c r="Q17" s="50"/>
      <c r="R17" s="7"/>
      <c r="S17" s="50"/>
    </row>
    <row r="18" spans="1:25" ht="24" customHeight="1" x14ac:dyDescent="0.3">
      <c r="A18" s="230"/>
      <c r="B18" s="3" t="s">
        <v>162</v>
      </c>
      <c r="C18" s="7"/>
      <c r="D18" s="7"/>
      <c r="E18" s="50"/>
      <c r="F18" s="50"/>
      <c r="G18" s="181"/>
      <c r="H18" s="7"/>
      <c r="I18" s="50"/>
      <c r="J18" s="10"/>
      <c r="K18" s="50"/>
      <c r="L18" s="7"/>
      <c r="M18" s="50"/>
      <c r="N18" s="10"/>
      <c r="O18" s="50"/>
      <c r="P18" s="7"/>
      <c r="Q18" s="50"/>
      <c r="R18" s="7"/>
      <c r="S18" s="50"/>
    </row>
    <row r="19" spans="1:25" ht="24" customHeight="1" x14ac:dyDescent="0.3">
      <c r="A19" s="230"/>
      <c r="B19" s="3" t="s">
        <v>155</v>
      </c>
      <c r="C19" s="7">
        <v>1</v>
      </c>
      <c r="D19" s="7"/>
      <c r="E19" s="50"/>
      <c r="F19" s="50">
        <v>8</v>
      </c>
      <c r="G19" s="181"/>
      <c r="H19" s="7"/>
      <c r="I19" s="50"/>
      <c r="J19" s="10"/>
      <c r="K19" s="50"/>
      <c r="L19" s="7"/>
      <c r="M19" s="50"/>
      <c r="N19" s="10"/>
      <c r="O19" s="50"/>
      <c r="P19" s="7"/>
      <c r="Q19" s="50"/>
      <c r="R19" s="7"/>
      <c r="S19" s="50"/>
    </row>
    <row r="20" spans="1:25" ht="24" customHeight="1" x14ac:dyDescent="0.3">
      <c r="A20" s="230"/>
      <c r="B20" s="3" t="s">
        <v>157</v>
      </c>
      <c r="C20" s="7"/>
      <c r="D20" s="7"/>
      <c r="E20" s="50"/>
      <c r="F20" s="50"/>
      <c r="G20" s="181"/>
      <c r="H20" s="7">
        <v>1</v>
      </c>
      <c r="I20" s="50"/>
      <c r="J20" s="10"/>
      <c r="K20" s="50"/>
      <c r="L20" s="7"/>
      <c r="M20" s="50"/>
      <c r="N20" s="10"/>
      <c r="O20" s="50"/>
      <c r="P20" s="7"/>
      <c r="Q20" s="50"/>
      <c r="R20" s="7"/>
      <c r="S20" s="50"/>
    </row>
    <row r="21" spans="1:25" ht="24" customHeight="1" x14ac:dyDescent="0.3">
      <c r="A21" s="230"/>
      <c r="B21" s="3" t="s">
        <v>151</v>
      </c>
      <c r="C21" s="7"/>
      <c r="D21" s="7"/>
      <c r="E21" s="50"/>
      <c r="F21" s="50">
        <v>5</v>
      </c>
      <c r="G21" s="181"/>
      <c r="H21" s="7"/>
      <c r="I21" s="50"/>
      <c r="J21" s="10"/>
      <c r="K21" s="50"/>
      <c r="L21" s="7">
        <v>1</v>
      </c>
      <c r="M21" s="50"/>
      <c r="N21" s="10"/>
      <c r="O21" s="50"/>
      <c r="P21" s="7"/>
      <c r="Q21" s="50"/>
      <c r="R21" s="7"/>
      <c r="S21" s="50"/>
    </row>
    <row r="22" spans="1:25" ht="27" thickBot="1" x14ac:dyDescent="0.35">
      <c r="A22" s="231"/>
      <c r="B22" s="31"/>
      <c r="C22" s="31">
        <f>SUM(C4:C21)</f>
        <v>83</v>
      </c>
      <c r="D22" s="31">
        <f>SUM(D4:D21)</f>
        <v>0</v>
      </c>
      <c r="E22" s="31">
        <f>SUM(E4:E21)</f>
        <v>2</v>
      </c>
      <c r="F22" s="31">
        <f>SUM(F4:F21)</f>
        <v>52</v>
      </c>
      <c r="G22" s="181"/>
      <c r="H22" s="2">
        <f t="shared" ref="H22:S22" si="1">SUM(H4:H21)</f>
        <v>1</v>
      </c>
      <c r="I22" s="2">
        <f t="shared" si="1"/>
        <v>0</v>
      </c>
      <c r="J22" s="2">
        <f t="shared" si="1"/>
        <v>1</v>
      </c>
      <c r="K22" s="2">
        <f t="shared" si="1"/>
        <v>3</v>
      </c>
      <c r="L22" s="2">
        <f t="shared" si="1"/>
        <v>2</v>
      </c>
      <c r="M22" s="2">
        <f t="shared" si="1"/>
        <v>1</v>
      </c>
      <c r="N22" s="2">
        <f t="shared" si="1"/>
        <v>1</v>
      </c>
      <c r="O22" s="2">
        <f t="shared" si="1"/>
        <v>1</v>
      </c>
      <c r="P22" s="2">
        <f t="shared" si="1"/>
        <v>0</v>
      </c>
      <c r="Q22" s="2">
        <f t="shared" si="1"/>
        <v>0</v>
      </c>
      <c r="R22" s="2">
        <f t="shared" si="1"/>
        <v>0</v>
      </c>
      <c r="S22" s="2">
        <f t="shared" si="1"/>
        <v>0</v>
      </c>
      <c r="U22" s="35"/>
      <c r="V22" s="18"/>
      <c r="W22" s="18"/>
    </row>
    <row r="23" spans="1:25" ht="24" customHeight="1" thickTop="1" x14ac:dyDescent="0.3">
      <c r="A23" s="286" t="s">
        <v>27</v>
      </c>
      <c r="B23" s="23" t="s">
        <v>187</v>
      </c>
      <c r="C23" s="28">
        <v>3</v>
      </c>
      <c r="D23" s="28"/>
      <c r="E23" s="15"/>
      <c r="F23" s="16"/>
      <c r="G23" s="25"/>
      <c r="H23" s="43"/>
      <c r="I23" s="50"/>
      <c r="J23" s="10"/>
      <c r="K23" s="50"/>
      <c r="L23" s="7"/>
      <c r="M23" s="50"/>
      <c r="N23" s="7"/>
      <c r="O23" s="50"/>
      <c r="P23" s="7"/>
      <c r="Q23" s="50"/>
      <c r="R23" s="7"/>
      <c r="S23" s="50"/>
      <c r="U23" s="18"/>
      <c r="V23" s="18"/>
      <c r="W23" s="18"/>
      <c r="X23" s="18"/>
      <c r="Y23" s="18"/>
    </row>
    <row r="24" spans="1:25" ht="24" customHeight="1" x14ac:dyDescent="0.3">
      <c r="A24" s="287"/>
      <c r="B24" s="24" t="s">
        <v>188</v>
      </c>
      <c r="C24" s="32"/>
      <c r="D24" s="32"/>
      <c r="E24" s="54"/>
      <c r="F24" s="22"/>
      <c r="G24" s="25"/>
      <c r="H24" s="7"/>
      <c r="I24" s="50"/>
      <c r="J24" s="10"/>
      <c r="K24" s="50"/>
      <c r="L24" s="7"/>
      <c r="M24" s="50"/>
      <c r="N24" s="7"/>
      <c r="O24" s="50"/>
      <c r="P24" s="7"/>
      <c r="Q24" s="50"/>
      <c r="R24" s="7"/>
      <c r="S24" s="50"/>
      <c r="U24" s="18"/>
      <c r="V24" s="18"/>
      <c r="W24" s="18"/>
      <c r="X24" s="18"/>
      <c r="Y24" s="18"/>
    </row>
    <row r="25" spans="1:25" ht="24" customHeight="1" x14ac:dyDescent="0.3">
      <c r="A25" s="287"/>
      <c r="B25" s="24" t="s">
        <v>128</v>
      </c>
      <c r="C25" s="32"/>
      <c r="D25" s="32"/>
      <c r="E25" s="54"/>
      <c r="F25" s="22"/>
      <c r="G25" s="25"/>
      <c r="H25" s="43"/>
      <c r="I25" s="50"/>
      <c r="J25" s="10"/>
      <c r="K25" s="50"/>
      <c r="L25" s="7"/>
      <c r="M25" s="50"/>
      <c r="N25" s="7"/>
      <c r="O25" s="50"/>
      <c r="P25" s="7"/>
      <c r="Q25" s="50"/>
      <c r="R25" s="7"/>
      <c r="S25" s="50"/>
      <c r="U25" s="18"/>
      <c r="V25" s="18"/>
      <c r="W25" s="18"/>
      <c r="X25" s="18"/>
      <c r="Y25" s="18"/>
    </row>
    <row r="26" spans="1:25" ht="24" customHeight="1" x14ac:dyDescent="0.3">
      <c r="A26" s="287"/>
      <c r="B26" s="24" t="s">
        <v>127</v>
      </c>
      <c r="C26" s="32">
        <v>2</v>
      </c>
      <c r="D26" s="32"/>
      <c r="E26" s="54"/>
      <c r="F26" s="22"/>
      <c r="G26" s="25"/>
      <c r="H26" s="43"/>
      <c r="I26" s="50"/>
      <c r="J26" s="10"/>
      <c r="K26" s="50"/>
      <c r="L26" s="7"/>
      <c r="M26" s="50"/>
      <c r="N26" s="7"/>
      <c r="O26" s="50"/>
      <c r="P26" s="7"/>
      <c r="Q26" s="50"/>
      <c r="R26" s="7"/>
      <c r="S26" s="50"/>
      <c r="U26" s="18"/>
      <c r="V26" s="18"/>
      <c r="W26" s="18"/>
      <c r="X26" s="18"/>
      <c r="Y26" s="18"/>
    </row>
    <row r="27" spans="1:25" ht="24" customHeight="1" x14ac:dyDescent="0.3">
      <c r="A27" s="287"/>
      <c r="B27" s="24" t="s">
        <v>189</v>
      </c>
      <c r="C27" s="32"/>
      <c r="D27" s="32"/>
      <c r="E27" s="54"/>
      <c r="F27" s="22"/>
      <c r="G27" s="25"/>
      <c r="H27" s="10"/>
      <c r="I27" s="50"/>
      <c r="J27" s="10"/>
      <c r="K27" s="50"/>
      <c r="L27" s="7"/>
      <c r="M27" s="50"/>
      <c r="N27" s="7"/>
      <c r="O27" s="50"/>
      <c r="P27" s="7"/>
      <c r="Q27" s="50"/>
      <c r="R27" s="7"/>
      <c r="S27" s="50"/>
      <c r="U27" s="18"/>
      <c r="V27" s="18"/>
      <c r="W27" s="18"/>
      <c r="X27" s="18"/>
      <c r="Y27" s="18"/>
    </row>
    <row r="28" spans="1:25" ht="24" customHeight="1" x14ac:dyDescent="0.3">
      <c r="A28" s="287"/>
      <c r="B28" s="24" t="s">
        <v>140</v>
      </c>
      <c r="C28" s="32"/>
      <c r="D28" s="32"/>
      <c r="E28" s="54"/>
      <c r="F28" s="22"/>
      <c r="G28" s="25"/>
      <c r="H28" s="10"/>
      <c r="I28" s="50"/>
      <c r="J28" s="10"/>
      <c r="K28" s="50"/>
      <c r="L28" s="7"/>
      <c r="M28" s="50"/>
      <c r="N28" s="7"/>
      <c r="O28" s="50"/>
      <c r="P28" s="7"/>
      <c r="Q28" s="76"/>
      <c r="R28" s="7"/>
      <c r="S28" s="50"/>
      <c r="U28" s="18"/>
      <c r="V28" s="18"/>
      <c r="W28" s="18"/>
      <c r="X28" s="18"/>
      <c r="Y28" s="18"/>
    </row>
    <row r="29" spans="1:25" ht="24" customHeight="1" x14ac:dyDescent="0.3">
      <c r="A29" s="287"/>
      <c r="B29" s="24" t="s">
        <v>129</v>
      </c>
      <c r="C29" s="32"/>
      <c r="D29" s="32"/>
      <c r="E29" s="54"/>
      <c r="F29" s="22"/>
      <c r="G29" s="25"/>
      <c r="H29" s="43"/>
      <c r="I29" s="50"/>
      <c r="J29" s="10"/>
      <c r="K29" s="50"/>
      <c r="L29" s="7"/>
      <c r="M29" s="50"/>
      <c r="N29" s="7"/>
      <c r="O29" s="50"/>
      <c r="P29" s="7"/>
      <c r="Q29" s="50"/>
      <c r="R29" s="7"/>
      <c r="S29" s="50"/>
      <c r="U29" s="18"/>
      <c r="V29" s="18"/>
      <c r="W29" s="18"/>
      <c r="X29" s="18"/>
      <c r="Y29" s="18"/>
    </row>
    <row r="30" spans="1:25" ht="24" customHeight="1" x14ac:dyDescent="0.3">
      <c r="A30" s="287"/>
      <c r="B30" s="24" t="s">
        <v>145</v>
      </c>
      <c r="C30" s="32"/>
      <c r="D30" s="32"/>
      <c r="E30" s="54"/>
      <c r="F30" s="22"/>
      <c r="G30" s="25"/>
      <c r="H30" s="43"/>
      <c r="I30" s="50"/>
      <c r="J30" s="10"/>
      <c r="K30" s="50"/>
      <c r="L30" s="7"/>
      <c r="M30" s="50"/>
      <c r="N30" s="7"/>
      <c r="O30" s="50"/>
      <c r="P30" s="7"/>
      <c r="Q30" s="50"/>
      <c r="R30" s="7"/>
      <c r="S30" s="50"/>
      <c r="U30" s="18"/>
      <c r="V30" s="18"/>
      <c r="W30" s="18"/>
      <c r="X30" s="18"/>
      <c r="Y30" s="18"/>
    </row>
    <row r="31" spans="1:25" ht="24" customHeight="1" x14ac:dyDescent="0.3">
      <c r="A31" s="287"/>
      <c r="B31" s="24" t="s">
        <v>130</v>
      </c>
      <c r="C31" s="32">
        <v>1</v>
      </c>
      <c r="D31" s="32"/>
      <c r="E31" s="54">
        <v>1</v>
      </c>
      <c r="F31" s="22"/>
      <c r="G31" s="25"/>
      <c r="H31" s="43"/>
      <c r="I31" s="50"/>
      <c r="J31" s="10"/>
      <c r="K31" s="50"/>
      <c r="L31" s="7">
        <v>1</v>
      </c>
      <c r="M31" s="50"/>
      <c r="N31" s="7"/>
      <c r="O31" s="50"/>
      <c r="P31" s="7"/>
      <c r="Q31" s="50"/>
      <c r="R31" s="7"/>
      <c r="S31" s="50"/>
      <c r="U31" s="18"/>
      <c r="V31" s="18"/>
      <c r="W31" s="18"/>
      <c r="X31" s="18"/>
      <c r="Y31" s="18"/>
    </row>
    <row r="32" spans="1:25" ht="24" customHeight="1" x14ac:dyDescent="0.3">
      <c r="A32" s="287"/>
      <c r="B32" s="24" t="s">
        <v>131</v>
      </c>
      <c r="C32" s="32">
        <v>1</v>
      </c>
      <c r="D32" s="32"/>
      <c r="E32" s="54"/>
      <c r="F32" s="22"/>
      <c r="G32" s="25"/>
      <c r="H32" s="43"/>
      <c r="I32" s="50"/>
      <c r="J32" s="10"/>
      <c r="K32" s="50"/>
      <c r="L32" s="7"/>
      <c r="M32" s="50"/>
      <c r="N32" s="7"/>
      <c r="O32" s="50"/>
      <c r="P32" s="7"/>
      <c r="Q32" s="50"/>
      <c r="R32" s="7"/>
      <c r="S32" s="50"/>
      <c r="U32" s="18"/>
      <c r="V32" s="18"/>
      <c r="W32" s="18"/>
      <c r="X32" s="18"/>
      <c r="Y32" s="18"/>
    </row>
    <row r="33" spans="1:25" ht="24" customHeight="1" x14ac:dyDescent="0.3">
      <c r="A33" s="287"/>
      <c r="B33" s="24" t="s">
        <v>132</v>
      </c>
      <c r="C33" s="32">
        <v>2</v>
      </c>
      <c r="D33" s="32"/>
      <c r="E33" s="54"/>
      <c r="F33" s="22"/>
      <c r="G33" s="25"/>
      <c r="H33" s="43"/>
      <c r="I33" s="50"/>
      <c r="J33" s="10"/>
      <c r="K33" s="50"/>
      <c r="L33" s="7"/>
      <c r="M33" s="50"/>
      <c r="N33" s="7"/>
      <c r="O33" s="50"/>
      <c r="P33" s="7"/>
      <c r="Q33" s="50"/>
      <c r="R33" s="7"/>
      <c r="S33" s="50"/>
      <c r="U33" s="18"/>
      <c r="V33" s="18"/>
      <c r="W33" s="18"/>
      <c r="X33" s="18"/>
      <c r="Y33" s="18"/>
    </row>
    <row r="34" spans="1:25" ht="24" customHeight="1" x14ac:dyDescent="0.3">
      <c r="A34" s="287"/>
      <c r="B34" s="24" t="s">
        <v>133</v>
      </c>
      <c r="C34" s="32"/>
      <c r="D34" s="32"/>
      <c r="E34" s="54"/>
      <c r="F34" s="22"/>
      <c r="G34" s="25"/>
      <c r="H34" s="7"/>
      <c r="I34" s="50"/>
      <c r="J34" s="10"/>
      <c r="K34" s="50"/>
      <c r="L34" s="7"/>
      <c r="M34" s="50"/>
      <c r="N34" s="7"/>
      <c r="O34" s="50"/>
      <c r="P34" s="7"/>
      <c r="Q34" s="50"/>
      <c r="R34" s="7"/>
      <c r="S34" s="50"/>
      <c r="U34" s="18"/>
      <c r="V34" s="18"/>
      <c r="W34" s="18"/>
      <c r="X34" s="18"/>
      <c r="Y34" s="18"/>
    </row>
    <row r="35" spans="1:25" ht="24" customHeight="1" x14ac:dyDescent="0.3">
      <c r="A35" s="287"/>
      <c r="B35" s="24" t="s">
        <v>135</v>
      </c>
      <c r="C35" s="32"/>
      <c r="D35" s="32"/>
      <c r="E35" s="54"/>
      <c r="F35" s="22"/>
      <c r="G35" s="25"/>
      <c r="H35" s="7"/>
      <c r="I35" s="50"/>
      <c r="J35" s="10"/>
      <c r="K35" s="50"/>
      <c r="L35" s="7"/>
      <c r="M35" s="50"/>
      <c r="N35" s="7"/>
      <c r="O35" s="50"/>
      <c r="P35" s="7"/>
      <c r="Q35" s="50"/>
      <c r="R35" s="7"/>
      <c r="S35" s="50"/>
      <c r="U35" s="18"/>
      <c r="V35" s="18"/>
      <c r="W35" s="18"/>
      <c r="X35" s="18"/>
      <c r="Y35" s="18"/>
    </row>
    <row r="36" spans="1:25" ht="24" customHeight="1" x14ac:dyDescent="0.3">
      <c r="A36" s="287"/>
      <c r="B36" s="24" t="s">
        <v>141</v>
      </c>
      <c r="C36" s="32"/>
      <c r="D36" s="56"/>
      <c r="E36" s="54"/>
      <c r="F36" s="22"/>
      <c r="G36" s="25"/>
      <c r="H36" s="43"/>
      <c r="I36" s="50"/>
      <c r="J36" s="10"/>
      <c r="K36" s="50"/>
      <c r="L36" s="7"/>
      <c r="M36" s="50"/>
      <c r="N36" s="7"/>
      <c r="O36" s="50"/>
      <c r="P36" s="7"/>
      <c r="Q36" s="76"/>
      <c r="R36" s="7"/>
      <c r="S36" s="50"/>
      <c r="U36" s="18"/>
      <c r="V36" s="18"/>
      <c r="W36" s="18"/>
      <c r="X36" s="18"/>
      <c r="Y36" s="18"/>
    </row>
    <row r="37" spans="1:25" ht="24" customHeight="1" x14ac:dyDescent="0.3">
      <c r="A37" s="287"/>
      <c r="B37" s="24" t="s">
        <v>142</v>
      </c>
      <c r="C37" s="32"/>
      <c r="D37" s="32"/>
      <c r="E37" s="54"/>
      <c r="F37" s="22"/>
      <c r="G37" s="25"/>
      <c r="H37" s="43"/>
      <c r="I37" s="50"/>
      <c r="J37" s="10"/>
      <c r="K37" s="50"/>
      <c r="L37" s="7"/>
      <c r="M37" s="50"/>
      <c r="N37" s="7"/>
      <c r="O37" s="50"/>
      <c r="P37" s="7"/>
      <c r="Q37" s="50"/>
      <c r="R37" s="7"/>
      <c r="S37" s="50"/>
      <c r="U37" s="18"/>
      <c r="V37" s="18"/>
      <c r="W37" s="18"/>
      <c r="X37" s="18"/>
      <c r="Y37" s="18"/>
    </row>
    <row r="38" spans="1:25" ht="24" customHeight="1" x14ac:dyDescent="0.3">
      <c r="A38" s="287"/>
      <c r="B38" s="24" t="s">
        <v>144</v>
      </c>
      <c r="C38" s="32"/>
      <c r="D38" s="32"/>
      <c r="E38" s="101"/>
      <c r="F38" s="22"/>
      <c r="G38" s="25"/>
      <c r="H38" s="43"/>
      <c r="I38" s="50"/>
      <c r="J38" s="10"/>
      <c r="K38" s="50"/>
      <c r="L38" s="7"/>
      <c r="M38" s="50"/>
      <c r="N38" s="7"/>
      <c r="O38" s="50"/>
      <c r="P38" s="7"/>
      <c r="Q38" s="50"/>
      <c r="R38" s="7"/>
      <c r="S38" s="50"/>
      <c r="U38" s="18"/>
      <c r="V38" s="18"/>
      <c r="W38" s="18"/>
      <c r="X38" s="18"/>
      <c r="Y38" s="18"/>
    </row>
    <row r="39" spans="1:25" ht="24" customHeight="1" x14ac:dyDescent="0.3">
      <c r="A39" s="287"/>
      <c r="B39" s="24" t="s">
        <v>146</v>
      </c>
      <c r="C39" s="32"/>
      <c r="D39" s="32"/>
      <c r="E39" s="54"/>
      <c r="F39" s="22"/>
      <c r="G39" s="25"/>
      <c r="H39" s="43"/>
      <c r="I39" s="50"/>
      <c r="J39" s="10"/>
      <c r="K39" s="50"/>
      <c r="L39" s="7"/>
      <c r="M39" s="50"/>
      <c r="N39" s="7"/>
      <c r="O39" s="50"/>
      <c r="P39" s="7"/>
      <c r="Q39" s="50"/>
      <c r="R39" s="7"/>
      <c r="S39" s="50"/>
      <c r="U39" s="18"/>
      <c r="V39" s="18"/>
      <c r="W39" s="18"/>
      <c r="X39" s="18"/>
      <c r="Y39" s="18"/>
    </row>
    <row r="40" spans="1:25" ht="24" customHeight="1" x14ac:dyDescent="0.3">
      <c r="A40" s="287"/>
      <c r="B40" s="24" t="s">
        <v>136</v>
      </c>
      <c r="C40" s="32"/>
      <c r="D40" s="32"/>
      <c r="E40" s="54"/>
      <c r="F40" s="22"/>
      <c r="G40" s="25"/>
      <c r="H40" s="43"/>
      <c r="I40" s="50"/>
      <c r="J40" s="10"/>
      <c r="K40" s="50"/>
      <c r="L40" s="7"/>
      <c r="M40" s="50"/>
      <c r="N40" s="7"/>
      <c r="O40" s="50"/>
      <c r="P40" s="7"/>
      <c r="Q40" s="50"/>
      <c r="R40" s="7"/>
      <c r="S40" s="50"/>
      <c r="U40" s="18"/>
      <c r="V40" s="18"/>
      <c r="W40" s="18"/>
      <c r="X40" s="18"/>
      <c r="Y40" s="18"/>
    </row>
    <row r="41" spans="1:25" ht="24" customHeight="1" x14ac:dyDescent="0.3">
      <c r="A41" s="287"/>
      <c r="B41" s="24" t="s">
        <v>139</v>
      </c>
      <c r="C41" s="32"/>
      <c r="D41" s="32"/>
      <c r="E41" s="54"/>
      <c r="F41" s="22"/>
      <c r="G41" s="25"/>
      <c r="H41" s="10"/>
      <c r="I41" s="50"/>
      <c r="J41" s="10"/>
      <c r="K41" s="50"/>
      <c r="L41" s="7"/>
      <c r="M41" s="50"/>
      <c r="N41" s="7"/>
      <c r="O41" s="50"/>
      <c r="P41" s="7"/>
      <c r="Q41" s="50"/>
      <c r="R41" s="7"/>
      <c r="S41" s="50"/>
      <c r="U41" s="18"/>
      <c r="V41" s="18"/>
      <c r="W41" s="18"/>
      <c r="X41" s="18"/>
      <c r="Y41" s="18"/>
    </row>
    <row r="42" spans="1:25" ht="24" customHeight="1" x14ac:dyDescent="0.3">
      <c r="A42" s="287"/>
      <c r="B42" s="24" t="s">
        <v>137</v>
      </c>
      <c r="C42" s="32"/>
      <c r="D42" s="32"/>
      <c r="E42" s="54"/>
      <c r="F42" s="22"/>
      <c r="G42" s="25"/>
      <c r="H42" s="7"/>
      <c r="I42" s="50"/>
      <c r="J42" s="10"/>
      <c r="K42" s="50"/>
      <c r="L42" s="7"/>
      <c r="M42" s="50"/>
      <c r="N42" s="7"/>
      <c r="O42" s="50"/>
      <c r="P42" s="7"/>
      <c r="Q42" s="50"/>
      <c r="R42" s="7"/>
      <c r="S42" s="50"/>
      <c r="U42" s="18"/>
      <c r="V42" s="18"/>
      <c r="W42" s="18"/>
      <c r="X42" s="18"/>
      <c r="Y42" s="18"/>
    </row>
    <row r="43" spans="1:25" ht="27" thickBot="1" x14ac:dyDescent="0.35">
      <c r="A43" s="288"/>
      <c r="B43" s="26"/>
      <c r="C43" s="27">
        <f>SUM(C23:C42)</f>
        <v>9</v>
      </c>
      <c r="D43" s="27">
        <f>SUM(D23:D42)</f>
        <v>0</v>
      </c>
      <c r="E43" s="27">
        <f>SUM(E23:E42)</f>
        <v>1</v>
      </c>
      <c r="F43" s="27">
        <f>SUM(F23:F42)</f>
        <v>0</v>
      </c>
      <c r="G43" s="181"/>
      <c r="H43" s="2">
        <f t="shared" ref="H43:S43" si="2">SUM(H23:H42)</f>
        <v>0</v>
      </c>
      <c r="I43" s="2">
        <f t="shared" si="2"/>
        <v>0</v>
      </c>
      <c r="J43" s="2">
        <f t="shared" si="2"/>
        <v>0</v>
      </c>
      <c r="K43" s="2">
        <f t="shared" si="2"/>
        <v>0</v>
      </c>
      <c r="L43" s="2">
        <f t="shared" si="2"/>
        <v>1</v>
      </c>
      <c r="M43" s="2">
        <f t="shared" si="2"/>
        <v>0</v>
      </c>
      <c r="N43" s="2">
        <f t="shared" si="2"/>
        <v>0</v>
      </c>
      <c r="O43" s="2">
        <f t="shared" si="2"/>
        <v>0</v>
      </c>
      <c r="P43" s="2">
        <f t="shared" si="2"/>
        <v>0</v>
      </c>
      <c r="Q43" s="2">
        <f t="shared" si="2"/>
        <v>0</v>
      </c>
      <c r="R43" s="2">
        <f t="shared" si="2"/>
        <v>0</v>
      </c>
      <c r="S43" s="2">
        <f t="shared" si="2"/>
        <v>0</v>
      </c>
    </row>
    <row r="44" spans="1:25" ht="24" customHeight="1" thickTop="1" x14ac:dyDescent="0.3">
      <c r="A44" s="252" t="s">
        <v>13</v>
      </c>
      <c r="B44" s="3" t="s">
        <v>28</v>
      </c>
      <c r="C44" s="7"/>
      <c r="D44" s="7"/>
      <c r="E44" s="50"/>
      <c r="F44" s="50"/>
      <c r="G44" s="181"/>
      <c r="H44" s="7"/>
      <c r="I44" s="50"/>
      <c r="J44" s="10"/>
      <c r="K44" s="50"/>
      <c r="L44" s="7"/>
      <c r="M44" s="50"/>
      <c r="N44" s="7"/>
      <c r="O44" s="50"/>
      <c r="P44" s="7"/>
      <c r="Q44" s="50"/>
      <c r="R44" s="7"/>
      <c r="S44" s="50"/>
    </row>
    <row r="45" spans="1:25" ht="24" customHeight="1" x14ac:dyDescent="0.3">
      <c r="A45" s="252"/>
      <c r="B45" s="3" t="s">
        <v>29</v>
      </c>
      <c r="C45" s="77"/>
      <c r="D45" s="7"/>
      <c r="E45" s="50"/>
      <c r="F45" s="50"/>
      <c r="G45" s="181"/>
      <c r="H45" s="7"/>
      <c r="I45" s="50"/>
      <c r="J45" s="10"/>
      <c r="K45" s="50"/>
      <c r="L45" s="7"/>
      <c r="M45" s="50"/>
      <c r="N45" s="7"/>
      <c r="O45" s="50"/>
      <c r="P45" s="7">
        <v>1</v>
      </c>
      <c r="Q45" s="50"/>
      <c r="R45" s="7"/>
      <c r="S45" s="50"/>
    </row>
    <row r="46" spans="1:25" ht="24" customHeight="1" x14ac:dyDescent="0.3">
      <c r="A46" s="252"/>
      <c r="B46" s="3" t="s">
        <v>125</v>
      </c>
      <c r="C46" s="7"/>
      <c r="D46" s="7"/>
      <c r="E46" s="50"/>
      <c r="F46" s="50"/>
      <c r="G46" s="181"/>
      <c r="H46" s="7"/>
      <c r="I46" s="50"/>
      <c r="J46" s="10"/>
      <c r="K46" s="50"/>
      <c r="L46" s="7"/>
      <c r="M46" s="50"/>
      <c r="N46" s="7"/>
      <c r="O46" s="50"/>
      <c r="P46" s="7"/>
      <c r="Q46" s="50"/>
      <c r="R46" s="7"/>
      <c r="S46" s="50"/>
    </row>
    <row r="47" spans="1:25" ht="24" customHeight="1" x14ac:dyDescent="0.3">
      <c r="A47" s="252"/>
      <c r="B47" s="3" t="s">
        <v>121</v>
      </c>
      <c r="C47" s="7"/>
      <c r="D47" s="7"/>
      <c r="E47" s="50"/>
      <c r="F47" s="50"/>
      <c r="G47" s="181"/>
      <c r="H47" s="7"/>
      <c r="I47" s="50"/>
      <c r="J47" s="10">
        <v>1</v>
      </c>
      <c r="K47" s="50"/>
      <c r="L47" s="7"/>
      <c r="M47" s="50"/>
      <c r="N47" s="7"/>
      <c r="O47" s="50"/>
      <c r="P47" s="7"/>
      <c r="Q47" s="50"/>
      <c r="R47" s="7"/>
      <c r="S47" s="50"/>
    </row>
    <row r="48" spans="1:25" ht="24" customHeight="1" x14ac:dyDescent="0.3">
      <c r="A48" s="252"/>
      <c r="B48" s="3" t="s">
        <v>122</v>
      </c>
      <c r="C48" s="7"/>
      <c r="D48" s="7"/>
      <c r="E48" s="50"/>
      <c r="F48" s="50"/>
      <c r="G48" s="181"/>
      <c r="H48" s="7"/>
      <c r="I48" s="50"/>
      <c r="J48" s="10"/>
      <c r="K48" s="50"/>
      <c r="L48" s="7"/>
      <c r="M48" s="50"/>
      <c r="N48" s="7"/>
      <c r="O48" s="50"/>
      <c r="P48" s="7"/>
      <c r="Q48" s="50"/>
      <c r="R48" s="7"/>
      <c r="S48" s="50"/>
    </row>
    <row r="49" spans="1:37" ht="24" customHeight="1" x14ac:dyDescent="0.3">
      <c r="A49" s="252"/>
      <c r="B49" s="3" t="s">
        <v>123</v>
      </c>
      <c r="C49" s="7"/>
      <c r="D49" s="7"/>
      <c r="E49" s="50"/>
      <c r="F49" s="50"/>
      <c r="G49" s="181"/>
      <c r="H49" s="7"/>
      <c r="I49" s="50"/>
      <c r="J49" s="10"/>
      <c r="K49" s="50"/>
      <c r="L49" s="7"/>
      <c r="M49" s="50"/>
      <c r="N49" s="7"/>
      <c r="O49" s="50"/>
      <c r="P49" s="7"/>
      <c r="Q49" s="50"/>
      <c r="R49" s="7"/>
      <c r="S49" s="50"/>
    </row>
    <row r="50" spans="1:37" ht="24" customHeight="1" x14ac:dyDescent="0.3">
      <c r="A50" s="252"/>
      <c r="B50" s="100" t="s">
        <v>126</v>
      </c>
      <c r="C50" s="7"/>
      <c r="D50" s="7"/>
      <c r="E50" s="50"/>
      <c r="F50" s="50"/>
      <c r="G50" s="181"/>
      <c r="H50" s="7"/>
      <c r="I50" s="50"/>
      <c r="J50" s="10"/>
      <c r="K50" s="50"/>
      <c r="L50" s="7"/>
      <c r="M50" s="50"/>
      <c r="N50" s="7"/>
      <c r="O50" s="50"/>
      <c r="P50" s="7"/>
      <c r="Q50" s="50"/>
      <c r="R50" s="7"/>
      <c r="S50" s="50"/>
    </row>
    <row r="51" spans="1:37" ht="24" customHeight="1" x14ac:dyDescent="0.3">
      <c r="A51" s="252"/>
      <c r="B51" s="100" t="s">
        <v>124</v>
      </c>
      <c r="C51" s="7"/>
      <c r="D51" s="7"/>
      <c r="E51" s="50"/>
      <c r="F51" s="50"/>
      <c r="G51" s="181"/>
      <c r="H51" s="7"/>
      <c r="I51" s="50"/>
      <c r="J51" s="10">
        <v>1</v>
      </c>
      <c r="K51" s="50"/>
      <c r="L51" s="7"/>
      <c r="M51" s="50"/>
      <c r="N51" s="7"/>
      <c r="O51" s="50"/>
      <c r="P51" s="7"/>
      <c r="Q51" s="50"/>
      <c r="R51" s="7"/>
      <c r="S51" s="50"/>
    </row>
    <row r="52" spans="1:37" ht="26.25" x14ac:dyDescent="0.3">
      <c r="A52" s="279"/>
      <c r="B52" s="122"/>
      <c r="C52" s="123">
        <f>SUM(C44:C51)</f>
        <v>0</v>
      </c>
      <c r="D52" s="123">
        <f>SUM(D44:D51)</f>
        <v>0</v>
      </c>
      <c r="E52" s="123">
        <f>SUM(E44:E51)</f>
        <v>0</v>
      </c>
      <c r="F52" s="123">
        <f>SUM(F44:F51)</f>
        <v>0</v>
      </c>
      <c r="G52" s="181"/>
      <c r="H52" s="2">
        <f t="shared" ref="H52:S52" si="3">SUM(H44:H51)</f>
        <v>0</v>
      </c>
      <c r="I52" s="123">
        <f t="shared" si="3"/>
        <v>0</v>
      </c>
      <c r="J52" s="123">
        <f t="shared" si="3"/>
        <v>2</v>
      </c>
      <c r="K52" s="123">
        <f t="shared" si="3"/>
        <v>0</v>
      </c>
      <c r="L52" s="123">
        <f t="shared" si="3"/>
        <v>0</v>
      </c>
      <c r="M52" s="123">
        <f t="shared" si="3"/>
        <v>0</v>
      </c>
      <c r="N52" s="123">
        <f t="shared" si="3"/>
        <v>0</v>
      </c>
      <c r="O52" s="123">
        <f t="shared" si="3"/>
        <v>0</v>
      </c>
      <c r="P52" s="123">
        <f t="shared" si="3"/>
        <v>1</v>
      </c>
      <c r="Q52" s="123">
        <f t="shared" si="3"/>
        <v>0</v>
      </c>
      <c r="R52" s="123">
        <f t="shared" si="3"/>
        <v>0</v>
      </c>
      <c r="S52" s="123">
        <f t="shared" si="3"/>
        <v>0</v>
      </c>
      <c r="Y52" s="254"/>
      <c r="Z52" s="254"/>
      <c r="AA52" s="254"/>
      <c r="AB52" s="254"/>
      <c r="AD52" s="234"/>
      <c r="AE52" s="234"/>
      <c r="AF52" s="234"/>
      <c r="AG52" s="234"/>
      <c r="AH52" s="234"/>
      <c r="AJ52" s="234"/>
      <c r="AK52" s="234"/>
    </row>
    <row r="53" spans="1:37" ht="24" customHeight="1" x14ac:dyDescent="0.3">
      <c r="A53" s="253" t="s">
        <v>118</v>
      </c>
      <c r="B53" s="3" t="s">
        <v>171</v>
      </c>
      <c r="C53" s="7"/>
      <c r="D53" s="7"/>
      <c r="E53" s="50"/>
      <c r="F53" s="50"/>
      <c r="G53" s="181"/>
      <c r="H53" s="7"/>
      <c r="I53" s="50"/>
      <c r="J53" s="10"/>
      <c r="K53" s="50"/>
      <c r="L53" s="7"/>
      <c r="M53" s="50"/>
      <c r="N53" s="7"/>
      <c r="O53" s="50"/>
      <c r="P53" s="7"/>
      <c r="Q53" s="50"/>
      <c r="R53" s="7"/>
      <c r="S53" s="50"/>
    </row>
    <row r="54" spans="1:37" ht="24" customHeight="1" x14ac:dyDescent="0.3">
      <c r="A54" s="253"/>
      <c r="B54" s="3" t="s">
        <v>168</v>
      </c>
      <c r="C54" s="7"/>
      <c r="D54" s="7"/>
      <c r="E54" s="50"/>
      <c r="F54" s="50"/>
      <c r="G54" s="181"/>
      <c r="H54" s="7"/>
      <c r="I54" s="50"/>
      <c r="J54" s="10"/>
      <c r="K54" s="50"/>
      <c r="L54" s="7">
        <v>1</v>
      </c>
      <c r="M54" s="50"/>
      <c r="N54" s="7"/>
      <c r="O54" s="50"/>
      <c r="P54" s="7"/>
      <c r="Q54" s="50"/>
      <c r="R54" s="7"/>
      <c r="S54" s="50"/>
    </row>
    <row r="55" spans="1:37" ht="24" customHeight="1" x14ac:dyDescent="0.3">
      <c r="A55" s="253"/>
      <c r="B55" s="3" t="s">
        <v>170</v>
      </c>
      <c r="C55" s="7"/>
      <c r="D55" s="7"/>
      <c r="E55" s="50"/>
      <c r="F55" s="50"/>
      <c r="G55" s="181"/>
      <c r="H55" s="7"/>
      <c r="I55" s="50"/>
      <c r="J55" s="10"/>
      <c r="L55" s="7"/>
      <c r="M55" s="50"/>
      <c r="N55" s="7"/>
      <c r="O55" s="50"/>
      <c r="P55" s="7"/>
      <c r="Q55" s="50"/>
      <c r="R55" s="7"/>
      <c r="S55" s="50"/>
    </row>
    <row r="56" spans="1:37" ht="24" customHeight="1" x14ac:dyDescent="0.3">
      <c r="A56" s="253"/>
      <c r="B56" s="100" t="s">
        <v>166</v>
      </c>
      <c r="C56" s="7"/>
      <c r="D56" s="7"/>
      <c r="E56" s="50"/>
      <c r="F56" s="50"/>
      <c r="G56" s="181"/>
      <c r="H56" s="7"/>
      <c r="I56" s="50"/>
      <c r="J56" s="10"/>
      <c r="K56" s="50"/>
      <c r="L56" s="7"/>
      <c r="M56" s="50"/>
      <c r="N56" s="7">
        <v>2</v>
      </c>
      <c r="O56" s="50">
        <v>2</v>
      </c>
      <c r="P56" s="7">
        <v>2</v>
      </c>
      <c r="Q56" s="50"/>
      <c r="R56" s="7"/>
      <c r="S56" s="50"/>
    </row>
    <row r="57" spans="1:37" ht="24" customHeight="1" x14ac:dyDescent="0.3">
      <c r="A57" s="253"/>
      <c r="B57" s="100" t="s">
        <v>167</v>
      </c>
      <c r="C57" s="7"/>
      <c r="D57" s="7"/>
      <c r="E57" s="50"/>
      <c r="F57" s="50"/>
      <c r="G57" s="181"/>
      <c r="H57" s="7"/>
      <c r="I57" s="50"/>
      <c r="J57" s="10"/>
      <c r="K57" s="50"/>
      <c r="L57" s="7">
        <v>1</v>
      </c>
      <c r="M57" s="50">
        <v>1</v>
      </c>
      <c r="N57" s="7"/>
      <c r="O57" s="50"/>
      <c r="P57" s="7">
        <v>1</v>
      </c>
      <c r="Q57" s="50"/>
      <c r="R57" s="7"/>
      <c r="S57" s="50"/>
    </row>
    <row r="58" spans="1:37" ht="24" customHeight="1" x14ac:dyDescent="0.3">
      <c r="A58" s="253"/>
      <c r="B58" s="100" t="s">
        <v>172</v>
      </c>
      <c r="C58" s="7"/>
      <c r="D58" s="7"/>
      <c r="E58" s="50"/>
      <c r="F58" s="50"/>
      <c r="G58" s="181"/>
      <c r="H58" s="7"/>
      <c r="I58" s="50"/>
      <c r="J58" s="10">
        <v>2</v>
      </c>
      <c r="K58" s="50"/>
      <c r="L58" s="7"/>
      <c r="M58" s="50">
        <v>1</v>
      </c>
      <c r="N58" s="7"/>
      <c r="O58" s="50"/>
      <c r="P58" s="7"/>
      <c r="Q58" s="50"/>
      <c r="R58" s="7"/>
      <c r="S58" s="50"/>
    </row>
    <row r="59" spans="1:37" ht="24" customHeight="1" x14ac:dyDescent="0.3">
      <c r="A59" s="253"/>
      <c r="B59" s="100" t="s">
        <v>165</v>
      </c>
      <c r="C59" s="7"/>
      <c r="D59" s="7"/>
      <c r="E59" s="50"/>
      <c r="F59" s="50"/>
      <c r="G59" s="181"/>
      <c r="H59" s="7"/>
      <c r="I59" s="50"/>
      <c r="J59" s="10"/>
      <c r="K59" s="50"/>
      <c r="L59" s="7"/>
      <c r="M59" s="50"/>
      <c r="N59" s="7"/>
      <c r="O59" s="50"/>
      <c r="P59" s="7"/>
      <c r="Q59" s="50"/>
      <c r="R59" s="7"/>
      <c r="S59" s="50"/>
    </row>
    <row r="60" spans="1:37" ht="24" customHeight="1" x14ac:dyDescent="0.3">
      <c r="A60" s="253"/>
      <c r="B60" s="3" t="s">
        <v>173</v>
      </c>
      <c r="C60" s="7"/>
      <c r="D60" s="7"/>
      <c r="E60" s="50"/>
      <c r="F60" s="50"/>
      <c r="G60" s="181"/>
      <c r="H60" s="7"/>
      <c r="I60" s="50"/>
      <c r="J60" s="10"/>
      <c r="K60" s="50">
        <v>1</v>
      </c>
      <c r="L60" s="7"/>
      <c r="M60" s="50"/>
      <c r="N60" s="7"/>
      <c r="O60" s="50"/>
      <c r="P60" s="7"/>
      <c r="Q60" s="50"/>
      <c r="R60" s="7"/>
      <c r="S60" s="50"/>
    </row>
    <row r="61" spans="1:37" ht="24" customHeight="1" x14ac:dyDescent="0.3">
      <c r="A61" s="253"/>
      <c r="B61" s="3" t="s">
        <v>169</v>
      </c>
      <c r="C61" s="7"/>
      <c r="D61" s="7"/>
      <c r="E61" s="50"/>
      <c r="F61" s="50"/>
      <c r="G61" s="181"/>
      <c r="H61" s="7"/>
      <c r="I61" s="50"/>
      <c r="J61" s="10"/>
      <c r="K61" s="50"/>
      <c r="L61" s="7"/>
      <c r="M61" s="50"/>
      <c r="N61" s="7"/>
      <c r="O61" s="50"/>
      <c r="P61" s="7">
        <v>1</v>
      </c>
      <c r="Q61" s="50"/>
      <c r="R61" s="7"/>
      <c r="S61" s="50"/>
    </row>
    <row r="62" spans="1:37" ht="26.25" x14ac:dyDescent="0.3">
      <c r="A62" s="253"/>
      <c r="B62" s="2"/>
      <c r="C62" s="2">
        <f>SUM(C53:C61)</f>
        <v>0</v>
      </c>
      <c r="D62" s="2">
        <f>SUM(D53:D61)</f>
        <v>0</v>
      </c>
      <c r="E62" s="2">
        <f>SUM(E53:E61)</f>
        <v>0</v>
      </c>
      <c r="F62" s="2">
        <f>SUM(F53:F61)</f>
        <v>0</v>
      </c>
      <c r="G62" s="181"/>
      <c r="H62" s="2">
        <f t="shared" ref="H62:S62" si="4">SUM(H53:H61)</f>
        <v>0</v>
      </c>
      <c r="I62" s="2">
        <f t="shared" si="4"/>
        <v>0</v>
      </c>
      <c r="J62" s="2">
        <f t="shared" si="4"/>
        <v>2</v>
      </c>
      <c r="K62" s="2">
        <f t="shared" si="4"/>
        <v>1</v>
      </c>
      <c r="L62" s="2">
        <f t="shared" si="4"/>
        <v>2</v>
      </c>
      <c r="M62" s="2">
        <f t="shared" si="4"/>
        <v>2</v>
      </c>
      <c r="N62" s="2">
        <f t="shared" si="4"/>
        <v>2</v>
      </c>
      <c r="O62" s="2">
        <f t="shared" si="4"/>
        <v>2</v>
      </c>
      <c r="P62" s="2">
        <f t="shared" si="4"/>
        <v>4</v>
      </c>
      <c r="Q62" s="2">
        <f t="shared" si="4"/>
        <v>0</v>
      </c>
      <c r="R62" s="2">
        <f t="shared" si="4"/>
        <v>0</v>
      </c>
      <c r="S62" s="2">
        <f t="shared" si="4"/>
        <v>0</v>
      </c>
      <c r="Y62" s="254"/>
      <c r="Z62" s="254"/>
      <c r="AA62" s="254"/>
      <c r="AB62" s="254"/>
      <c r="AD62" s="234"/>
      <c r="AE62" s="234"/>
      <c r="AF62" s="234"/>
      <c r="AG62" s="234"/>
      <c r="AH62" s="234"/>
      <c r="AJ62" s="234"/>
      <c r="AK62" s="234"/>
    </row>
    <row r="64" spans="1:37" ht="19.5" customHeight="1" x14ac:dyDescent="0.35">
      <c r="A64" s="235" t="s">
        <v>23</v>
      </c>
      <c r="B64" s="235"/>
      <c r="C64" s="126">
        <v>47000</v>
      </c>
      <c r="D64" s="126">
        <v>4700</v>
      </c>
      <c r="E64" s="126">
        <v>58000</v>
      </c>
      <c r="F64" s="126">
        <v>5800</v>
      </c>
      <c r="H64" s="126">
        <v>5800</v>
      </c>
      <c r="I64" s="126">
        <v>4700</v>
      </c>
      <c r="J64" s="20">
        <v>6800</v>
      </c>
      <c r="K64" s="20">
        <v>5200</v>
      </c>
      <c r="L64" s="20">
        <v>20700</v>
      </c>
      <c r="M64" s="20">
        <v>6400</v>
      </c>
      <c r="N64" s="20">
        <v>18700</v>
      </c>
      <c r="O64" s="126">
        <v>8800</v>
      </c>
      <c r="P64" s="126">
        <v>15000</v>
      </c>
      <c r="Q64" s="20">
        <v>18700</v>
      </c>
      <c r="R64" s="20">
        <v>25700</v>
      </c>
      <c r="S64" s="20">
        <v>18000</v>
      </c>
      <c r="U64" s="236">
        <f>P67*0.85</f>
        <v>4369340</v>
      </c>
      <c r="V64" s="237"/>
      <c r="W64" s="238"/>
      <c r="Y64" s="242">
        <f>P69-P67</f>
        <v>0</v>
      </c>
      <c r="Z64" s="243"/>
      <c r="AA64" s="243"/>
      <c r="AB64" s="243"/>
      <c r="AD64" s="234"/>
      <c r="AE64" s="234"/>
      <c r="AF64" s="234"/>
      <c r="AG64" s="234"/>
      <c r="AH64" s="234"/>
      <c r="AJ64" s="234"/>
      <c r="AK64" s="234"/>
    </row>
    <row r="65" spans="1:37" ht="19.5" customHeight="1" x14ac:dyDescent="0.35">
      <c r="A65" s="235" t="s">
        <v>24</v>
      </c>
      <c r="B65" s="235"/>
      <c r="C65" s="20">
        <f>C64*C3</f>
        <v>4324000</v>
      </c>
      <c r="D65" s="20">
        <f>D64*D3</f>
        <v>0</v>
      </c>
      <c r="E65" s="20">
        <f>E64*E3</f>
        <v>174000</v>
      </c>
      <c r="F65" s="20">
        <f>F64*F3</f>
        <v>301600</v>
      </c>
      <c r="H65" s="20">
        <f t="shared" ref="H65:S65" si="5">H64*H3</f>
        <v>5800</v>
      </c>
      <c r="I65" s="20">
        <f t="shared" si="5"/>
        <v>0</v>
      </c>
      <c r="J65" s="20">
        <f t="shared" si="5"/>
        <v>34000</v>
      </c>
      <c r="K65" s="20">
        <f t="shared" si="5"/>
        <v>20800</v>
      </c>
      <c r="L65" s="20">
        <f t="shared" si="5"/>
        <v>103500</v>
      </c>
      <c r="M65" s="20">
        <f t="shared" si="5"/>
        <v>19200</v>
      </c>
      <c r="N65" s="20">
        <f t="shared" si="5"/>
        <v>56100</v>
      </c>
      <c r="O65" s="20">
        <f t="shared" si="5"/>
        <v>26400</v>
      </c>
      <c r="P65" s="20">
        <f t="shared" si="5"/>
        <v>75000</v>
      </c>
      <c r="Q65" s="20">
        <f t="shared" si="5"/>
        <v>0</v>
      </c>
      <c r="R65" s="20">
        <f t="shared" si="5"/>
        <v>0</v>
      </c>
      <c r="S65" s="20">
        <f t="shared" si="5"/>
        <v>0</v>
      </c>
      <c r="U65" s="239"/>
      <c r="V65" s="240"/>
      <c r="W65" s="241"/>
      <c r="Y65" s="243"/>
      <c r="Z65" s="243"/>
      <c r="AA65" s="243"/>
      <c r="AB65" s="243"/>
      <c r="AD65" s="234"/>
      <c r="AE65" s="234"/>
      <c r="AF65" s="234"/>
      <c r="AG65" s="234"/>
      <c r="AH65" s="234"/>
      <c r="AJ65" s="234"/>
      <c r="AK65" s="234"/>
    </row>
    <row r="67" spans="1:37" ht="26.25" x14ac:dyDescent="0.3">
      <c r="P67" s="259">
        <f>SUM(C65:S65)</f>
        <v>5140400</v>
      </c>
      <c r="Q67" s="260"/>
      <c r="U67" s="247"/>
      <c r="V67" s="248"/>
      <c r="W67" s="248"/>
      <c r="Y67" s="249"/>
      <c r="Z67" s="250"/>
      <c r="AA67" s="250"/>
      <c r="AB67" s="251"/>
    </row>
    <row r="69" spans="1:37" ht="26.25" x14ac:dyDescent="0.3">
      <c r="C69" s="244"/>
      <c r="D69" s="245"/>
      <c r="P69" s="246">
        <v>5140400</v>
      </c>
      <c r="Q69" s="246"/>
      <c r="U69" s="247">
        <f>P69*0.85</f>
        <v>4369340</v>
      </c>
      <c r="V69" s="248"/>
      <c r="W69" s="248"/>
      <c r="Y69" s="249"/>
      <c r="Z69" s="250"/>
      <c r="AA69" s="250"/>
      <c r="AB69" s="251"/>
    </row>
    <row r="70" spans="1:37" x14ac:dyDescent="0.3">
      <c r="Q70" s="18"/>
      <c r="S70" s="18"/>
      <c r="U70" s="245"/>
      <c r="V70" s="245"/>
      <c r="W70" s="245"/>
      <c r="Y70" s="255"/>
      <c r="Z70" s="256"/>
      <c r="AA70" s="256"/>
      <c r="AB70" s="256"/>
    </row>
    <row r="71" spans="1:37" x14ac:dyDescent="0.3">
      <c r="P71" s="244"/>
      <c r="Q71" s="245"/>
      <c r="U71" s="245"/>
      <c r="V71" s="245"/>
      <c r="W71" s="245"/>
      <c r="Y71" s="245"/>
      <c r="Z71" s="245"/>
      <c r="AA71" s="245"/>
      <c r="AB71" s="245"/>
    </row>
    <row r="72" spans="1:37" x14ac:dyDescent="0.3">
      <c r="P72" s="245"/>
      <c r="Q72" s="245"/>
      <c r="U72" s="245"/>
      <c r="V72" s="245"/>
      <c r="W72" s="245"/>
      <c r="Y72" s="245"/>
      <c r="Z72" s="245"/>
      <c r="AA72" s="245"/>
      <c r="AB72" s="245"/>
    </row>
    <row r="73" spans="1:37" x14ac:dyDescent="0.3">
      <c r="P73" s="18"/>
      <c r="Q73" s="18"/>
      <c r="S73" s="18"/>
      <c r="Y73" s="245"/>
      <c r="Z73" s="245"/>
      <c r="AA73" s="245"/>
      <c r="AB73" s="245"/>
    </row>
    <row r="74" spans="1:37" x14ac:dyDescent="0.3">
      <c r="C74">
        <f>C64*0.85</f>
        <v>39950</v>
      </c>
      <c r="D74">
        <f t="shared" ref="D74:R74" si="6">D64*0.85</f>
        <v>3995</v>
      </c>
      <c r="E74">
        <f t="shared" si="6"/>
        <v>49300</v>
      </c>
      <c r="F74">
        <f t="shared" si="6"/>
        <v>4930</v>
      </c>
      <c r="H74">
        <f t="shared" si="6"/>
        <v>4930</v>
      </c>
      <c r="I74">
        <f t="shared" si="6"/>
        <v>3995</v>
      </c>
      <c r="J74">
        <f t="shared" si="6"/>
        <v>5780</v>
      </c>
      <c r="K74">
        <f t="shared" si="6"/>
        <v>4420</v>
      </c>
      <c r="L74">
        <f t="shared" si="6"/>
        <v>17595</v>
      </c>
      <c r="M74">
        <f t="shared" si="6"/>
        <v>5440</v>
      </c>
      <c r="N74">
        <f t="shared" si="6"/>
        <v>15895</v>
      </c>
      <c r="O74">
        <f t="shared" si="6"/>
        <v>7480</v>
      </c>
      <c r="P74">
        <f t="shared" si="6"/>
        <v>12750</v>
      </c>
      <c r="Q74">
        <f t="shared" si="6"/>
        <v>15895</v>
      </c>
      <c r="R74">
        <f t="shared" si="6"/>
        <v>21845</v>
      </c>
      <c r="S74">
        <f>S64*0.85</f>
        <v>15300</v>
      </c>
    </row>
    <row r="75" spans="1:37" x14ac:dyDescent="0.3">
      <c r="C75">
        <v>29500</v>
      </c>
      <c r="D75">
        <v>2950</v>
      </c>
      <c r="E75">
        <v>51000</v>
      </c>
      <c r="F75">
        <v>5100</v>
      </c>
      <c r="H75">
        <v>3600</v>
      </c>
      <c r="I75">
        <v>2950</v>
      </c>
      <c r="J75">
        <v>4000</v>
      </c>
      <c r="K75">
        <v>4200</v>
      </c>
      <c r="L75">
        <v>15000</v>
      </c>
      <c r="M75">
        <v>4500</v>
      </c>
      <c r="N75">
        <v>9500</v>
      </c>
      <c r="O75">
        <v>12000</v>
      </c>
      <c r="P75">
        <v>8000</v>
      </c>
      <c r="Q75">
        <v>12000</v>
      </c>
      <c r="R75">
        <v>8500</v>
      </c>
    </row>
    <row r="76" spans="1:37" x14ac:dyDescent="0.3">
      <c r="C76">
        <f>C74-C75</f>
        <v>10450</v>
      </c>
      <c r="D76">
        <f t="shared" ref="D76:R76" si="7">D74-D75</f>
        <v>1045</v>
      </c>
      <c r="E76">
        <f t="shared" si="7"/>
        <v>-1700</v>
      </c>
      <c r="F76">
        <f t="shared" si="7"/>
        <v>-170</v>
      </c>
      <c r="H76">
        <f t="shared" si="7"/>
        <v>1330</v>
      </c>
      <c r="I76">
        <f t="shared" si="7"/>
        <v>1045</v>
      </c>
      <c r="J76">
        <f t="shared" si="7"/>
        <v>1780</v>
      </c>
      <c r="K76">
        <f t="shared" si="7"/>
        <v>220</v>
      </c>
      <c r="L76">
        <f t="shared" si="7"/>
        <v>2595</v>
      </c>
      <c r="M76">
        <f t="shared" si="7"/>
        <v>940</v>
      </c>
      <c r="N76">
        <f t="shared" si="7"/>
        <v>6395</v>
      </c>
      <c r="O76">
        <f t="shared" si="7"/>
        <v>-4520</v>
      </c>
      <c r="P76">
        <f t="shared" si="7"/>
        <v>4750</v>
      </c>
      <c r="Q76">
        <f t="shared" si="7"/>
        <v>3895</v>
      </c>
      <c r="R76">
        <f t="shared" si="7"/>
        <v>13345</v>
      </c>
    </row>
    <row r="77" spans="1:37" x14ac:dyDescent="0.3">
      <c r="C77">
        <f t="shared" ref="C77:R77" si="8">C76*C3</f>
        <v>961400</v>
      </c>
      <c r="D77">
        <f t="shared" si="8"/>
        <v>0</v>
      </c>
      <c r="E77">
        <f t="shared" si="8"/>
        <v>-5100</v>
      </c>
      <c r="F77">
        <f t="shared" si="8"/>
        <v>-8840</v>
      </c>
      <c r="G77">
        <f t="shared" si="8"/>
        <v>0</v>
      </c>
      <c r="H77">
        <f t="shared" si="8"/>
        <v>1330</v>
      </c>
      <c r="I77">
        <f t="shared" si="8"/>
        <v>0</v>
      </c>
      <c r="J77">
        <f t="shared" si="8"/>
        <v>8900</v>
      </c>
      <c r="K77">
        <f t="shared" si="8"/>
        <v>880</v>
      </c>
      <c r="L77">
        <f t="shared" si="8"/>
        <v>12975</v>
      </c>
      <c r="M77">
        <f t="shared" si="8"/>
        <v>2820</v>
      </c>
      <c r="N77">
        <f t="shared" si="8"/>
        <v>19185</v>
      </c>
      <c r="O77">
        <f t="shared" si="8"/>
        <v>-13560</v>
      </c>
      <c r="P77">
        <f t="shared" si="8"/>
        <v>23750</v>
      </c>
      <c r="Q77">
        <f t="shared" si="8"/>
        <v>0</v>
      </c>
      <c r="R77">
        <f t="shared" si="8"/>
        <v>0</v>
      </c>
      <c r="X77" s="245"/>
      <c r="Y77" s="245"/>
      <c r="Z77" s="245"/>
      <c r="AA77" s="245"/>
      <c r="AB77" s="245"/>
    </row>
    <row r="78" spans="1:37" x14ac:dyDescent="0.3">
      <c r="X78" s="245"/>
      <c r="Y78" s="245"/>
      <c r="Z78" s="245"/>
      <c r="AA78" s="245"/>
      <c r="AB78" s="245"/>
    </row>
    <row r="79" spans="1:37" ht="26.25" x14ac:dyDescent="0.3">
      <c r="P79" s="257">
        <f>SUM(C77:R77)</f>
        <v>1003740</v>
      </c>
      <c r="Q79" s="258"/>
    </row>
  </sheetData>
  <mergeCells count="31">
    <mergeCell ref="A1:B2"/>
    <mergeCell ref="C1:D1"/>
    <mergeCell ref="E1:F1"/>
    <mergeCell ref="A4:A22"/>
    <mergeCell ref="A23:A43"/>
    <mergeCell ref="A44:A52"/>
    <mergeCell ref="AD64:AH65"/>
    <mergeCell ref="AJ64:AK65"/>
    <mergeCell ref="A65:B65"/>
    <mergeCell ref="Y52:AB52"/>
    <mergeCell ref="AD52:AH52"/>
    <mergeCell ref="AJ52:AK52"/>
    <mergeCell ref="A53:A62"/>
    <mergeCell ref="Y62:AB62"/>
    <mergeCell ref="AD62:AH62"/>
    <mergeCell ref="AJ62:AK62"/>
    <mergeCell ref="C69:D69"/>
    <mergeCell ref="P69:Q69"/>
    <mergeCell ref="U69:W69"/>
    <mergeCell ref="Y69:AB69"/>
    <mergeCell ref="A64:B64"/>
    <mergeCell ref="U64:W65"/>
    <mergeCell ref="Y64:AB65"/>
    <mergeCell ref="U70:W72"/>
    <mergeCell ref="Y70:AB73"/>
    <mergeCell ref="P71:Q72"/>
    <mergeCell ref="X77:AB78"/>
    <mergeCell ref="P79:Q79"/>
    <mergeCell ref="P67:Q67"/>
    <mergeCell ref="U67:W67"/>
    <mergeCell ref="Y67:AB67"/>
  </mergeCells>
  <phoneticPr fontId="52" type="noConversion"/>
  <conditionalFormatting sqref="B7:B11">
    <cfRule type="duplicateValues" dxfId="25" priority="2"/>
  </conditionalFormatting>
  <conditionalFormatting sqref="B44:B51">
    <cfRule type="duplicateValues" dxfId="24" priority="3"/>
  </conditionalFormatting>
  <conditionalFormatting sqref="B12">
    <cfRule type="duplicateValues" dxfId="23" priority="1"/>
  </conditionalFormatting>
  <conditionalFormatting sqref="B4:B6 B13:B21">
    <cfRule type="expression" dxfId="22" priority="4" stopIfTrue="1">
      <formula>AND(COUNTIF($B$4:$B$6, B4)+COUNTIF($B$13:$B$21, B4)&gt;1,NOT(ISBLANK(B4)))</formula>
    </cfRule>
  </conditionalFormatting>
  <conditionalFormatting sqref="B53:B61">
    <cfRule type="duplicateValues" dxfId="21" priority="5"/>
  </conditionalFormatting>
  <conditionalFormatting sqref="B23:B42">
    <cfRule type="duplicateValues" dxfId="20" priority="6"/>
  </conditionalFormatting>
  <printOptions horizontalCentered="1" verticalCentered="1"/>
  <pageMargins left="0" right="0" top="7.874015748031496E-2" bottom="7.874015748031496E-2" header="0" footer="0"/>
  <pageSetup paperSize="9" scale="23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T18"/>
  <sheetViews>
    <sheetView zoomScale="70" zoomScaleNormal="70" workbookViewId="0">
      <pane ySplit="3" topLeftCell="A8" activePane="bottomLeft" state="frozen"/>
      <selection activeCell="W41" sqref="W41"/>
      <selection pane="bottomLeft" activeCell="W41" sqref="W41"/>
    </sheetView>
  </sheetViews>
  <sheetFormatPr defaultRowHeight="16.5" x14ac:dyDescent="0.3"/>
  <cols>
    <col min="1" max="1" width="32.875" customWidth="1"/>
    <col min="2" max="6" width="10" customWidth="1"/>
    <col min="7" max="7" width="5.75" customWidth="1"/>
    <col min="8" max="8" width="18.5" customWidth="1"/>
    <col min="9" max="20" width="10.875" customWidth="1"/>
  </cols>
  <sheetData>
    <row r="1" spans="1:20" ht="113.25" customHeight="1" x14ac:dyDescent="0.3">
      <c r="A1" s="222" t="s">
        <v>207</v>
      </c>
      <c r="B1" s="223"/>
      <c r="C1" s="267" t="s">
        <v>97</v>
      </c>
      <c r="D1" s="268"/>
      <c r="E1" s="228" t="s">
        <v>98</v>
      </c>
      <c r="F1" s="228"/>
      <c r="G1" s="8"/>
      <c r="H1" s="269" t="s">
        <v>18</v>
      </c>
      <c r="I1" s="72" t="s">
        <v>20</v>
      </c>
      <c r="J1" s="180" t="s">
        <v>21</v>
      </c>
      <c r="K1" s="5" t="s">
        <v>101</v>
      </c>
      <c r="L1" s="180" t="s">
        <v>100</v>
      </c>
      <c r="M1" s="5" t="s">
        <v>96</v>
      </c>
      <c r="N1" s="180" t="s">
        <v>183</v>
      </c>
      <c r="O1" s="5" t="s">
        <v>114</v>
      </c>
      <c r="P1" s="180" t="s">
        <v>190</v>
      </c>
      <c r="Q1" s="5" t="s">
        <v>106</v>
      </c>
      <c r="R1" s="180" t="s">
        <v>105</v>
      </c>
      <c r="S1" s="5" t="s">
        <v>115</v>
      </c>
      <c r="T1" s="180" t="s">
        <v>11</v>
      </c>
    </row>
    <row r="2" spans="1:20" ht="43.5" customHeight="1" x14ac:dyDescent="0.3">
      <c r="A2" s="224"/>
      <c r="B2" s="225"/>
      <c r="C2" s="73" t="s">
        <v>2</v>
      </c>
      <c r="D2" s="73" t="s">
        <v>22</v>
      </c>
      <c r="E2" s="1" t="s">
        <v>2</v>
      </c>
      <c r="F2" s="1" t="s">
        <v>1</v>
      </c>
      <c r="G2" s="9"/>
      <c r="H2" s="270"/>
      <c r="I2" s="6" t="s">
        <v>3</v>
      </c>
      <c r="J2" s="1" t="s">
        <v>1</v>
      </c>
      <c r="K2" s="6" t="s">
        <v>3</v>
      </c>
      <c r="L2" s="1" t="s">
        <v>1</v>
      </c>
      <c r="M2" s="6" t="s">
        <v>3</v>
      </c>
      <c r="N2" s="1" t="s">
        <v>1</v>
      </c>
      <c r="O2" s="6" t="s">
        <v>3</v>
      </c>
      <c r="P2" s="1" t="s">
        <v>1</v>
      </c>
      <c r="Q2" s="6" t="s">
        <v>3</v>
      </c>
      <c r="R2" s="1" t="s">
        <v>1</v>
      </c>
      <c r="S2" s="6" t="s">
        <v>3</v>
      </c>
      <c r="T2" s="1" t="s">
        <v>1</v>
      </c>
    </row>
    <row r="3" spans="1:20" ht="39" customHeight="1" thickBot="1" x14ac:dyDescent="0.35">
      <c r="A3" s="271" t="s">
        <v>10</v>
      </c>
      <c r="B3" s="272"/>
      <c r="C3" s="44">
        <f>SUM(C4:C20)</f>
        <v>92</v>
      </c>
      <c r="D3" s="44">
        <f>SUM(D4:D20)</f>
        <v>0</v>
      </c>
      <c r="E3" s="44">
        <f>SUM(E4:E20)</f>
        <v>8</v>
      </c>
      <c r="F3" s="44">
        <f>SUM(F4:F20)</f>
        <v>44</v>
      </c>
      <c r="G3" s="181"/>
      <c r="H3" s="13" t="s">
        <v>10</v>
      </c>
      <c r="I3" s="44">
        <f>SUM(I4:I15)</f>
        <v>1</v>
      </c>
      <c r="J3" s="44">
        <f t="shared" ref="J3:T3" si="0">SUM(J4:J15)</f>
        <v>0</v>
      </c>
      <c r="K3" s="44">
        <f t="shared" si="0"/>
        <v>5</v>
      </c>
      <c r="L3" s="44">
        <f t="shared" si="0"/>
        <v>4</v>
      </c>
      <c r="M3" s="44">
        <f t="shared" si="0"/>
        <v>5</v>
      </c>
      <c r="N3" s="44">
        <f t="shared" si="0"/>
        <v>3</v>
      </c>
      <c r="O3" s="44">
        <f t="shared" si="0"/>
        <v>3</v>
      </c>
      <c r="P3" s="44">
        <f t="shared" si="0"/>
        <v>3</v>
      </c>
      <c r="Q3" s="44">
        <f t="shared" si="0"/>
        <v>5</v>
      </c>
      <c r="R3" s="44">
        <f t="shared" si="0"/>
        <v>0</v>
      </c>
      <c r="S3" s="44">
        <f t="shared" si="0"/>
        <v>0</v>
      </c>
      <c r="T3" s="44">
        <f t="shared" si="0"/>
        <v>0</v>
      </c>
    </row>
    <row r="4" spans="1:20" ht="82.7" customHeight="1" thickTop="1" x14ac:dyDescent="0.3">
      <c r="A4" s="273" t="s">
        <v>15</v>
      </c>
      <c r="B4" s="274"/>
      <c r="C4" s="57">
        <f>'학교별06.05'!C22</f>
        <v>83</v>
      </c>
      <c r="D4" s="57">
        <f>'학교별06.05'!D22</f>
        <v>0</v>
      </c>
      <c r="E4" s="58">
        <f>'학교별06.05'!E22</f>
        <v>2</v>
      </c>
      <c r="F4" s="59">
        <f>'학교별06.05'!F22</f>
        <v>52</v>
      </c>
      <c r="G4" s="181"/>
      <c r="H4" s="49" t="s">
        <v>15</v>
      </c>
      <c r="I4" s="47">
        <f>'학교별06.05'!H22</f>
        <v>1</v>
      </c>
      <c r="J4" s="45">
        <f>'학교별06.05'!I22</f>
        <v>0</v>
      </c>
      <c r="K4" s="47">
        <f>'학교별06.05'!J22</f>
        <v>1</v>
      </c>
      <c r="L4" s="45">
        <f>'학교별06.05'!K22</f>
        <v>3</v>
      </c>
      <c r="M4" s="47">
        <f>'학교별06.05'!L22</f>
        <v>2</v>
      </c>
      <c r="N4" s="45">
        <f>'학교별06.05'!M22</f>
        <v>1</v>
      </c>
      <c r="O4" s="47">
        <f>'학교별06.05'!N22</f>
        <v>1</v>
      </c>
      <c r="P4" s="45">
        <f>'학교별06.05'!O22</f>
        <v>1</v>
      </c>
      <c r="Q4" s="47">
        <f>'학교별06.05'!P22</f>
        <v>0</v>
      </c>
      <c r="R4" s="45">
        <f>'학교별06.05'!Q22</f>
        <v>0</v>
      </c>
      <c r="S4" s="47">
        <f>'학교별06.05'!R22</f>
        <v>0</v>
      </c>
      <c r="T4" s="87">
        <f>'학교별06.05'!S22</f>
        <v>0</v>
      </c>
    </row>
    <row r="5" spans="1:20" ht="82.7" customHeight="1" x14ac:dyDescent="0.3">
      <c r="A5" s="291" t="s">
        <v>208</v>
      </c>
      <c r="B5" s="292"/>
      <c r="C5" s="172"/>
      <c r="D5" s="165"/>
      <c r="E5" s="166"/>
      <c r="F5" s="173">
        <v>-8</v>
      </c>
      <c r="G5" s="181"/>
      <c r="H5" s="40"/>
      <c r="I5" s="41"/>
      <c r="J5" s="42"/>
      <c r="K5" s="41"/>
      <c r="L5" s="42"/>
      <c r="M5" s="41"/>
      <c r="N5" s="42"/>
      <c r="O5" s="41"/>
      <c r="P5" s="42"/>
      <c r="Q5" s="41"/>
      <c r="R5" s="42"/>
      <c r="S5" s="41"/>
      <c r="T5" s="88"/>
    </row>
    <row r="6" spans="1:20" ht="82.7" customHeight="1" thickBot="1" x14ac:dyDescent="0.35">
      <c r="A6" s="275" t="s">
        <v>209</v>
      </c>
      <c r="B6" s="276"/>
      <c r="C6" s="79"/>
      <c r="D6" s="60"/>
      <c r="E6" s="62">
        <v>5</v>
      </c>
      <c r="F6" s="61"/>
      <c r="G6" s="181"/>
      <c r="H6" s="40"/>
      <c r="I6" s="83"/>
      <c r="J6" s="81"/>
      <c r="K6" s="95"/>
      <c r="L6" s="81"/>
      <c r="M6" s="84"/>
      <c r="N6" s="81"/>
      <c r="O6" s="83"/>
      <c r="P6" s="42"/>
      <c r="Q6" s="41"/>
      <c r="R6" s="42"/>
      <c r="S6" s="83"/>
      <c r="T6" s="88"/>
    </row>
    <row r="7" spans="1:20" ht="18" thickTop="1" thickBot="1" x14ac:dyDescent="0.35">
      <c r="H7" s="33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138"/>
    </row>
    <row r="8" spans="1:20" ht="82.7" customHeight="1" thickTop="1" x14ac:dyDescent="0.3">
      <c r="A8" s="277" t="s">
        <v>26</v>
      </c>
      <c r="B8" s="278"/>
      <c r="C8" s="47">
        <f>'학교별06.05'!C43</f>
        <v>9</v>
      </c>
      <c r="D8" s="47">
        <f>'학교별06.05'!D43</f>
        <v>0</v>
      </c>
      <c r="E8" s="45">
        <f>'학교별06.05'!E43</f>
        <v>1</v>
      </c>
      <c r="F8" s="45">
        <f>'학교별06.05'!F43</f>
        <v>0</v>
      </c>
      <c r="G8" s="37"/>
      <c r="H8" s="55" t="s">
        <v>17</v>
      </c>
      <c r="I8" s="48">
        <f>'학교별06.05'!H43</f>
        <v>0</v>
      </c>
      <c r="J8" s="46">
        <f>'학교별06.05'!I43</f>
        <v>0</v>
      </c>
      <c r="K8" s="48">
        <f>'학교별06.05'!J43</f>
        <v>0</v>
      </c>
      <c r="L8" s="46">
        <f>'학교별06.05'!K43</f>
        <v>0</v>
      </c>
      <c r="M8" s="48">
        <f>'학교별06.05'!L43</f>
        <v>1</v>
      </c>
      <c r="N8" s="46">
        <f>'학교별06.05'!M43</f>
        <v>0</v>
      </c>
      <c r="O8" s="48">
        <f>'학교별06.05'!N43</f>
        <v>0</v>
      </c>
      <c r="P8" s="46">
        <f>'학교별06.05'!O43</f>
        <v>0</v>
      </c>
      <c r="Q8" s="48">
        <f>'학교별06.05'!P43</f>
        <v>0</v>
      </c>
      <c r="R8" s="46">
        <f>'학교별06.05'!Q43</f>
        <v>0</v>
      </c>
      <c r="S8" s="48">
        <f>'학교별06.05'!R43</f>
        <v>0</v>
      </c>
      <c r="T8" s="90">
        <f>'학교별06.05'!S43</f>
        <v>0</v>
      </c>
    </row>
    <row r="9" spans="1:20" ht="82.7" customHeight="1" thickBot="1" x14ac:dyDescent="0.35">
      <c r="A9" s="261"/>
      <c r="B9" s="262"/>
      <c r="C9" s="75"/>
      <c r="D9" s="96"/>
      <c r="E9" s="78"/>
      <c r="F9" s="38"/>
      <c r="G9" s="39"/>
      <c r="H9" s="181"/>
      <c r="I9" s="41"/>
      <c r="J9" s="42"/>
      <c r="K9" s="41"/>
      <c r="L9" s="42"/>
      <c r="M9" s="41"/>
      <c r="N9" s="42"/>
      <c r="O9" s="41"/>
      <c r="P9" s="42"/>
      <c r="Q9" s="41"/>
      <c r="R9" s="98"/>
      <c r="S9" s="41"/>
      <c r="T9" s="88"/>
    </row>
    <row r="10" spans="1:20" ht="18" thickTop="1" thickBot="1" x14ac:dyDescent="0.35">
      <c r="H10" s="33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138"/>
    </row>
    <row r="11" spans="1:20" ht="82.7" customHeight="1" thickTop="1" x14ac:dyDescent="0.3">
      <c r="A11" s="263" t="s">
        <v>16</v>
      </c>
      <c r="B11" s="264"/>
      <c r="C11" s="65">
        <f>'학교별06.05'!C52</f>
        <v>0</v>
      </c>
      <c r="D11" s="65">
        <f>'학교별06.05'!D52</f>
        <v>0</v>
      </c>
      <c r="E11" s="66">
        <f>'학교별06.05'!E52</f>
        <v>0</v>
      </c>
      <c r="F11" s="67">
        <f>'학교별06.05'!F52</f>
        <v>0</v>
      </c>
      <c r="G11" s="181"/>
      <c r="H11" s="136" t="s">
        <v>25</v>
      </c>
      <c r="I11" s="127">
        <f>'학교별06.05'!H52</f>
        <v>0</v>
      </c>
      <c r="J11" s="128">
        <f>'학교별06.05'!I52</f>
        <v>0</v>
      </c>
      <c r="K11" s="127">
        <f>'학교별06.05'!J52</f>
        <v>2</v>
      </c>
      <c r="L11" s="128">
        <f>'학교별06.05'!K52</f>
        <v>0</v>
      </c>
      <c r="M11" s="127">
        <f>'학교별06.05'!L52</f>
        <v>0</v>
      </c>
      <c r="N11" s="128">
        <f>'학교별06.05'!M52</f>
        <v>0</v>
      </c>
      <c r="O11" s="127">
        <f>'학교별06.05'!N52</f>
        <v>0</v>
      </c>
      <c r="P11" s="128">
        <f>'학교별06.05'!O52</f>
        <v>0</v>
      </c>
      <c r="Q11" s="127">
        <f>'학교별06.05'!P52</f>
        <v>1</v>
      </c>
      <c r="R11" s="128">
        <f>'학교별06.05'!Q52</f>
        <v>0</v>
      </c>
      <c r="S11" s="127">
        <f>'학교별06.05'!R52</f>
        <v>0</v>
      </c>
      <c r="T11" s="137">
        <f>'학교별06.05'!S52</f>
        <v>0</v>
      </c>
    </row>
    <row r="12" spans="1:20" ht="82.7" customHeight="1" thickBot="1" x14ac:dyDescent="0.35">
      <c r="A12" s="265"/>
      <c r="B12" s="266"/>
      <c r="C12" s="68"/>
      <c r="D12" s="69"/>
      <c r="E12" s="144"/>
      <c r="F12" s="71"/>
      <c r="H12" s="33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138"/>
    </row>
    <row r="13" spans="1:20" ht="18" thickTop="1" thickBot="1" x14ac:dyDescent="0.35">
      <c r="H13" s="33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138"/>
    </row>
    <row r="14" spans="1:20" ht="82.7" customHeight="1" thickTop="1" x14ac:dyDescent="0.3">
      <c r="A14" s="282" t="s">
        <v>175</v>
      </c>
      <c r="B14" s="283"/>
      <c r="C14" s="129">
        <f>'학교별06.05'!C62</f>
        <v>0</v>
      </c>
      <c r="D14" s="129">
        <f>'학교별06.05'!D62</f>
        <v>0</v>
      </c>
      <c r="E14" s="130">
        <f>'학교별06.05'!E62</f>
        <v>0</v>
      </c>
      <c r="F14" s="131">
        <f>'학교별06.05'!F62</f>
        <v>0</v>
      </c>
      <c r="G14" s="181"/>
      <c r="H14" s="136" t="s">
        <v>174</v>
      </c>
      <c r="I14" s="127">
        <f>'학교별06.05'!H62</f>
        <v>0</v>
      </c>
      <c r="J14" s="128">
        <f>'학교별06.05'!I62</f>
        <v>0</v>
      </c>
      <c r="K14" s="127">
        <f>'학교별06.05'!J62</f>
        <v>2</v>
      </c>
      <c r="L14" s="128">
        <f>'학교별06.05'!K62</f>
        <v>1</v>
      </c>
      <c r="M14" s="127">
        <f>'학교별06.05'!L62</f>
        <v>2</v>
      </c>
      <c r="N14" s="128">
        <f>'학교별06.05'!M62</f>
        <v>2</v>
      </c>
      <c r="O14" s="127">
        <f>'학교별06.05'!N62</f>
        <v>2</v>
      </c>
      <c r="P14" s="128">
        <f>'학교별06.05'!O62</f>
        <v>2</v>
      </c>
      <c r="Q14" s="127">
        <f>'학교별06.05'!P62</f>
        <v>4</v>
      </c>
      <c r="R14" s="128">
        <f>'학교별06.05'!Q62</f>
        <v>0</v>
      </c>
      <c r="S14" s="127">
        <f>'학교별06.05'!R62</f>
        <v>0</v>
      </c>
      <c r="T14" s="137">
        <f>'학교별06.05'!S62</f>
        <v>0</v>
      </c>
    </row>
    <row r="15" spans="1:20" ht="82.7" customHeight="1" thickBot="1" x14ac:dyDescent="0.35">
      <c r="A15" s="280"/>
      <c r="B15" s="281"/>
      <c r="C15" s="132"/>
      <c r="D15" s="133"/>
      <c r="E15" s="134"/>
      <c r="F15" s="135"/>
      <c r="H15" s="64"/>
      <c r="I15" s="14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152"/>
    </row>
    <row r="16" spans="1:20" ht="17.25" thickTop="1" x14ac:dyDescent="0.3"/>
    <row r="18" spans="8:8" x14ac:dyDescent="0.3">
      <c r="H18" t="s">
        <v>83</v>
      </c>
    </row>
  </sheetData>
  <mergeCells count="14">
    <mergeCell ref="A1:B2"/>
    <mergeCell ref="C1:D1"/>
    <mergeCell ref="E1:F1"/>
    <mergeCell ref="H1:H2"/>
    <mergeCell ref="A3:B3"/>
    <mergeCell ref="A4:B4"/>
    <mergeCell ref="A14:B14"/>
    <mergeCell ref="A15:B15"/>
    <mergeCell ref="A5:B5"/>
    <mergeCell ref="A6:B6"/>
    <mergeCell ref="A8:B8"/>
    <mergeCell ref="A9:B9"/>
    <mergeCell ref="A11:B11"/>
    <mergeCell ref="A12:B12"/>
  </mergeCells>
  <phoneticPr fontId="52" type="noConversion"/>
  <conditionalFormatting sqref="A4:A6">
    <cfRule type="duplicateValues" dxfId="19" priority="2"/>
  </conditionalFormatting>
  <conditionalFormatting sqref="A8:A9">
    <cfRule type="duplicateValues" dxfId="18" priority="3"/>
  </conditionalFormatting>
  <conditionalFormatting sqref="A14">
    <cfRule type="duplicateValues" dxfId="17" priority="1"/>
  </conditionalFormatting>
  <conditionalFormatting sqref="A11">
    <cfRule type="duplicateValues" dxfId="16" priority="4"/>
  </conditionalFormatting>
  <printOptions horizontalCentered="1" verticalCentered="1"/>
  <pageMargins left="0" right="0" top="7.874015748031496E-2" bottom="7.874015748031496E-2" header="0" footer="0"/>
  <pageSetup paperSize="9" scale="55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79"/>
  <sheetViews>
    <sheetView zoomScale="70" zoomScaleNormal="70" workbookViewId="0">
      <pane ySplit="3" topLeftCell="A5" activePane="bottomLeft" state="frozen"/>
      <selection activeCell="A3" sqref="A3:B3"/>
      <selection pane="bottomLeft" activeCell="S68" sqref="S68"/>
    </sheetView>
  </sheetViews>
  <sheetFormatPr defaultRowHeight="16.5" x14ac:dyDescent="0.3"/>
  <cols>
    <col min="1" max="1" width="9" customWidth="1"/>
    <col min="2" max="2" width="33.75" customWidth="1"/>
    <col min="3" max="3" width="10.75" customWidth="1"/>
    <col min="4" max="4" width="10" customWidth="1"/>
    <col min="5" max="5" width="10.5" customWidth="1"/>
    <col min="6" max="6" width="10" customWidth="1"/>
    <col min="7" max="7" width="4.125" customWidth="1"/>
    <col min="8" max="19" width="10.875" customWidth="1"/>
    <col min="20" max="20" width="5.5" customWidth="1"/>
    <col min="21" max="21" width="10.875" bestFit="1" customWidth="1"/>
  </cols>
  <sheetData>
    <row r="1" spans="1:23" ht="113.25" customHeight="1" x14ac:dyDescent="0.3">
      <c r="A1" s="222" t="s">
        <v>210</v>
      </c>
      <c r="B1" s="223"/>
      <c r="C1" s="226" t="s">
        <v>0</v>
      </c>
      <c r="D1" s="227"/>
      <c r="E1" s="228" t="s">
        <v>19</v>
      </c>
      <c r="F1" s="228"/>
      <c r="G1" s="8"/>
      <c r="H1" s="72" t="s">
        <v>20</v>
      </c>
      <c r="I1" s="182" t="s">
        <v>21</v>
      </c>
      <c r="J1" s="5" t="s">
        <v>7</v>
      </c>
      <c r="K1" s="182" t="s">
        <v>4</v>
      </c>
      <c r="L1" s="5" t="s">
        <v>6</v>
      </c>
      <c r="M1" s="182" t="s">
        <v>5</v>
      </c>
      <c r="N1" s="5" t="s">
        <v>9</v>
      </c>
      <c r="O1" s="182" t="s">
        <v>8</v>
      </c>
      <c r="P1" s="5" t="s">
        <v>95</v>
      </c>
      <c r="Q1" s="182" t="s">
        <v>12</v>
      </c>
      <c r="R1" s="5" t="s">
        <v>119</v>
      </c>
      <c r="S1" s="182" t="s">
        <v>11</v>
      </c>
    </row>
    <row r="2" spans="1:23" ht="43.5" customHeight="1" x14ac:dyDescent="0.3">
      <c r="A2" s="224"/>
      <c r="B2" s="225"/>
      <c r="C2" s="73" t="s">
        <v>2</v>
      </c>
      <c r="D2" s="21" t="s">
        <v>1</v>
      </c>
      <c r="E2" s="1" t="s">
        <v>2</v>
      </c>
      <c r="F2" s="1" t="s">
        <v>1</v>
      </c>
      <c r="G2" s="9"/>
      <c r="H2" s="6" t="s">
        <v>3</v>
      </c>
      <c r="I2" s="1" t="s">
        <v>1</v>
      </c>
      <c r="J2" s="6" t="s">
        <v>3</v>
      </c>
      <c r="K2" s="1" t="s">
        <v>1</v>
      </c>
      <c r="L2" s="6" t="s">
        <v>3</v>
      </c>
      <c r="M2" s="1" t="s">
        <v>1</v>
      </c>
      <c r="N2" s="6" t="s">
        <v>3</v>
      </c>
      <c r="O2" s="1" t="s">
        <v>1</v>
      </c>
      <c r="P2" s="6" t="s">
        <v>3</v>
      </c>
      <c r="Q2" s="1" t="s">
        <v>1</v>
      </c>
      <c r="R2" s="6" t="s">
        <v>3</v>
      </c>
      <c r="S2" s="1" t="s">
        <v>1</v>
      </c>
    </row>
    <row r="3" spans="1:23" ht="26.25" x14ac:dyDescent="0.3">
      <c r="A3" s="97" t="s">
        <v>14</v>
      </c>
      <c r="B3" s="12" t="s">
        <v>10</v>
      </c>
      <c r="C3" s="29">
        <f>C22+C43+C52+C62</f>
        <v>96</v>
      </c>
      <c r="D3" s="29">
        <f>D22+D43+D52+D62</f>
        <v>0</v>
      </c>
      <c r="E3" s="29">
        <f>E22+E43+E52+E62</f>
        <v>12</v>
      </c>
      <c r="F3" s="2">
        <f>F22+F43+F52+F62</f>
        <v>46</v>
      </c>
      <c r="G3" s="183"/>
      <c r="H3" s="2">
        <f t="shared" ref="H3:S3" si="0">H22+H43+H52+H62</f>
        <v>0</v>
      </c>
      <c r="I3" s="2">
        <f t="shared" si="0"/>
        <v>1</v>
      </c>
      <c r="J3" s="2">
        <f t="shared" si="0"/>
        <v>5</v>
      </c>
      <c r="K3" s="2">
        <f t="shared" si="0"/>
        <v>9</v>
      </c>
      <c r="L3" s="2">
        <f t="shared" si="0"/>
        <v>10</v>
      </c>
      <c r="M3" s="2">
        <f t="shared" si="0"/>
        <v>2</v>
      </c>
      <c r="N3" s="2">
        <f t="shared" si="0"/>
        <v>8</v>
      </c>
      <c r="O3" s="2">
        <f t="shared" si="0"/>
        <v>1</v>
      </c>
      <c r="P3" s="2">
        <f t="shared" si="0"/>
        <v>4</v>
      </c>
      <c r="Q3" s="2">
        <f t="shared" si="0"/>
        <v>0</v>
      </c>
      <c r="R3" s="2">
        <f t="shared" si="0"/>
        <v>0</v>
      </c>
      <c r="S3" s="2">
        <f t="shared" si="0"/>
        <v>0</v>
      </c>
      <c r="T3" s="4">
        <f>D3*10</f>
        <v>0</v>
      </c>
      <c r="U3">
        <f>F3*10+E3</f>
        <v>472</v>
      </c>
      <c r="V3" s="4">
        <f>SUM(H3:Q3)</f>
        <v>40</v>
      </c>
      <c r="W3" s="11">
        <f>SUM(T3:V3)</f>
        <v>512</v>
      </c>
    </row>
    <row r="4" spans="1:23" ht="24" customHeight="1" x14ac:dyDescent="0.3">
      <c r="A4" s="229" t="s">
        <v>34</v>
      </c>
      <c r="B4" s="3" t="s">
        <v>160</v>
      </c>
      <c r="C4" s="7">
        <v>3</v>
      </c>
      <c r="D4" s="7"/>
      <c r="E4" s="50"/>
      <c r="F4" s="50">
        <v>8</v>
      </c>
      <c r="G4" s="183"/>
      <c r="H4" s="7"/>
      <c r="I4" s="50"/>
      <c r="J4" s="10"/>
      <c r="K4" s="50"/>
      <c r="L4" s="7"/>
      <c r="M4" s="50"/>
      <c r="N4" s="10">
        <v>1</v>
      </c>
      <c r="O4" s="50"/>
      <c r="P4" s="7">
        <v>1</v>
      </c>
      <c r="Q4" s="50"/>
      <c r="R4" s="7"/>
      <c r="S4" s="50"/>
    </row>
    <row r="5" spans="1:23" ht="24" customHeight="1" x14ac:dyDescent="0.3">
      <c r="A5" s="230"/>
      <c r="B5" s="3" t="s">
        <v>150</v>
      </c>
      <c r="C5" s="7"/>
      <c r="D5" s="7"/>
      <c r="E5" s="50"/>
      <c r="F5" s="50">
        <v>5</v>
      </c>
      <c r="G5" s="183"/>
      <c r="H5" s="7"/>
      <c r="I5" s="50"/>
      <c r="J5" s="10">
        <v>1</v>
      </c>
      <c r="K5" s="50"/>
      <c r="L5" s="7">
        <v>1</v>
      </c>
      <c r="M5" s="50"/>
      <c r="N5" s="10"/>
      <c r="O5" s="50"/>
      <c r="P5" s="7"/>
      <c r="Q5" s="50"/>
      <c r="R5" s="7"/>
      <c r="S5" s="50"/>
    </row>
    <row r="6" spans="1:23" ht="24" customHeight="1" x14ac:dyDescent="0.3">
      <c r="A6" s="230"/>
      <c r="B6" s="3" t="s">
        <v>149</v>
      </c>
      <c r="C6" s="7"/>
      <c r="D6" s="7"/>
      <c r="E6" s="50"/>
      <c r="F6" s="50"/>
      <c r="G6" s="183"/>
      <c r="H6" s="7"/>
      <c r="I6" s="50"/>
      <c r="J6" s="10"/>
      <c r="K6" s="50"/>
      <c r="L6" s="7"/>
      <c r="M6" s="50"/>
      <c r="N6" s="10"/>
      <c r="O6" s="50"/>
      <c r="P6" s="7"/>
      <c r="Q6" s="50"/>
      <c r="R6" s="7"/>
      <c r="S6" s="50"/>
    </row>
    <row r="7" spans="1:23" ht="24" customHeight="1" x14ac:dyDescent="0.3">
      <c r="A7" s="230"/>
      <c r="B7" s="3" t="s">
        <v>156</v>
      </c>
      <c r="C7" s="7"/>
      <c r="D7" s="7"/>
      <c r="E7" s="50"/>
      <c r="F7" s="50"/>
      <c r="G7" s="183"/>
      <c r="H7" s="7"/>
      <c r="I7" s="50"/>
      <c r="J7" s="10"/>
      <c r="K7" s="50"/>
      <c r="L7" s="7"/>
      <c r="M7" s="50"/>
      <c r="N7" s="10"/>
      <c r="O7" s="50"/>
      <c r="P7" s="7"/>
      <c r="Q7" s="50"/>
      <c r="R7" s="7"/>
      <c r="S7" s="50"/>
    </row>
    <row r="8" spans="1:23" ht="24" customHeight="1" x14ac:dyDescent="0.3">
      <c r="A8" s="230"/>
      <c r="B8" s="3" t="s">
        <v>148</v>
      </c>
      <c r="C8" s="7">
        <v>1</v>
      </c>
      <c r="D8" s="7"/>
      <c r="E8" s="50"/>
      <c r="F8" s="50">
        <v>5</v>
      </c>
      <c r="G8" s="63"/>
      <c r="H8" s="7"/>
      <c r="I8" s="50"/>
      <c r="J8" s="10"/>
      <c r="K8" s="50"/>
      <c r="L8" s="7"/>
      <c r="M8" s="50"/>
      <c r="N8" s="10"/>
      <c r="O8" s="50"/>
      <c r="P8" s="7"/>
      <c r="Q8" s="50"/>
      <c r="R8" s="7"/>
      <c r="S8" s="50"/>
    </row>
    <row r="9" spans="1:23" ht="24" customHeight="1" x14ac:dyDescent="0.3">
      <c r="A9" s="230"/>
      <c r="B9" s="3" t="s">
        <v>153</v>
      </c>
      <c r="C9" s="7"/>
      <c r="D9" s="7"/>
      <c r="E9" s="50"/>
      <c r="F9" s="50">
        <v>2</v>
      </c>
      <c r="G9" s="183"/>
      <c r="H9" s="7"/>
      <c r="I9" s="50"/>
      <c r="J9" s="10"/>
      <c r="K9" s="50"/>
      <c r="L9" s="7"/>
      <c r="M9" s="50"/>
      <c r="N9" s="10"/>
      <c r="O9" s="50"/>
      <c r="P9" s="7"/>
      <c r="Q9" s="50"/>
      <c r="R9" s="7"/>
      <c r="S9" s="50"/>
    </row>
    <row r="10" spans="1:23" ht="24" customHeight="1" x14ac:dyDescent="0.3">
      <c r="A10" s="230"/>
      <c r="B10" s="3" t="s">
        <v>158</v>
      </c>
      <c r="C10" s="7"/>
      <c r="D10" s="7"/>
      <c r="E10" s="50"/>
      <c r="F10" s="76"/>
      <c r="G10" s="183"/>
      <c r="H10" s="7"/>
      <c r="I10" s="50"/>
      <c r="J10" s="10"/>
      <c r="K10" s="50"/>
      <c r="L10" s="7"/>
      <c r="M10" s="50"/>
      <c r="N10" s="10">
        <v>1</v>
      </c>
      <c r="O10" s="50"/>
      <c r="P10" s="7"/>
      <c r="Q10" s="50"/>
      <c r="R10" s="7"/>
      <c r="S10" s="50"/>
    </row>
    <row r="11" spans="1:23" ht="24" customHeight="1" x14ac:dyDescent="0.3">
      <c r="A11" s="230"/>
      <c r="B11" s="3" t="s">
        <v>152</v>
      </c>
      <c r="C11" s="7"/>
      <c r="D11" s="7"/>
      <c r="E11" s="50"/>
      <c r="F11" s="50"/>
      <c r="G11" s="183"/>
      <c r="H11" s="7"/>
      <c r="I11" s="50"/>
      <c r="J11" s="10"/>
      <c r="K11" s="50"/>
      <c r="L11" s="7"/>
      <c r="M11" s="50"/>
      <c r="N11" s="10"/>
      <c r="O11" s="50"/>
      <c r="P11" s="7"/>
      <c r="Q11" s="50"/>
      <c r="R11" s="7"/>
      <c r="S11" s="50"/>
    </row>
    <row r="12" spans="1:23" ht="24" customHeight="1" x14ac:dyDescent="0.3">
      <c r="A12" s="230"/>
      <c r="B12" s="3" t="s">
        <v>161</v>
      </c>
      <c r="C12" s="7"/>
      <c r="D12" s="77"/>
      <c r="E12" s="76"/>
      <c r="F12" s="50"/>
      <c r="G12" s="80"/>
      <c r="H12" s="7"/>
      <c r="I12" s="76"/>
      <c r="J12" s="7"/>
      <c r="K12" s="50"/>
      <c r="L12" s="7"/>
      <c r="M12" s="50"/>
      <c r="N12" s="10"/>
      <c r="O12" s="50"/>
      <c r="P12" s="7"/>
      <c r="Q12" s="76"/>
      <c r="R12" s="10"/>
      <c r="S12" s="76"/>
    </row>
    <row r="13" spans="1:23" ht="24" customHeight="1" x14ac:dyDescent="0.3">
      <c r="A13" s="230"/>
      <c r="B13" s="3" t="s">
        <v>154</v>
      </c>
      <c r="C13" s="7">
        <v>2</v>
      </c>
      <c r="D13" s="7"/>
      <c r="E13" s="50"/>
      <c r="F13" s="50">
        <v>8</v>
      </c>
      <c r="G13" s="183"/>
      <c r="H13" s="7"/>
      <c r="I13" s="50"/>
      <c r="J13" s="10">
        <v>1</v>
      </c>
      <c r="K13" s="50"/>
      <c r="L13" s="7"/>
      <c r="M13" s="50"/>
      <c r="N13" s="10"/>
      <c r="O13" s="50"/>
      <c r="P13" s="7"/>
      <c r="Q13" s="50"/>
      <c r="R13" s="7"/>
      <c r="S13" s="50"/>
    </row>
    <row r="14" spans="1:23" ht="24" customHeight="1" x14ac:dyDescent="0.3">
      <c r="A14" s="230"/>
      <c r="B14" s="100" t="s">
        <v>164</v>
      </c>
      <c r="C14" s="7">
        <v>50</v>
      </c>
      <c r="D14" s="7"/>
      <c r="E14" s="50"/>
      <c r="F14" s="50"/>
      <c r="G14" s="183"/>
      <c r="H14" s="7"/>
      <c r="I14" s="50"/>
      <c r="J14" s="10"/>
      <c r="K14" s="50"/>
      <c r="L14" s="7"/>
      <c r="M14" s="50"/>
      <c r="N14" s="10"/>
      <c r="O14" s="50"/>
      <c r="P14" s="7"/>
      <c r="Q14" s="50"/>
      <c r="R14" s="7"/>
      <c r="S14" s="50"/>
    </row>
    <row r="15" spans="1:23" ht="24" customHeight="1" x14ac:dyDescent="0.3">
      <c r="A15" s="230"/>
      <c r="B15" s="3" t="s">
        <v>159</v>
      </c>
      <c r="C15" s="7"/>
      <c r="D15" s="7"/>
      <c r="E15" s="50"/>
      <c r="F15" s="50"/>
      <c r="G15" s="183"/>
      <c r="H15" s="7"/>
      <c r="I15" s="50"/>
      <c r="J15" s="10"/>
      <c r="K15" s="50"/>
      <c r="L15" s="7"/>
      <c r="M15" s="50"/>
      <c r="N15" s="10"/>
      <c r="O15" s="50"/>
      <c r="P15" s="7"/>
      <c r="Q15" s="50"/>
      <c r="R15" s="7"/>
      <c r="S15" s="50"/>
    </row>
    <row r="16" spans="1:23" ht="24" customHeight="1" x14ac:dyDescent="0.3">
      <c r="A16" s="230"/>
      <c r="B16" s="3" t="s">
        <v>147</v>
      </c>
      <c r="C16" s="7"/>
      <c r="D16" s="7"/>
      <c r="E16" s="50"/>
      <c r="F16" s="50">
        <v>4</v>
      </c>
      <c r="G16" s="183"/>
      <c r="H16" s="7"/>
      <c r="I16" s="50"/>
      <c r="J16" s="10"/>
      <c r="K16" s="50"/>
      <c r="L16" s="7"/>
      <c r="M16" s="50"/>
      <c r="N16" s="10"/>
      <c r="O16" s="50"/>
      <c r="P16" s="7"/>
      <c r="Q16" s="50"/>
      <c r="R16" s="7"/>
      <c r="S16" s="50"/>
    </row>
    <row r="17" spans="1:25" ht="24" customHeight="1" x14ac:dyDescent="0.3">
      <c r="A17" s="230"/>
      <c r="B17" s="3" t="s">
        <v>163</v>
      </c>
      <c r="C17" s="7">
        <v>8</v>
      </c>
      <c r="D17" s="7"/>
      <c r="E17" s="50">
        <v>2</v>
      </c>
      <c r="F17" s="50"/>
      <c r="G17" s="183"/>
      <c r="H17" s="7"/>
      <c r="I17" s="50"/>
      <c r="J17" s="10"/>
      <c r="K17" s="50">
        <v>2</v>
      </c>
      <c r="L17" s="7"/>
      <c r="M17" s="50"/>
      <c r="N17" s="10"/>
      <c r="O17" s="50"/>
      <c r="P17" s="7"/>
      <c r="Q17" s="50"/>
      <c r="R17" s="7"/>
      <c r="S17" s="50"/>
    </row>
    <row r="18" spans="1:25" ht="24" customHeight="1" x14ac:dyDescent="0.3">
      <c r="A18" s="230"/>
      <c r="B18" s="3" t="s">
        <v>162</v>
      </c>
      <c r="C18" s="7"/>
      <c r="D18" s="7"/>
      <c r="E18" s="50"/>
      <c r="F18" s="50"/>
      <c r="G18" s="183"/>
      <c r="H18" s="7"/>
      <c r="I18" s="50"/>
      <c r="J18" s="10"/>
      <c r="K18" s="50"/>
      <c r="L18" s="7">
        <v>1</v>
      </c>
      <c r="M18" s="50"/>
      <c r="N18" s="10"/>
      <c r="O18" s="50"/>
      <c r="P18" s="7"/>
      <c r="Q18" s="50"/>
      <c r="R18" s="7"/>
      <c r="S18" s="50"/>
    </row>
    <row r="19" spans="1:25" ht="24" customHeight="1" x14ac:dyDescent="0.3">
      <c r="A19" s="230"/>
      <c r="B19" s="3" t="s">
        <v>155</v>
      </c>
      <c r="C19" s="7"/>
      <c r="D19" s="7"/>
      <c r="E19" s="50"/>
      <c r="F19" s="50">
        <v>5</v>
      </c>
      <c r="G19" s="183"/>
      <c r="H19" s="7"/>
      <c r="I19" s="50"/>
      <c r="J19" s="10"/>
      <c r="K19" s="50"/>
      <c r="L19" s="7"/>
      <c r="M19" s="50"/>
      <c r="N19" s="10"/>
      <c r="O19" s="50"/>
      <c r="P19" s="7"/>
      <c r="Q19" s="50"/>
      <c r="R19" s="7"/>
      <c r="S19" s="50"/>
    </row>
    <row r="20" spans="1:25" ht="24" customHeight="1" x14ac:dyDescent="0.3">
      <c r="A20" s="230"/>
      <c r="B20" s="3" t="s">
        <v>157</v>
      </c>
      <c r="C20" s="7">
        <v>6</v>
      </c>
      <c r="D20" s="7"/>
      <c r="E20" s="50"/>
      <c r="F20" s="50">
        <v>2</v>
      </c>
      <c r="G20" s="183"/>
      <c r="H20" s="7"/>
      <c r="I20" s="50"/>
      <c r="J20" s="10"/>
      <c r="K20" s="50">
        <v>1</v>
      </c>
      <c r="L20" s="7"/>
      <c r="M20" s="50"/>
      <c r="N20" s="10"/>
      <c r="O20" s="50"/>
      <c r="P20" s="7"/>
      <c r="Q20" s="50"/>
      <c r="R20" s="7"/>
      <c r="S20" s="50"/>
    </row>
    <row r="21" spans="1:25" ht="24" customHeight="1" x14ac:dyDescent="0.3">
      <c r="A21" s="230"/>
      <c r="B21" s="3" t="s">
        <v>151</v>
      </c>
      <c r="C21" s="7">
        <v>3</v>
      </c>
      <c r="D21" s="7"/>
      <c r="E21" s="50"/>
      <c r="F21" s="50">
        <v>7</v>
      </c>
      <c r="G21" s="183"/>
      <c r="H21" s="7"/>
      <c r="I21" s="50">
        <v>1</v>
      </c>
      <c r="J21" s="10">
        <v>1</v>
      </c>
      <c r="K21" s="50"/>
      <c r="L21" s="7"/>
      <c r="M21" s="50"/>
      <c r="N21" s="10">
        <v>1</v>
      </c>
      <c r="O21" s="50"/>
      <c r="P21" s="7"/>
      <c r="Q21" s="50"/>
      <c r="R21" s="7"/>
      <c r="S21" s="50"/>
    </row>
    <row r="22" spans="1:25" ht="27" thickBot="1" x14ac:dyDescent="0.35">
      <c r="A22" s="231"/>
      <c r="B22" s="31"/>
      <c r="C22" s="31">
        <f>SUM(C4:C21)</f>
        <v>73</v>
      </c>
      <c r="D22" s="31">
        <f>SUM(D4:D21)</f>
        <v>0</v>
      </c>
      <c r="E22" s="31">
        <f>SUM(E4:E21)</f>
        <v>2</v>
      </c>
      <c r="F22" s="31">
        <f>SUM(F4:F21)</f>
        <v>46</v>
      </c>
      <c r="G22" s="183"/>
      <c r="H22" s="2">
        <f t="shared" ref="H22:S22" si="1">SUM(H4:H21)</f>
        <v>0</v>
      </c>
      <c r="I22" s="2">
        <f t="shared" si="1"/>
        <v>1</v>
      </c>
      <c r="J22" s="2">
        <f t="shared" si="1"/>
        <v>3</v>
      </c>
      <c r="K22" s="2">
        <f t="shared" si="1"/>
        <v>3</v>
      </c>
      <c r="L22" s="2">
        <f t="shared" si="1"/>
        <v>2</v>
      </c>
      <c r="M22" s="2">
        <f t="shared" si="1"/>
        <v>0</v>
      </c>
      <c r="N22" s="2">
        <f t="shared" si="1"/>
        <v>3</v>
      </c>
      <c r="O22" s="2">
        <f t="shared" si="1"/>
        <v>0</v>
      </c>
      <c r="P22" s="2">
        <f t="shared" si="1"/>
        <v>1</v>
      </c>
      <c r="Q22" s="2">
        <f t="shared" si="1"/>
        <v>0</v>
      </c>
      <c r="R22" s="2">
        <f t="shared" si="1"/>
        <v>0</v>
      </c>
      <c r="S22" s="2">
        <f t="shared" si="1"/>
        <v>0</v>
      </c>
      <c r="U22" s="35"/>
      <c r="V22" s="18"/>
      <c r="W22" s="18"/>
    </row>
    <row r="23" spans="1:25" ht="24" customHeight="1" thickTop="1" x14ac:dyDescent="0.3">
      <c r="A23" s="286" t="s">
        <v>27</v>
      </c>
      <c r="B23" s="23" t="s">
        <v>187</v>
      </c>
      <c r="C23" s="28"/>
      <c r="D23" s="28"/>
      <c r="E23" s="15"/>
      <c r="F23" s="16"/>
      <c r="G23" s="25"/>
      <c r="H23" s="43"/>
      <c r="I23" s="50"/>
      <c r="J23" s="10"/>
      <c r="K23" s="50"/>
      <c r="L23" s="7"/>
      <c r="M23" s="50"/>
      <c r="N23" s="7"/>
      <c r="O23" s="50"/>
      <c r="P23" s="7"/>
      <c r="Q23" s="50"/>
      <c r="R23" s="7"/>
      <c r="S23" s="50"/>
      <c r="U23" s="18"/>
      <c r="V23" s="18"/>
      <c r="W23" s="18"/>
      <c r="X23" s="18"/>
      <c r="Y23" s="18"/>
    </row>
    <row r="24" spans="1:25" ht="24" customHeight="1" x14ac:dyDescent="0.3">
      <c r="A24" s="287"/>
      <c r="B24" s="24" t="s">
        <v>188</v>
      </c>
      <c r="C24" s="32">
        <v>3</v>
      </c>
      <c r="D24" s="32"/>
      <c r="E24" s="54">
        <v>2</v>
      </c>
      <c r="F24" s="22"/>
      <c r="G24" s="25"/>
      <c r="H24" s="7"/>
      <c r="I24" s="50"/>
      <c r="J24" s="10"/>
      <c r="K24" s="50"/>
      <c r="L24" s="7"/>
      <c r="M24" s="50"/>
      <c r="N24" s="7"/>
      <c r="O24" s="50"/>
      <c r="P24" s="7"/>
      <c r="Q24" s="50"/>
      <c r="R24" s="7"/>
      <c r="S24" s="50"/>
      <c r="U24" s="18"/>
      <c r="V24" s="18"/>
      <c r="W24" s="18"/>
      <c r="X24" s="18"/>
      <c r="Y24" s="18"/>
    </row>
    <row r="25" spans="1:25" ht="24" customHeight="1" x14ac:dyDescent="0.3">
      <c r="A25" s="287"/>
      <c r="B25" s="24" t="s">
        <v>128</v>
      </c>
      <c r="C25" s="32"/>
      <c r="D25" s="32"/>
      <c r="E25" s="54"/>
      <c r="F25" s="22"/>
      <c r="G25" s="25"/>
      <c r="H25" s="43"/>
      <c r="I25" s="50"/>
      <c r="J25" s="10"/>
      <c r="K25" s="50"/>
      <c r="L25" s="7"/>
      <c r="M25" s="50"/>
      <c r="N25" s="7"/>
      <c r="O25" s="50"/>
      <c r="P25" s="7"/>
      <c r="Q25" s="50"/>
      <c r="R25" s="7"/>
      <c r="S25" s="50"/>
      <c r="U25" s="18"/>
      <c r="V25" s="18"/>
      <c r="W25" s="18"/>
      <c r="X25" s="18"/>
      <c r="Y25" s="18"/>
    </row>
    <row r="26" spans="1:25" ht="24" customHeight="1" x14ac:dyDescent="0.3">
      <c r="A26" s="287"/>
      <c r="B26" s="24" t="s">
        <v>127</v>
      </c>
      <c r="C26" s="32">
        <v>2</v>
      </c>
      <c r="D26" s="32"/>
      <c r="E26" s="54">
        <v>1</v>
      </c>
      <c r="F26" s="22"/>
      <c r="G26" s="25"/>
      <c r="H26" s="43"/>
      <c r="I26" s="50"/>
      <c r="J26" s="10"/>
      <c r="K26" s="50"/>
      <c r="L26" s="7"/>
      <c r="M26" s="50"/>
      <c r="N26" s="7">
        <v>1</v>
      </c>
      <c r="O26" s="50"/>
      <c r="P26" s="7"/>
      <c r="Q26" s="50"/>
      <c r="R26" s="7"/>
      <c r="S26" s="50"/>
      <c r="U26" s="18"/>
      <c r="V26" s="18"/>
      <c r="W26" s="18"/>
      <c r="X26" s="18"/>
      <c r="Y26" s="18"/>
    </row>
    <row r="27" spans="1:25" ht="24" customHeight="1" x14ac:dyDescent="0.3">
      <c r="A27" s="287"/>
      <c r="B27" s="24" t="s">
        <v>189</v>
      </c>
      <c r="C27" s="32">
        <v>2</v>
      </c>
      <c r="D27" s="32"/>
      <c r="E27" s="54">
        <v>1</v>
      </c>
      <c r="F27" s="22"/>
      <c r="G27" s="25"/>
      <c r="H27" s="10"/>
      <c r="I27" s="50"/>
      <c r="J27" s="10"/>
      <c r="K27" s="50"/>
      <c r="L27" s="7"/>
      <c r="M27" s="50"/>
      <c r="N27" s="7"/>
      <c r="O27" s="50"/>
      <c r="P27" s="7"/>
      <c r="Q27" s="50"/>
      <c r="R27" s="7"/>
      <c r="S27" s="50"/>
      <c r="U27" s="18"/>
      <c r="V27" s="18"/>
      <c r="W27" s="18"/>
      <c r="X27" s="18"/>
      <c r="Y27" s="18"/>
    </row>
    <row r="28" spans="1:25" ht="24" customHeight="1" x14ac:dyDescent="0.3">
      <c r="A28" s="287"/>
      <c r="B28" s="24" t="s">
        <v>140</v>
      </c>
      <c r="C28" s="32"/>
      <c r="D28" s="32"/>
      <c r="E28" s="54"/>
      <c r="F28" s="22"/>
      <c r="G28" s="25"/>
      <c r="H28" s="10"/>
      <c r="I28" s="50"/>
      <c r="J28" s="10"/>
      <c r="K28" s="50"/>
      <c r="L28" s="7"/>
      <c r="M28" s="50"/>
      <c r="N28" s="7"/>
      <c r="O28" s="50"/>
      <c r="P28" s="7"/>
      <c r="Q28" s="76"/>
      <c r="R28" s="7"/>
      <c r="S28" s="50"/>
      <c r="U28" s="18"/>
      <c r="V28" s="18"/>
      <c r="W28" s="18"/>
      <c r="X28" s="18"/>
      <c r="Y28" s="18"/>
    </row>
    <row r="29" spans="1:25" ht="24" customHeight="1" x14ac:dyDescent="0.3">
      <c r="A29" s="287"/>
      <c r="B29" s="24" t="s">
        <v>129</v>
      </c>
      <c r="C29" s="32">
        <v>3</v>
      </c>
      <c r="D29" s="32"/>
      <c r="E29" s="54">
        <v>1</v>
      </c>
      <c r="F29" s="22"/>
      <c r="G29" s="25"/>
      <c r="H29" s="43"/>
      <c r="I29" s="50"/>
      <c r="J29" s="10"/>
      <c r="K29" s="50"/>
      <c r="L29" s="7"/>
      <c r="M29" s="50"/>
      <c r="N29" s="7"/>
      <c r="O29" s="50"/>
      <c r="P29" s="7"/>
      <c r="Q29" s="50"/>
      <c r="R29" s="7"/>
      <c r="S29" s="50"/>
      <c r="U29" s="18"/>
      <c r="V29" s="18"/>
      <c r="W29" s="18"/>
      <c r="X29" s="18"/>
      <c r="Y29" s="18"/>
    </row>
    <row r="30" spans="1:25" ht="24" customHeight="1" x14ac:dyDescent="0.3">
      <c r="A30" s="287"/>
      <c r="B30" s="24" t="s">
        <v>145</v>
      </c>
      <c r="C30" s="32">
        <v>8</v>
      </c>
      <c r="D30" s="32"/>
      <c r="E30" s="54">
        <v>4</v>
      </c>
      <c r="F30" s="22"/>
      <c r="G30" s="25"/>
      <c r="H30" s="43"/>
      <c r="I30" s="50"/>
      <c r="J30" s="10"/>
      <c r="K30" s="50"/>
      <c r="L30" s="7">
        <v>1</v>
      </c>
      <c r="M30" s="50"/>
      <c r="N30" s="7"/>
      <c r="O30" s="50"/>
      <c r="P30" s="7"/>
      <c r="Q30" s="50"/>
      <c r="R30" s="7"/>
      <c r="S30" s="50"/>
      <c r="U30" s="18"/>
      <c r="V30" s="18"/>
      <c r="W30" s="18"/>
      <c r="X30" s="18"/>
      <c r="Y30" s="18"/>
    </row>
    <row r="31" spans="1:25" ht="24" customHeight="1" x14ac:dyDescent="0.3">
      <c r="A31" s="287"/>
      <c r="B31" s="24" t="s">
        <v>130</v>
      </c>
      <c r="C31" s="32">
        <v>2</v>
      </c>
      <c r="D31" s="32"/>
      <c r="E31" s="54"/>
      <c r="F31" s="22"/>
      <c r="G31" s="25"/>
      <c r="H31" s="43"/>
      <c r="I31" s="50"/>
      <c r="J31" s="10"/>
      <c r="K31" s="50"/>
      <c r="L31" s="7"/>
      <c r="M31" s="50"/>
      <c r="N31" s="7"/>
      <c r="O31" s="50"/>
      <c r="P31" s="7"/>
      <c r="Q31" s="50"/>
      <c r="R31" s="7"/>
      <c r="S31" s="50"/>
      <c r="U31" s="18"/>
      <c r="V31" s="18"/>
      <c r="W31" s="18"/>
      <c r="X31" s="18"/>
      <c r="Y31" s="18"/>
    </row>
    <row r="32" spans="1:25" ht="24" customHeight="1" x14ac:dyDescent="0.3">
      <c r="A32" s="287"/>
      <c r="B32" s="24" t="s">
        <v>131</v>
      </c>
      <c r="C32" s="32">
        <v>1</v>
      </c>
      <c r="D32" s="32"/>
      <c r="E32" s="54"/>
      <c r="F32" s="22"/>
      <c r="G32" s="25"/>
      <c r="H32" s="43"/>
      <c r="I32" s="50"/>
      <c r="J32" s="10"/>
      <c r="K32" s="50"/>
      <c r="L32" s="7"/>
      <c r="M32" s="50"/>
      <c r="N32" s="7"/>
      <c r="O32" s="50"/>
      <c r="P32" s="7"/>
      <c r="Q32" s="50"/>
      <c r="R32" s="7"/>
      <c r="S32" s="50"/>
      <c r="U32" s="18"/>
      <c r="V32" s="18"/>
      <c r="W32" s="18"/>
      <c r="X32" s="18"/>
      <c r="Y32" s="18"/>
    </row>
    <row r="33" spans="1:25" ht="24" customHeight="1" x14ac:dyDescent="0.3">
      <c r="A33" s="287"/>
      <c r="B33" s="24" t="s">
        <v>132</v>
      </c>
      <c r="C33" s="32">
        <v>2</v>
      </c>
      <c r="D33" s="32"/>
      <c r="E33" s="54"/>
      <c r="F33" s="22"/>
      <c r="G33" s="25"/>
      <c r="H33" s="43"/>
      <c r="I33" s="50"/>
      <c r="J33" s="10"/>
      <c r="K33" s="50"/>
      <c r="L33" s="7"/>
      <c r="M33" s="50"/>
      <c r="N33" s="7"/>
      <c r="O33" s="50"/>
      <c r="P33" s="7"/>
      <c r="Q33" s="50"/>
      <c r="R33" s="7"/>
      <c r="S33" s="50"/>
      <c r="U33" s="18"/>
      <c r="V33" s="18"/>
      <c r="W33" s="18"/>
      <c r="X33" s="18"/>
      <c r="Y33" s="18"/>
    </row>
    <row r="34" spans="1:25" ht="24" customHeight="1" x14ac:dyDescent="0.3">
      <c r="A34" s="287"/>
      <c r="B34" s="24" t="s">
        <v>133</v>
      </c>
      <c r="C34" s="32"/>
      <c r="D34" s="32"/>
      <c r="E34" s="54"/>
      <c r="F34" s="22"/>
      <c r="G34" s="25"/>
      <c r="H34" s="7"/>
      <c r="I34" s="50"/>
      <c r="J34" s="10"/>
      <c r="K34" s="50"/>
      <c r="L34" s="7"/>
      <c r="M34" s="50"/>
      <c r="N34" s="7"/>
      <c r="O34" s="50"/>
      <c r="P34" s="7"/>
      <c r="Q34" s="50"/>
      <c r="R34" s="7"/>
      <c r="S34" s="50"/>
      <c r="U34" s="18"/>
      <c r="V34" s="18"/>
      <c r="W34" s="18"/>
      <c r="X34" s="18"/>
      <c r="Y34" s="18"/>
    </row>
    <row r="35" spans="1:25" ht="24" customHeight="1" x14ac:dyDescent="0.3">
      <c r="A35" s="287"/>
      <c r="B35" s="24" t="s">
        <v>135</v>
      </c>
      <c r="C35" s="32"/>
      <c r="D35" s="32"/>
      <c r="E35" s="54"/>
      <c r="F35" s="22"/>
      <c r="G35" s="25"/>
      <c r="H35" s="7"/>
      <c r="I35" s="50"/>
      <c r="J35" s="10"/>
      <c r="K35" s="50"/>
      <c r="L35" s="7"/>
      <c r="M35" s="50"/>
      <c r="N35" s="7"/>
      <c r="O35" s="50"/>
      <c r="P35" s="7"/>
      <c r="Q35" s="50"/>
      <c r="R35" s="7"/>
      <c r="S35" s="50"/>
      <c r="U35" s="18"/>
      <c r="V35" s="18"/>
      <c r="W35" s="18"/>
      <c r="X35" s="18"/>
      <c r="Y35" s="18"/>
    </row>
    <row r="36" spans="1:25" ht="24" customHeight="1" x14ac:dyDescent="0.3">
      <c r="A36" s="287"/>
      <c r="B36" s="24" t="s">
        <v>141</v>
      </c>
      <c r="C36" s="32"/>
      <c r="D36" s="56"/>
      <c r="E36" s="54"/>
      <c r="F36" s="22"/>
      <c r="G36" s="25"/>
      <c r="H36" s="43"/>
      <c r="I36" s="50"/>
      <c r="J36" s="10"/>
      <c r="K36" s="50"/>
      <c r="L36" s="7"/>
      <c r="M36" s="50"/>
      <c r="N36" s="7"/>
      <c r="O36" s="50"/>
      <c r="P36" s="7"/>
      <c r="Q36" s="76"/>
      <c r="R36" s="7"/>
      <c r="S36" s="50"/>
      <c r="U36" s="18"/>
      <c r="V36" s="18"/>
      <c r="W36" s="18"/>
      <c r="X36" s="18"/>
      <c r="Y36" s="18"/>
    </row>
    <row r="37" spans="1:25" ht="24" customHeight="1" x14ac:dyDescent="0.3">
      <c r="A37" s="287"/>
      <c r="B37" s="24" t="s">
        <v>142</v>
      </c>
      <c r="C37" s="32"/>
      <c r="D37" s="32"/>
      <c r="E37" s="54">
        <v>1</v>
      </c>
      <c r="F37" s="22"/>
      <c r="G37" s="25"/>
      <c r="H37" s="43"/>
      <c r="I37" s="50"/>
      <c r="J37" s="10"/>
      <c r="K37" s="50"/>
      <c r="L37" s="7"/>
      <c r="M37" s="50"/>
      <c r="N37" s="7"/>
      <c r="O37" s="50"/>
      <c r="P37" s="7"/>
      <c r="Q37" s="50"/>
      <c r="R37" s="7"/>
      <c r="S37" s="50"/>
      <c r="U37" s="18"/>
      <c r="V37" s="18"/>
      <c r="W37" s="18"/>
      <c r="X37" s="18"/>
      <c r="Y37" s="18"/>
    </row>
    <row r="38" spans="1:25" ht="24" customHeight="1" x14ac:dyDescent="0.3">
      <c r="A38" s="287"/>
      <c r="B38" s="24" t="s">
        <v>144</v>
      </c>
      <c r="C38" s="32"/>
      <c r="D38" s="32"/>
      <c r="E38" s="101"/>
      <c r="F38" s="22"/>
      <c r="G38" s="25"/>
      <c r="H38" s="43"/>
      <c r="I38" s="50"/>
      <c r="J38" s="10"/>
      <c r="K38" s="50"/>
      <c r="L38" s="7"/>
      <c r="M38" s="50"/>
      <c r="N38" s="7"/>
      <c r="O38" s="50"/>
      <c r="P38" s="7"/>
      <c r="Q38" s="50"/>
      <c r="R38" s="7"/>
      <c r="S38" s="50"/>
      <c r="U38" s="18"/>
      <c r="V38" s="18"/>
      <c r="W38" s="18"/>
      <c r="X38" s="18"/>
      <c r="Y38" s="18"/>
    </row>
    <row r="39" spans="1:25" ht="24" customHeight="1" x14ac:dyDescent="0.3">
      <c r="A39" s="287"/>
      <c r="B39" s="24" t="s">
        <v>146</v>
      </c>
      <c r="C39" s="32"/>
      <c r="D39" s="32"/>
      <c r="E39" s="54"/>
      <c r="F39" s="22"/>
      <c r="G39" s="25"/>
      <c r="H39" s="43"/>
      <c r="I39" s="50"/>
      <c r="J39" s="10"/>
      <c r="K39" s="50"/>
      <c r="L39" s="7"/>
      <c r="M39" s="50"/>
      <c r="N39" s="7"/>
      <c r="O39" s="50"/>
      <c r="P39" s="7"/>
      <c r="Q39" s="50"/>
      <c r="R39" s="7"/>
      <c r="S39" s="50"/>
      <c r="U39" s="18"/>
      <c r="V39" s="18"/>
      <c r="W39" s="18"/>
      <c r="X39" s="18"/>
      <c r="Y39" s="18"/>
    </row>
    <row r="40" spans="1:25" ht="24" customHeight="1" x14ac:dyDescent="0.3">
      <c r="A40" s="287"/>
      <c r="B40" s="24" t="s">
        <v>136</v>
      </c>
      <c r="C40" s="32"/>
      <c r="D40" s="32"/>
      <c r="E40" s="54"/>
      <c r="F40" s="22"/>
      <c r="G40" s="25"/>
      <c r="H40" s="43"/>
      <c r="I40" s="50"/>
      <c r="J40" s="10"/>
      <c r="K40" s="50"/>
      <c r="L40" s="7"/>
      <c r="M40" s="50"/>
      <c r="N40" s="7"/>
      <c r="O40" s="50"/>
      <c r="P40" s="7"/>
      <c r="Q40" s="50"/>
      <c r="R40" s="7"/>
      <c r="S40" s="50"/>
      <c r="U40" s="18"/>
      <c r="V40" s="18"/>
      <c r="W40" s="18"/>
      <c r="X40" s="18"/>
      <c r="Y40" s="18"/>
    </row>
    <row r="41" spans="1:25" ht="24" customHeight="1" x14ac:dyDescent="0.3">
      <c r="A41" s="287"/>
      <c r="B41" s="24" t="s">
        <v>139</v>
      </c>
      <c r="C41" s="32"/>
      <c r="D41" s="32"/>
      <c r="E41" s="54"/>
      <c r="F41" s="22"/>
      <c r="G41" s="25"/>
      <c r="H41" s="10"/>
      <c r="I41" s="50"/>
      <c r="J41" s="10"/>
      <c r="K41" s="50"/>
      <c r="L41" s="7"/>
      <c r="M41" s="50"/>
      <c r="N41" s="7"/>
      <c r="O41" s="50"/>
      <c r="P41" s="7"/>
      <c r="Q41" s="50"/>
      <c r="R41" s="7"/>
      <c r="S41" s="50"/>
      <c r="U41" s="18"/>
      <c r="V41" s="18"/>
      <c r="W41" s="18"/>
      <c r="X41" s="18"/>
      <c r="Y41" s="18"/>
    </row>
    <row r="42" spans="1:25" ht="24" customHeight="1" x14ac:dyDescent="0.3">
      <c r="A42" s="287"/>
      <c r="B42" s="24" t="s">
        <v>137</v>
      </c>
      <c r="C42" s="32"/>
      <c r="D42" s="32"/>
      <c r="E42" s="54"/>
      <c r="F42" s="22"/>
      <c r="G42" s="25"/>
      <c r="H42" s="7"/>
      <c r="I42" s="50"/>
      <c r="J42" s="10"/>
      <c r="K42" s="50"/>
      <c r="L42" s="7"/>
      <c r="M42" s="50"/>
      <c r="N42" s="7"/>
      <c r="O42" s="50"/>
      <c r="P42" s="7"/>
      <c r="Q42" s="50"/>
      <c r="R42" s="7"/>
      <c r="S42" s="50"/>
      <c r="U42" s="18"/>
      <c r="V42" s="18"/>
      <c r="W42" s="18"/>
      <c r="X42" s="18"/>
      <c r="Y42" s="18"/>
    </row>
    <row r="43" spans="1:25" ht="27" thickBot="1" x14ac:dyDescent="0.35">
      <c r="A43" s="288"/>
      <c r="B43" s="26"/>
      <c r="C43" s="27">
        <f>SUM(C23:C42)</f>
        <v>23</v>
      </c>
      <c r="D43" s="27">
        <f>SUM(D23:D42)</f>
        <v>0</v>
      </c>
      <c r="E43" s="27">
        <f>SUM(E23:E42)</f>
        <v>10</v>
      </c>
      <c r="F43" s="27">
        <f>SUM(F23:F42)</f>
        <v>0</v>
      </c>
      <c r="G43" s="183"/>
      <c r="H43" s="2">
        <f t="shared" ref="H43:S43" si="2">SUM(H23:H42)</f>
        <v>0</v>
      </c>
      <c r="I43" s="2">
        <f t="shared" si="2"/>
        <v>0</v>
      </c>
      <c r="J43" s="2">
        <f t="shared" si="2"/>
        <v>0</v>
      </c>
      <c r="K43" s="2">
        <f t="shared" si="2"/>
        <v>0</v>
      </c>
      <c r="L43" s="2">
        <f t="shared" si="2"/>
        <v>1</v>
      </c>
      <c r="M43" s="2">
        <f t="shared" si="2"/>
        <v>0</v>
      </c>
      <c r="N43" s="2">
        <f t="shared" si="2"/>
        <v>1</v>
      </c>
      <c r="O43" s="2">
        <f t="shared" si="2"/>
        <v>0</v>
      </c>
      <c r="P43" s="2">
        <f t="shared" si="2"/>
        <v>0</v>
      </c>
      <c r="Q43" s="2">
        <f t="shared" si="2"/>
        <v>0</v>
      </c>
      <c r="R43" s="2">
        <f t="shared" si="2"/>
        <v>0</v>
      </c>
      <c r="S43" s="2">
        <f t="shared" si="2"/>
        <v>0</v>
      </c>
    </row>
    <row r="44" spans="1:25" ht="24" customHeight="1" thickTop="1" x14ac:dyDescent="0.3">
      <c r="A44" s="252" t="s">
        <v>13</v>
      </c>
      <c r="B44" s="3" t="s">
        <v>28</v>
      </c>
      <c r="C44" s="7"/>
      <c r="D44" s="7"/>
      <c r="E44" s="50"/>
      <c r="F44" s="50"/>
      <c r="G44" s="183"/>
      <c r="H44" s="7"/>
      <c r="I44" s="50"/>
      <c r="J44" s="10"/>
      <c r="K44" s="50"/>
      <c r="L44" s="7"/>
      <c r="M44" s="50"/>
      <c r="N44" s="7"/>
      <c r="O44" s="50"/>
      <c r="P44" s="7"/>
      <c r="Q44" s="50"/>
      <c r="R44" s="7"/>
      <c r="S44" s="50"/>
    </row>
    <row r="45" spans="1:25" ht="24" customHeight="1" x14ac:dyDescent="0.3">
      <c r="A45" s="252"/>
      <c r="B45" s="3" t="s">
        <v>29</v>
      </c>
      <c r="C45" s="77"/>
      <c r="D45" s="7"/>
      <c r="E45" s="50"/>
      <c r="F45" s="50"/>
      <c r="G45" s="183"/>
      <c r="H45" s="7"/>
      <c r="I45" s="50"/>
      <c r="J45" s="10"/>
      <c r="K45" s="50"/>
      <c r="L45" s="7"/>
      <c r="M45" s="50"/>
      <c r="N45" s="7"/>
      <c r="O45" s="50"/>
      <c r="P45" s="7"/>
      <c r="Q45" s="50"/>
      <c r="R45" s="7"/>
      <c r="S45" s="50"/>
    </row>
    <row r="46" spans="1:25" ht="24" customHeight="1" x14ac:dyDescent="0.3">
      <c r="A46" s="252"/>
      <c r="B46" s="3" t="s">
        <v>125</v>
      </c>
      <c r="C46" s="7"/>
      <c r="D46" s="7"/>
      <c r="E46" s="50"/>
      <c r="F46" s="50"/>
      <c r="G46" s="183"/>
      <c r="H46" s="7"/>
      <c r="I46" s="50"/>
      <c r="J46" s="10"/>
      <c r="K46" s="50"/>
      <c r="L46" s="7">
        <v>1</v>
      </c>
      <c r="M46" s="50"/>
      <c r="N46" s="7">
        <v>1</v>
      </c>
      <c r="O46" s="50"/>
      <c r="P46" s="7"/>
      <c r="Q46" s="50"/>
      <c r="R46" s="7"/>
      <c r="S46" s="50"/>
    </row>
    <row r="47" spans="1:25" ht="24" customHeight="1" x14ac:dyDescent="0.3">
      <c r="A47" s="252"/>
      <c r="B47" s="3" t="s">
        <v>121</v>
      </c>
      <c r="C47" s="7"/>
      <c r="D47" s="7"/>
      <c r="E47" s="50"/>
      <c r="F47" s="50"/>
      <c r="G47" s="183"/>
      <c r="H47" s="7"/>
      <c r="I47" s="50"/>
      <c r="J47" s="10">
        <v>1</v>
      </c>
      <c r="K47" s="50">
        <v>1</v>
      </c>
      <c r="L47" s="7">
        <v>1</v>
      </c>
      <c r="M47" s="50"/>
      <c r="N47" s="7"/>
      <c r="O47" s="50"/>
      <c r="P47" s="7"/>
      <c r="Q47" s="50"/>
      <c r="R47" s="7"/>
      <c r="S47" s="50"/>
    </row>
    <row r="48" spans="1:25" ht="24" customHeight="1" x14ac:dyDescent="0.3">
      <c r="A48" s="252"/>
      <c r="B48" s="3" t="s">
        <v>122</v>
      </c>
      <c r="C48" s="7"/>
      <c r="D48" s="7"/>
      <c r="E48" s="50"/>
      <c r="F48" s="50"/>
      <c r="G48" s="183"/>
      <c r="H48" s="7"/>
      <c r="I48" s="50"/>
      <c r="J48" s="10"/>
      <c r="K48" s="50"/>
      <c r="L48" s="7"/>
      <c r="M48" s="50"/>
      <c r="N48" s="7"/>
      <c r="O48" s="50"/>
      <c r="P48" s="7">
        <v>1</v>
      </c>
      <c r="Q48" s="50"/>
      <c r="R48" s="7"/>
      <c r="S48" s="50"/>
    </row>
    <row r="49" spans="1:37" ht="24" customHeight="1" x14ac:dyDescent="0.3">
      <c r="A49" s="252"/>
      <c r="B49" s="3" t="s">
        <v>123</v>
      </c>
      <c r="C49" s="7"/>
      <c r="D49" s="7"/>
      <c r="E49" s="50"/>
      <c r="F49" s="50"/>
      <c r="G49" s="183"/>
      <c r="H49" s="7"/>
      <c r="I49" s="50"/>
      <c r="J49" s="10"/>
      <c r="K49" s="50"/>
      <c r="L49" s="7"/>
      <c r="M49" s="50"/>
      <c r="N49" s="7"/>
      <c r="O49" s="50"/>
      <c r="P49" s="7"/>
      <c r="Q49" s="50"/>
      <c r="R49" s="7"/>
      <c r="S49" s="50"/>
    </row>
    <row r="50" spans="1:37" ht="24" customHeight="1" x14ac:dyDescent="0.3">
      <c r="A50" s="252"/>
      <c r="B50" s="100" t="s">
        <v>126</v>
      </c>
      <c r="C50" s="7"/>
      <c r="D50" s="7"/>
      <c r="E50" s="50"/>
      <c r="F50" s="50"/>
      <c r="G50" s="183"/>
      <c r="H50" s="7"/>
      <c r="I50" s="50"/>
      <c r="J50" s="10"/>
      <c r="K50" s="50">
        <v>3</v>
      </c>
      <c r="L50" s="7"/>
      <c r="M50" s="50">
        <v>2</v>
      </c>
      <c r="N50" s="7"/>
      <c r="O50" s="50"/>
      <c r="P50" s="7"/>
      <c r="Q50" s="50"/>
      <c r="R50" s="7"/>
      <c r="S50" s="50"/>
    </row>
    <row r="51" spans="1:37" ht="24" customHeight="1" x14ac:dyDescent="0.3">
      <c r="A51" s="252"/>
      <c r="B51" s="100" t="s">
        <v>124</v>
      </c>
      <c r="C51" s="7"/>
      <c r="D51" s="7"/>
      <c r="E51" s="50"/>
      <c r="F51" s="50"/>
      <c r="G51" s="183"/>
      <c r="H51" s="7"/>
      <c r="I51" s="50"/>
      <c r="J51" s="10">
        <v>1</v>
      </c>
      <c r="K51" s="50"/>
      <c r="L51" s="7">
        <v>2</v>
      </c>
      <c r="M51" s="50"/>
      <c r="N51" s="7"/>
      <c r="O51" s="50"/>
      <c r="P51" s="7"/>
      <c r="Q51" s="50"/>
      <c r="R51" s="7"/>
      <c r="S51" s="50"/>
    </row>
    <row r="52" spans="1:37" ht="26.25" x14ac:dyDescent="0.3">
      <c r="A52" s="279"/>
      <c r="B52" s="122"/>
      <c r="C52" s="123">
        <f>SUM(C44:C51)</f>
        <v>0</v>
      </c>
      <c r="D52" s="123">
        <f>SUM(D44:D51)</f>
        <v>0</v>
      </c>
      <c r="E52" s="123">
        <f>SUM(E44:E51)</f>
        <v>0</v>
      </c>
      <c r="F52" s="123">
        <f>SUM(F44:F51)</f>
        <v>0</v>
      </c>
      <c r="G52" s="183"/>
      <c r="H52" s="2">
        <f t="shared" ref="H52:S52" si="3">SUM(H44:H51)</f>
        <v>0</v>
      </c>
      <c r="I52" s="123">
        <f t="shared" si="3"/>
        <v>0</v>
      </c>
      <c r="J52" s="123">
        <f t="shared" si="3"/>
        <v>2</v>
      </c>
      <c r="K52" s="123">
        <f t="shared" si="3"/>
        <v>4</v>
      </c>
      <c r="L52" s="123">
        <f t="shared" si="3"/>
        <v>4</v>
      </c>
      <c r="M52" s="123">
        <f t="shared" si="3"/>
        <v>2</v>
      </c>
      <c r="N52" s="123">
        <f t="shared" si="3"/>
        <v>1</v>
      </c>
      <c r="O52" s="123">
        <f t="shared" si="3"/>
        <v>0</v>
      </c>
      <c r="P52" s="123">
        <f t="shared" si="3"/>
        <v>1</v>
      </c>
      <c r="Q52" s="123">
        <f t="shared" si="3"/>
        <v>0</v>
      </c>
      <c r="R52" s="123">
        <f t="shared" si="3"/>
        <v>0</v>
      </c>
      <c r="S52" s="123">
        <f t="shared" si="3"/>
        <v>0</v>
      </c>
      <c r="Y52" s="254"/>
      <c r="Z52" s="254"/>
      <c r="AA52" s="254"/>
      <c r="AB52" s="254"/>
      <c r="AD52" s="234"/>
      <c r="AE52" s="234"/>
      <c r="AF52" s="234"/>
      <c r="AG52" s="234"/>
      <c r="AH52" s="234"/>
      <c r="AJ52" s="234"/>
      <c r="AK52" s="234"/>
    </row>
    <row r="53" spans="1:37" ht="24" customHeight="1" x14ac:dyDescent="0.3">
      <c r="A53" s="253" t="s">
        <v>118</v>
      </c>
      <c r="B53" s="3" t="s">
        <v>171</v>
      </c>
      <c r="C53" s="7"/>
      <c r="D53" s="7"/>
      <c r="E53" s="50"/>
      <c r="F53" s="50"/>
      <c r="G53" s="183"/>
      <c r="H53" s="7"/>
      <c r="I53" s="50"/>
      <c r="J53" s="10"/>
      <c r="K53" s="50"/>
      <c r="L53" s="7"/>
      <c r="M53" s="50"/>
      <c r="N53" s="7"/>
      <c r="O53" s="50"/>
      <c r="P53" s="7"/>
      <c r="Q53" s="50"/>
      <c r="R53" s="7"/>
      <c r="S53" s="50"/>
    </row>
    <row r="54" spans="1:37" ht="24" customHeight="1" x14ac:dyDescent="0.3">
      <c r="A54" s="253"/>
      <c r="B54" s="3" t="s">
        <v>168</v>
      </c>
      <c r="C54" s="7"/>
      <c r="D54" s="7"/>
      <c r="E54" s="50"/>
      <c r="F54" s="50"/>
      <c r="G54" s="183"/>
      <c r="H54" s="7"/>
      <c r="I54" s="50"/>
      <c r="J54" s="10"/>
      <c r="K54" s="50"/>
      <c r="L54" s="7"/>
      <c r="M54" s="50"/>
      <c r="N54" s="7"/>
      <c r="O54" s="50"/>
      <c r="P54" s="7"/>
      <c r="Q54" s="50"/>
      <c r="R54" s="7"/>
      <c r="S54" s="50"/>
    </row>
    <row r="55" spans="1:37" ht="24" customHeight="1" x14ac:dyDescent="0.3">
      <c r="A55" s="253"/>
      <c r="B55" s="3" t="s">
        <v>170</v>
      </c>
      <c r="C55" s="7"/>
      <c r="D55" s="7"/>
      <c r="E55" s="50"/>
      <c r="F55" s="50"/>
      <c r="G55" s="183"/>
      <c r="H55" s="7"/>
      <c r="I55" s="50"/>
      <c r="J55" s="10"/>
      <c r="L55" s="7"/>
      <c r="M55" s="50"/>
      <c r="N55" s="7"/>
      <c r="O55" s="50"/>
      <c r="P55" s="7"/>
      <c r="Q55" s="50"/>
      <c r="R55" s="7"/>
      <c r="S55" s="50"/>
    </row>
    <row r="56" spans="1:37" ht="24" customHeight="1" x14ac:dyDescent="0.3">
      <c r="A56" s="253"/>
      <c r="B56" s="100" t="s">
        <v>166</v>
      </c>
      <c r="C56" s="7"/>
      <c r="D56" s="7"/>
      <c r="E56" s="50"/>
      <c r="F56" s="50"/>
      <c r="G56" s="183"/>
      <c r="H56" s="7"/>
      <c r="I56" s="50"/>
      <c r="J56" s="10"/>
      <c r="K56" s="50"/>
      <c r="L56" s="7">
        <v>2</v>
      </c>
      <c r="M56" s="50"/>
      <c r="N56" s="7">
        <v>2</v>
      </c>
      <c r="O56" s="50"/>
      <c r="P56" s="7"/>
      <c r="Q56" s="50"/>
      <c r="R56" s="7"/>
      <c r="S56" s="50"/>
    </row>
    <row r="57" spans="1:37" ht="24" customHeight="1" x14ac:dyDescent="0.3">
      <c r="A57" s="253"/>
      <c r="B57" s="100" t="s">
        <v>167</v>
      </c>
      <c r="C57" s="7"/>
      <c r="D57" s="7"/>
      <c r="E57" s="50"/>
      <c r="F57" s="50"/>
      <c r="G57" s="183"/>
      <c r="H57" s="7"/>
      <c r="I57" s="50"/>
      <c r="J57" s="10"/>
      <c r="K57" s="50"/>
      <c r="L57" s="7"/>
      <c r="M57" s="50"/>
      <c r="N57" s="7">
        <v>1</v>
      </c>
      <c r="O57" s="50">
        <v>1</v>
      </c>
      <c r="P57" s="7"/>
      <c r="Q57" s="50"/>
      <c r="R57" s="7"/>
      <c r="S57" s="50"/>
    </row>
    <row r="58" spans="1:37" ht="24" customHeight="1" x14ac:dyDescent="0.3">
      <c r="A58" s="253"/>
      <c r="B58" s="100" t="s">
        <v>172</v>
      </c>
      <c r="C58" s="7"/>
      <c r="D58" s="7"/>
      <c r="E58" s="50"/>
      <c r="F58" s="50"/>
      <c r="G58" s="183"/>
      <c r="H58" s="7"/>
      <c r="I58" s="50"/>
      <c r="J58" s="10"/>
      <c r="K58" s="50"/>
      <c r="L58" s="7"/>
      <c r="M58" s="50"/>
      <c r="N58" s="7"/>
      <c r="O58" s="50"/>
      <c r="P58" s="7">
        <v>2</v>
      </c>
      <c r="Q58" s="50"/>
      <c r="R58" s="7"/>
      <c r="S58" s="50"/>
    </row>
    <row r="59" spans="1:37" ht="24" customHeight="1" x14ac:dyDescent="0.3">
      <c r="A59" s="253"/>
      <c r="B59" s="100" t="s">
        <v>165</v>
      </c>
      <c r="C59" s="7"/>
      <c r="D59" s="7"/>
      <c r="E59" s="50"/>
      <c r="F59" s="50"/>
      <c r="G59" s="183"/>
      <c r="H59" s="7"/>
      <c r="I59" s="50"/>
      <c r="J59" s="10"/>
      <c r="K59" s="50">
        <v>1</v>
      </c>
      <c r="L59" s="7">
        <v>1</v>
      </c>
      <c r="M59" s="50"/>
      <c r="N59" s="7"/>
      <c r="O59" s="50"/>
      <c r="P59" s="7"/>
      <c r="Q59" s="50"/>
      <c r="R59" s="7"/>
      <c r="S59" s="50"/>
    </row>
    <row r="60" spans="1:37" ht="24" customHeight="1" x14ac:dyDescent="0.3">
      <c r="A60" s="253"/>
      <c r="B60" s="3" t="s">
        <v>173</v>
      </c>
      <c r="C60" s="7"/>
      <c r="D60" s="7"/>
      <c r="E60" s="50"/>
      <c r="F60" s="50"/>
      <c r="G60" s="183"/>
      <c r="H60" s="7"/>
      <c r="I60" s="50"/>
      <c r="J60" s="10"/>
      <c r="K60" s="50"/>
      <c r="L60" s="7"/>
      <c r="M60" s="50"/>
      <c r="N60" s="7"/>
      <c r="O60" s="50"/>
      <c r="P60" s="7"/>
      <c r="Q60" s="50"/>
      <c r="R60" s="7"/>
      <c r="S60" s="50"/>
    </row>
    <row r="61" spans="1:37" ht="24" customHeight="1" x14ac:dyDescent="0.3">
      <c r="A61" s="253"/>
      <c r="B61" s="3" t="s">
        <v>169</v>
      </c>
      <c r="C61" s="7"/>
      <c r="D61" s="7"/>
      <c r="E61" s="50"/>
      <c r="F61" s="50"/>
      <c r="G61" s="183"/>
      <c r="H61" s="7"/>
      <c r="I61" s="50"/>
      <c r="J61" s="10"/>
      <c r="K61" s="50">
        <v>1</v>
      </c>
      <c r="L61" s="7"/>
      <c r="M61" s="50"/>
      <c r="N61" s="7"/>
      <c r="O61" s="50"/>
      <c r="P61" s="7"/>
      <c r="Q61" s="50"/>
      <c r="R61" s="7"/>
      <c r="S61" s="50"/>
    </row>
    <row r="62" spans="1:37" ht="26.25" x14ac:dyDescent="0.3">
      <c r="A62" s="253"/>
      <c r="B62" s="2"/>
      <c r="C62" s="2">
        <f>SUM(C53:C61)</f>
        <v>0</v>
      </c>
      <c r="D62" s="2">
        <f>SUM(D53:D61)</f>
        <v>0</v>
      </c>
      <c r="E62" s="2">
        <f>SUM(E53:E61)</f>
        <v>0</v>
      </c>
      <c r="F62" s="2">
        <f>SUM(F53:F61)</f>
        <v>0</v>
      </c>
      <c r="G62" s="183"/>
      <c r="H62" s="2">
        <f t="shared" ref="H62:S62" si="4">SUM(H53:H61)</f>
        <v>0</v>
      </c>
      <c r="I62" s="2">
        <f t="shared" si="4"/>
        <v>0</v>
      </c>
      <c r="J62" s="2">
        <f t="shared" si="4"/>
        <v>0</v>
      </c>
      <c r="K62" s="2">
        <f t="shared" si="4"/>
        <v>2</v>
      </c>
      <c r="L62" s="2">
        <f t="shared" si="4"/>
        <v>3</v>
      </c>
      <c r="M62" s="2">
        <f t="shared" si="4"/>
        <v>0</v>
      </c>
      <c r="N62" s="2">
        <f t="shared" si="4"/>
        <v>3</v>
      </c>
      <c r="O62" s="2">
        <f t="shared" si="4"/>
        <v>1</v>
      </c>
      <c r="P62" s="2">
        <f t="shared" si="4"/>
        <v>2</v>
      </c>
      <c r="Q62" s="2">
        <f t="shared" si="4"/>
        <v>0</v>
      </c>
      <c r="R62" s="2">
        <f t="shared" si="4"/>
        <v>0</v>
      </c>
      <c r="S62" s="2">
        <f t="shared" si="4"/>
        <v>0</v>
      </c>
      <c r="Y62" s="254"/>
      <c r="Z62" s="254"/>
      <c r="AA62" s="254"/>
      <c r="AB62" s="254"/>
      <c r="AD62" s="234"/>
      <c r="AE62" s="234"/>
      <c r="AF62" s="234"/>
      <c r="AG62" s="234"/>
      <c r="AH62" s="234"/>
      <c r="AJ62" s="234"/>
      <c r="AK62" s="234"/>
    </row>
    <row r="64" spans="1:37" ht="19.5" customHeight="1" x14ac:dyDescent="0.35">
      <c r="A64" s="235" t="s">
        <v>23</v>
      </c>
      <c r="B64" s="235"/>
      <c r="C64" s="126">
        <v>47000</v>
      </c>
      <c r="D64" s="126">
        <v>4700</v>
      </c>
      <c r="E64" s="126">
        <v>58000</v>
      </c>
      <c r="F64" s="126">
        <v>5800</v>
      </c>
      <c r="H64" s="126">
        <v>5800</v>
      </c>
      <c r="I64" s="126">
        <v>4700</v>
      </c>
      <c r="J64" s="20">
        <v>6800</v>
      </c>
      <c r="K64" s="20">
        <v>5200</v>
      </c>
      <c r="L64" s="20">
        <v>20700</v>
      </c>
      <c r="M64" s="20">
        <v>6400</v>
      </c>
      <c r="N64" s="20">
        <v>18700</v>
      </c>
      <c r="O64" s="126">
        <v>8800</v>
      </c>
      <c r="P64" s="126">
        <v>15000</v>
      </c>
      <c r="Q64" s="20">
        <v>18700</v>
      </c>
      <c r="R64" s="20">
        <v>25700</v>
      </c>
      <c r="S64" s="20">
        <v>18000</v>
      </c>
      <c r="U64" s="236">
        <f>P67*0.85</f>
        <v>5098725</v>
      </c>
      <c r="V64" s="237"/>
      <c r="W64" s="238"/>
      <c r="Y64" s="242">
        <f>P69-P67</f>
        <v>0</v>
      </c>
      <c r="Z64" s="243"/>
      <c r="AA64" s="243"/>
      <c r="AB64" s="243"/>
      <c r="AD64" s="234"/>
      <c r="AE64" s="234"/>
      <c r="AF64" s="234"/>
      <c r="AG64" s="234"/>
      <c r="AH64" s="234"/>
      <c r="AJ64" s="234"/>
      <c r="AK64" s="234"/>
    </row>
    <row r="65" spans="1:37" ht="19.5" customHeight="1" x14ac:dyDescent="0.35">
      <c r="A65" s="235" t="s">
        <v>24</v>
      </c>
      <c r="B65" s="235"/>
      <c r="C65" s="20">
        <f>C64*C3</f>
        <v>4512000</v>
      </c>
      <c r="D65" s="20">
        <f>D64*D3</f>
        <v>0</v>
      </c>
      <c r="E65" s="20">
        <f>E64*E3</f>
        <v>696000</v>
      </c>
      <c r="F65" s="20">
        <f>F64*F3</f>
        <v>266800</v>
      </c>
      <c r="H65" s="20">
        <f t="shared" ref="H65:S65" si="5">H64*H3</f>
        <v>0</v>
      </c>
      <c r="I65" s="20">
        <f t="shared" si="5"/>
        <v>4700</v>
      </c>
      <c r="J65" s="20">
        <f t="shared" si="5"/>
        <v>34000</v>
      </c>
      <c r="K65" s="20">
        <f t="shared" si="5"/>
        <v>46800</v>
      </c>
      <c r="L65" s="20">
        <f t="shared" si="5"/>
        <v>207000</v>
      </c>
      <c r="M65" s="20">
        <f t="shared" si="5"/>
        <v>12800</v>
      </c>
      <c r="N65" s="20">
        <f t="shared" si="5"/>
        <v>149600</v>
      </c>
      <c r="O65" s="20">
        <f t="shared" si="5"/>
        <v>8800</v>
      </c>
      <c r="P65" s="20">
        <f t="shared" si="5"/>
        <v>60000</v>
      </c>
      <c r="Q65" s="20">
        <f t="shared" si="5"/>
        <v>0</v>
      </c>
      <c r="R65" s="20">
        <f t="shared" si="5"/>
        <v>0</v>
      </c>
      <c r="S65" s="20">
        <f t="shared" si="5"/>
        <v>0</v>
      </c>
      <c r="U65" s="239"/>
      <c r="V65" s="240"/>
      <c r="W65" s="241"/>
      <c r="Y65" s="243"/>
      <c r="Z65" s="243"/>
      <c r="AA65" s="243"/>
      <c r="AB65" s="243"/>
      <c r="AD65" s="234"/>
      <c r="AE65" s="234"/>
      <c r="AF65" s="234"/>
      <c r="AG65" s="234"/>
      <c r="AH65" s="234"/>
      <c r="AJ65" s="234"/>
      <c r="AK65" s="234"/>
    </row>
    <row r="67" spans="1:37" ht="26.25" x14ac:dyDescent="0.3">
      <c r="P67" s="259">
        <f>SUM(C65:S65)</f>
        <v>5998500</v>
      </c>
      <c r="Q67" s="260"/>
      <c r="U67" s="247"/>
      <c r="V67" s="248"/>
      <c r="W67" s="248"/>
      <c r="Y67" s="249"/>
      <c r="Z67" s="250"/>
      <c r="AA67" s="250"/>
      <c r="AB67" s="251"/>
    </row>
    <row r="69" spans="1:37" ht="26.25" x14ac:dyDescent="0.3">
      <c r="C69" s="244"/>
      <c r="D69" s="245"/>
      <c r="P69" s="246">
        <v>5998500</v>
      </c>
      <c r="Q69" s="246"/>
      <c r="U69" s="247">
        <f>P69*0.85</f>
        <v>5098725</v>
      </c>
      <c r="V69" s="248"/>
      <c r="W69" s="248"/>
      <c r="Y69" s="249"/>
      <c r="Z69" s="250"/>
      <c r="AA69" s="250"/>
      <c r="AB69" s="251"/>
    </row>
    <row r="70" spans="1:37" x14ac:dyDescent="0.3">
      <c r="Q70" s="18"/>
      <c r="S70" s="18"/>
      <c r="U70" s="245"/>
      <c r="V70" s="245"/>
      <c r="W70" s="245"/>
      <c r="Y70" s="255"/>
      <c r="Z70" s="256"/>
      <c r="AA70" s="256"/>
      <c r="AB70" s="256"/>
    </row>
    <row r="71" spans="1:37" x14ac:dyDescent="0.3">
      <c r="P71" s="244"/>
      <c r="Q71" s="245"/>
      <c r="U71" s="245"/>
      <c r="V71" s="245"/>
      <c r="W71" s="245"/>
      <c r="Y71" s="245"/>
      <c r="Z71" s="245"/>
      <c r="AA71" s="245"/>
      <c r="AB71" s="245"/>
    </row>
    <row r="72" spans="1:37" x14ac:dyDescent="0.3">
      <c r="P72" s="245"/>
      <c r="Q72" s="245"/>
      <c r="U72" s="245"/>
      <c r="V72" s="245"/>
      <c r="W72" s="245"/>
      <c r="Y72" s="245"/>
      <c r="Z72" s="245"/>
      <c r="AA72" s="245"/>
      <c r="AB72" s="245"/>
    </row>
    <row r="73" spans="1:37" x14ac:dyDescent="0.3">
      <c r="P73" s="18"/>
      <c r="Q73" s="18"/>
      <c r="S73" s="18"/>
      <c r="Y73" s="245"/>
      <c r="Z73" s="245"/>
      <c r="AA73" s="245"/>
      <c r="AB73" s="245"/>
    </row>
    <row r="74" spans="1:37" x14ac:dyDescent="0.3">
      <c r="C74">
        <f>C64*0.85</f>
        <v>39950</v>
      </c>
      <c r="D74">
        <f>D64*0.85</f>
        <v>3995</v>
      </c>
      <c r="E74">
        <f>E64*0.85</f>
        <v>49300</v>
      </c>
      <c r="F74">
        <f>F64*0.85</f>
        <v>4930</v>
      </c>
      <c r="H74">
        <f t="shared" ref="H74:S74" si="6">H64*0.85</f>
        <v>4930</v>
      </c>
      <c r="I74">
        <f t="shared" si="6"/>
        <v>3995</v>
      </c>
      <c r="J74">
        <f t="shared" si="6"/>
        <v>5780</v>
      </c>
      <c r="K74">
        <f t="shared" si="6"/>
        <v>4420</v>
      </c>
      <c r="L74">
        <f t="shared" si="6"/>
        <v>17595</v>
      </c>
      <c r="M74">
        <f t="shared" si="6"/>
        <v>5440</v>
      </c>
      <c r="N74">
        <f t="shared" si="6"/>
        <v>15895</v>
      </c>
      <c r="O74">
        <f t="shared" si="6"/>
        <v>7480</v>
      </c>
      <c r="P74">
        <f t="shared" si="6"/>
        <v>12750</v>
      </c>
      <c r="Q74">
        <f t="shared" si="6"/>
        <v>15895</v>
      </c>
      <c r="R74">
        <f t="shared" si="6"/>
        <v>21845</v>
      </c>
      <c r="S74">
        <f t="shared" si="6"/>
        <v>15300</v>
      </c>
    </row>
    <row r="75" spans="1:37" x14ac:dyDescent="0.3">
      <c r="C75">
        <v>29500</v>
      </c>
      <c r="D75">
        <v>2950</v>
      </c>
      <c r="E75">
        <v>51000</v>
      </c>
      <c r="F75">
        <v>5100</v>
      </c>
      <c r="H75">
        <v>3600</v>
      </c>
      <c r="I75">
        <v>2950</v>
      </c>
      <c r="J75">
        <v>4000</v>
      </c>
      <c r="K75">
        <v>4200</v>
      </c>
      <c r="L75">
        <v>15000</v>
      </c>
      <c r="M75">
        <v>4500</v>
      </c>
      <c r="N75">
        <v>9500</v>
      </c>
      <c r="O75">
        <v>12000</v>
      </c>
      <c r="P75">
        <v>8000</v>
      </c>
      <c r="Q75">
        <v>12000</v>
      </c>
      <c r="R75">
        <v>8500</v>
      </c>
    </row>
    <row r="76" spans="1:37" x14ac:dyDescent="0.3">
      <c r="C76">
        <f>C74-C75</f>
        <v>10450</v>
      </c>
      <c r="D76">
        <f t="shared" ref="D76:R76" si="7">D74-D75</f>
        <v>1045</v>
      </c>
      <c r="E76">
        <f t="shared" si="7"/>
        <v>-1700</v>
      </c>
      <c r="F76">
        <f t="shared" si="7"/>
        <v>-170</v>
      </c>
      <c r="H76">
        <f t="shared" si="7"/>
        <v>1330</v>
      </c>
      <c r="I76">
        <f t="shared" si="7"/>
        <v>1045</v>
      </c>
      <c r="J76">
        <f t="shared" si="7"/>
        <v>1780</v>
      </c>
      <c r="K76">
        <f t="shared" si="7"/>
        <v>220</v>
      </c>
      <c r="L76">
        <f t="shared" si="7"/>
        <v>2595</v>
      </c>
      <c r="M76">
        <f t="shared" si="7"/>
        <v>940</v>
      </c>
      <c r="N76">
        <f t="shared" si="7"/>
        <v>6395</v>
      </c>
      <c r="O76">
        <f t="shared" si="7"/>
        <v>-4520</v>
      </c>
      <c r="P76">
        <f t="shared" si="7"/>
        <v>4750</v>
      </c>
      <c r="Q76">
        <f t="shared" si="7"/>
        <v>3895</v>
      </c>
      <c r="R76">
        <f t="shared" si="7"/>
        <v>13345</v>
      </c>
    </row>
    <row r="77" spans="1:37" x14ac:dyDescent="0.3">
      <c r="C77">
        <f t="shared" ref="C77:R77" si="8">C76*C3</f>
        <v>1003200</v>
      </c>
      <c r="D77">
        <f t="shared" si="8"/>
        <v>0</v>
      </c>
      <c r="E77">
        <f t="shared" si="8"/>
        <v>-20400</v>
      </c>
      <c r="F77">
        <f t="shared" si="8"/>
        <v>-7820</v>
      </c>
      <c r="G77">
        <f t="shared" si="8"/>
        <v>0</v>
      </c>
      <c r="H77">
        <f t="shared" si="8"/>
        <v>0</v>
      </c>
      <c r="I77">
        <f t="shared" si="8"/>
        <v>1045</v>
      </c>
      <c r="J77">
        <f t="shared" si="8"/>
        <v>8900</v>
      </c>
      <c r="K77">
        <f t="shared" si="8"/>
        <v>1980</v>
      </c>
      <c r="L77">
        <f t="shared" si="8"/>
        <v>25950</v>
      </c>
      <c r="M77">
        <f t="shared" si="8"/>
        <v>1880</v>
      </c>
      <c r="N77">
        <f t="shared" si="8"/>
        <v>51160</v>
      </c>
      <c r="O77">
        <f t="shared" si="8"/>
        <v>-4520</v>
      </c>
      <c r="P77">
        <f t="shared" si="8"/>
        <v>19000</v>
      </c>
      <c r="Q77">
        <f t="shared" si="8"/>
        <v>0</v>
      </c>
      <c r="R77">
        <f t="shared" si="8"/>
        <v>0</v>
      </c>
      <c r="X77" s="245"/>
      <c r="Y77" s="245"/>
      <c r="Z77" s="245"/>
      <c r="AA77" s="245"/>
      <c r="AB77" s="245"/>
    </row>
    <row r="78" spans="1:37" x14ac:dyDescent="0.3">
      <c r="X78" s="245"/>
      <c r="Y78" s="245"/>
      <c r="Z78" s="245"/>
      <c r="AA78" s="245"/>
      <c r="AB78" s="245"/>
    </row>
    <row r="79" spans="1:37" ht="26.25" x14ac:dyDescent="0.3">
      <c r="P79" s="257">
        <f>SUM(C77:R77)</f>
        <v>1080375</v>
      </c>
      <c r="Q79" s="258"/>
    </row>
  </sheetData>
  <mergeCells count="31">
    <mergeCell ref="A1:B2"/>
    <mergeCell ref="C1:D1"/>
    <mergeCell ref="E1:F1"/>
    <mergeCell ref="A4:A22"/>
    <mergeCell ref="A23:A43"/>
    <mergeCell ref="A44:A52"/>
    <mergeCell ref="AD64:AH65"/>
    <mergeCell ref="AJ64:AK65"/>
    <mergeCell ref="A65:B65"/>
    <mergeCell ref="Y52:AB52"/>
    <mergeCell ref="AD52:AH52"/>
    <mergeCell ref="AJ52:AK52"/>
    <mergeCell ref="A53:A62"/>
    <mergeCell ref="Y62:AB62"/>
    <mergeCell ref="AD62:AH62"/>
    <mergeCell ref="AJ62:AK62"/>
    <mergeCell ref="C69:D69"/>
    <mergeCell ref="P69:Q69"/>
    <mergeCell ref="U69:W69"/>
    <mergeCell ref="Y69:AB69"/>
    <mergeCell ref="A64:B64"/>
    <mergeCell ref="U64:W65"/>
    <mergeCell ref="Y64:AB65"/>
    <mergeCell ref="U70:W72"/>
    <mergeCell ref="Y70:AB73"/>
    <mergeCell ref="P71:Q72"/>
    <mergeCell ref="X77:AB78"/>
    <mergeCell ref="P79:Q79"/>
    <mergeCell ref="P67:Q67"/>
    <mergeCell ref="U67:W67"/>
    <mergeCell ref="Y67:AB67"/>
  </mergeCells>
  <phoneticPr fontId="53" type="noConversion"/>
  <conditionalFormatting sqref="B7:B11">
    <cfRule type="duplicateValues" dxfId="15" priority="2"/>
  </conditionalFormatting>
  <conditionalFormatting sqref="B44:B51">
    <cfRule type="duplicateValues" dxfId="14" priority="3"/>
  </conditionalFormatting>
  <conditionalFormatting sqref="B12">
    <cfRule type="duplicateValues" dxfId="13" priority="1"/>
  </conditionalFormatting>
  <conditionalFormatting sqref="B4:B6 B13:B21">
    <cfRule type="expression" dxfId="12" priority="4" stopIfTrue="1">
      <formula>AND(COUNTIF($B$4:$B$6, B4)+COUNTIF($B$13:$B$21, B4)&gt;1,NOT(ISBLANK(B4)))</formula>
    </cfRule>
  </conditionalFormatting>
  <conditionalFormatting sqref="B53:B61">
    <cfRule type="duplicateValues" dxfId="11" priority="5"/>
  </conditionalFormatting>
  <conditionalFormatting sqref="B23:B42">
    <cfRule type="duplicateValues" dxfId="10" priority="6"/>
  </conditionalFormatting>
  <printOptions horizontalCentered="1" verticalCentered="1"/>
  <pageMargins left="0" right="0" top="7.874015748031496E-2" bottom="7.874015748031496E-2" header="0" footer="0"/>
  <pageSetup paperSize="9" scale="23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T18"/>
  <sheetViews>
    <sheetView zoomScale="70" zoomScaleNormal="70" workbookViewId="0">
      <pane ySplit="3" topLeftCell="A4" activePane="bottomLeft" state="frozen"/>
      <selection activeCell="A3" sqref="A3:B3"/>
      <selection pane="bottomLeft" activeCell="W9" sqref="W9"/>
    </sheetView>
  </sheetViews>
  <sheetFormatPr defaultRowHeight="16.5" x14ac:dyDescent="0.3"/>
  <cols>
    <col min="1" max="1" width="32.875" customWidth="1"/>
    <col min="2" max="6" width="10" customWidth="1"/>
    <col min="7" max="7" width="5.75" customWidth="1"/>
    <col min="8" max="8" width="18.5" customWidth="1"/>
    <col min="9" max="20" width="10.875" customWidth="1"/>
  </cols>
  <sheetData>
    <row r="1" spans="1:20" ht="113.25" customHeight="1" x14ac:dyDescent="0.3">
      <c r="A1" s="222" t="s">
        <v>210</v>
      </c>
      <c r="B1" s="223"/>
      <c r="C1" s="267" t="s">
        <v>97</v>
      </c>
      <c r="D1" s="268"/>
      <c r="E1" s="228" t="s">
        <v>98</v>
      </c>
      <c r="F1" s="228"/>
      <c r="G1" s="8"/>
      <c r="H1" s="269" t="s">
        <v>18</v>
      </c>
      <c r="I1" s="72" t="s">
        <v>20</v>
      </c>
      <c r="J1" s="182" t="s">
        <v>21</v>
      </c>
      <c r="K1" s="5" t="s">
        <v>101</v>
      </c>
      <c r="L1" s="182" t="s">
        <v>100</v>
      </c>
      <c r="M1" s="5" t="s">
        <v>96</v>
      </c>
      <c r="N1" s="182" t="s">
        <v>183</v>
      </c>
      <c r="O1" s="5" t="s">
        <v>114</v>
      </c>
      <c r="P1" s="182" t="s">
        <v>190</v>
      </c>
      <c r="Q1" s="5" t="s">
        <v>106</v>
      </c>
      <c r="R1" s="182" t="s">
        <v>105</v>
      </c>
      <c r="S1" s="5" t="s">
        <v>115</v>
      </c>
      <c r="T1" s="182" t="s">
        <v>11</v>
      </c>
    </row>
    <row r="2" spans="1:20" ht="43.5" customHeight="1" x14ac:dyDescent="0.3">
      <c r="A2" s="224"/>
      <c r="B2" s="225"/>
      <c r="C2" s="73" t="s">
        <v>2</v>
      </c>
      <c r="D2" s="73" t="s">
        <v>22</v>
      </c>
      <c r="E2" s="1" t="s">
        <v>2</v>
      </c>
      <c r="F2" s="1" t="s">
        <v>1</v>
      </c>
      <c r="G2" s="9"/>
      <c r="H2" s="270"/>
      <c r="I2" s="6" t="s">
        <v>3</v>
      </c>
      <c r="J2" s="1" t="s">
        <v>1</v>
      </c>
      <c r="K2" s="6" t="s">
        <v>3</v>
      </c>
      <c r="L2" s="1" t="s">
        <v>1</v>
      </c>
      <c r="M2" s="6" t="s">
        <v>3</v>
      </c>
      <c r="N2" s="1" t="s">
        <v>1</v>
      </c>
      <c r="O2" s="6" t="s">
        <v>3</v>
      </c>
      <c r="P2" s="1" t="s">
        <v>1</v>
      </c>
      <c r="Q2" s="6" t="s">
        <v>3</v>
      </c>
      <c r="R2" s="1" t="s">
        <v>1</v>
      </c>
      <c r="S2" s="6" t="s">
        <v>3</v>
      </c>
      <c r="T2" s="1" t="s">
        <v>1</v>
      </c>
    </row>
    <row r="3" spans="1:20" ht="39" customHeight="1" thickBot="1" x14ac:dyDescent="0.35">
      <c r="A3" s="271" t="s">
        <v>10</v>
      </c>
      <c r="B3" s="272"/>
      <c r="C3" s="44">
        <f>SUM(C4:C20)</f>
        <v>46</v>
      </c>
      <c r="D3" s="44">
        <f>SUM(D4:D20)</f>
        <v>0</v>
      </c>
      <c r="E3" s="44">
        <f>SUM(E4:E20)</f>
        <v>12</v>
      </c>
      <c r="F3" s="44">
        <f>SUM(F4:F20)</f>
        <v>46</v>
      </c>
      <c r="G3" s="183"/>
      <c r="H3" s="13" t="s">
        <v>10</v>
      </c>
      <c r="I3" s="44">
        <f>SUM(I4:I15)</f>
        <v>0</v>
      </c>
      <c r="J3" s="44">
        <f t="shared" ref="J3:T3" si="0">SUM(J4:J15)</f>
        <v>1</v>
      </c>
      <c r="K3" s="44">
        <f t="shared" si="0"/>
        <v>5</v>
      </c>
      <c r="L3" s="44">
        <f t="shared" si="0"/>
        <v>9</v>
      </c>
      <c r="M3" s="44">
        <f t="shared" si="0"/>
        <v>10</v>
      </c>
      <c r="N3" s="44">
        <f t="shared" si="0"/>
        <v>2</v>
      </c>
      <c r="O3" s="44">
        <f t="shared" si="0"/>
        <v>8</v>
      </c>
      <c r="P3" s="44">
        <f t="shared" si="0"/>
        <v>1</v>
      </c>
      <c r="Q3" s="44">
        <f t="shared" si="0"/>
        <v>4</v>
      </c>
      <c r="R3" s="44">
        <f t="shared" si="0"/>
        <v>0</v>
      </c>
      <c r="S3" s="44">
        <f t="shared" si="0"/>
        <v>0</v>
      </c>
      <c r="T3" s="44">
        <f t="shared" si="0"/>
        <v>0</v>
      </c>
    </row>
    <row r="4" spans="1:20" ht="82.7" customHeight="1" thickTop="1" x14ac:dyDescent="0.3">
      <c r="A4" s="273" t="s">
        <v>15</v>
      </c>
      <c r="B4" s="274"/>
      <c r="C4" s="57">
        <f>'학교별06.12'!C22</f>
        <v>73</v>
      </c>
      <c r="D4" s="57">
        <f>'학교별06.12'!D22</f>
        <v>0</v>
      </c>
      <c r="E4" s="58">
        <f>'학교별06.12'!E22</f>
        <v>2</v>
      </c>
      <c r="F4" s="59">
        <f>'학교별06.12'!F22</f>
        <v>46</v>
      </c>
      <c r="G4" s="183"/>
      <c r="H4" s="49" t="s">
        <v>15</v>
      </c>
      <c r="I4" s="47">
        <f>'학교별06.12'!H22</f>
        <v>0</v>
      </c>
      <c r="J4" s="45">
        <f>'학교별06.12'!I22</f>
        <v>1</v>
      </c>
      <c r="K4" s="47">
        <f>'학교별06.12'!J22</f>
        <v>3</v>
      </c>
      <c r="L4" s="45">
        <f>'학교별06.12'!K22</f>
        <v>3</v>
      </c>
      <c r="M4" s="47">
        <f>'학교별06.12'!L22</f>
        <v>2</v>
      </c>
      <c r="N4" s="45">
        <f>'학교별06.12'!M22</f>
        <v>0</v>
      </c>
      <c r="O4" s="47">
        <f>'학교별06.12'!N22</f>
        <v>3</v>
      </c>
      <c r="P4" s="45">
        <f>'학교별06.12'!O22</f>
        <v>0</v>
      </c>
      <c r="Q4" s="47">
        <f>'학교별06.12'!P22</f>
        <v>1</v>
      </c>
      <c r="R4" s="45">
        <f>'학교별06.12'!Q22</f>
        <v>0</v>
      </c>
      <c r="S4" s="47">
        <f>'학교별06.12'!R22</f>
        <v>0</v>
      </c>
      <c r="T4" s="87">
        <f>'학교별06.12'!S22</f>
        <v>0</v>
      </c>
    </row>
    <row r="5" spans="1:20" ht="82.7" customHeight="1" x14ac:dyDescent="0.3">
      <c r="A5" s="291" t="s">
        <v>211</v>
      </c>
      <c r="B5" s="292"/>
      <c r="C5" s="172">
        <v>-50</v>
      </c>
      <c r="D5" s="165"/>
      <c r="E5" s="166"/>
      <c r="F5" s="173"/>
      <c r="G5" s="183"/>
      <c r="H5" s="40"/>
      <c r="I5" s="41"/>
      <c r="J5" s="42"/>
      <c r="K5" s="41"/>
      <c r="L5" s="42"/>
      <c r="M5" s="41"/>
      <c r="N5" s="42"/>
      <c r="O5" s="41"/>
      <c r="P5" s="42"/>
      <c r="Q5" s="41"/>
      <c r="R5" s="42"/>
      <c r="S5" s="41"/>
      <c r="T5" s="88"/>
    </row>
    <row r="6" spans="1:20" ht="82.7" customHeight="1" thickBot="1" x14ac:dyDescent="0.35">
      <c r="A6" s="275"/>
      <c r="B6" s="276"/>
      <c r="C6" s="79"/>
      <c r="D6" s="60"/>
      <c r="E6" s="62"/>
      <c r="F6" s="61"/>
      <c r="G6" s="183"/>
      <c r="H6" s="40"/>
      <c r="I6" s="83"/>
      <c r="J6" s="81"/>
      <c r="K6" s="95"/>
      <c r="L6" s="81"/>
      <c r="M6" s="84"/>
      <c r="N6" s="81"/>
      <c r="O6" s="83"/>
      <c r="P6" s="42"/>
      <c r="Q6" s="41"/>
      <c r="R6" s="42"/>
      <c r="S6" s="83"/>
      <c r="T6" s="88"/>
    </row>
    <row r="7" spans="1:20" ht="18" thickTop="1" thickBot="1" x14ac:dyDescent="0.35">
      <c r="H7" s="33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138"/>
    </row>
    <row r="8" spans="1:20" ht="82.7" customHeight="1" thickTop="1" x14ac:dyDescent="0.3">
      <c r="A8" s="277" t="s">
        <v>26</v>
      </c>
      <c r="B8" s="278"/>
      <c r="C8" s="47">
        <f>'학교별06.12'!C43</f>
        <v>23</v>
      </c>
      <c r="D8" s="47">
        <f>'학교별06.12'!D43</f>
        <v>0</v>
      </c>
      <c r="E8" s="45">
        <f>'학교별06.12'!E43</f>
        <v>10</v>
      </c>
      <c r="F8" s="45">
        <f>'학교별06.12'!F43</f>
        <v>0</v>
      </c>
      <c r="G8" s="37"/>
      <c r="H8" s="55" t="s">
        <v>17</v>
      </c>
      <c r="I8" s="48">
        <f>'학교별06.12'!H43</f>
        <v>0</v>
      </c>
      <c r="J8" s="46">
        <f>'학교별06.12'!I43</f>
        <v>0</v>
      </c>
      <c r="K8" s="48">
        <f>'학교별06.12'!J43</f>
        <v>0</v>
      </c>
      <c r="L8" s="46">
        <f>'학교별06.12'!K43</f>
        <v>0</v>
      </c>
      <c r="M8" s="48">
        <f>'학교별06.12'!L43</f>
        <v>1</v>
      </c>
      <c r="N8" s="46">
        <f>'학교별06.12'!M43</f>
        <v>0</v>
      </c>
      <c r="O8" s="48">
        <f>'학교별06.12'!N43</f>
        <v>1</v>
      </c>
      <c r="P8" s="46">
        <f>'학교별06.12'!O43</f>
        <v>0</v>
      </c>
      <c r="Q8" s="48">
        <f>'학교별06.12'!P43</f>
        <v>0</v>
      </c>
      <c r="R8" s="46">
        <f>'학교별06.12'!Q43</f>
        <v>0</v>
      </c>
      <c r="S8" s="48">
        <f>'학교별06.12'!R43</f>
        <v>0</v>
      </c>
      <c r="T8" s="90">
        <f>'학교별06.12'!S43</f>
        <v>0</v>
      </c>
    </row>
    <row r="9" spans="1:20" ht="82.7" customHeight="1" thickBot="1" x14ac:dyDescent="0.35">
      <c r="A9" s="261"/>
      <c r="B9" s="262"/>
      <c r="C9" s="75"/>
      <c r="D9" s="96"/>
      <c r="E9" s="78"/>
      <c r="F9" s="38"/>
      <c r="G9" s="39"/>
      <c r="H9" s="183"/>
      <c r="I9" s="41"/>
      <c r="J9" s="42"/>
      <c r="K9" s="41"/>
      <c r="L9" s="42"/>
      <c r="M9" s="41"/>
      <c r="N9" s="42"/>
      <c r="O9" s="41"/>
      <c r="P9" s="42"/>
      <c r="Q9" s="41"/>
      <c r="R9" s="98"/>
      <c r="S9" s="41"/>
      <c r="T9" s="88"/>
    </row>
    <row r="10" spans="1:20" ht="18" thickTop="1" thickBot="1" x14ac:dyDescent="0.35">
      <c r="H10" s="33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138"/>
    </row>
    <row r="11" spans="1:20" ht="82.7" customHeight="1" thickTop="1" x14ac:dyDescent="0.3">
      <c r="A11" s="263" t="s">
        <v>16</v>
      </c>
      <c r="B11" s="264"/>
      <c r="C11" s="65">
        <f>'학교별06.12'!C52</f>
        <v>0</v>
      </c>
      <c r="D11" s="65">
        <f>'학교별06.12'!D52</f>
        <v>0</v>
      </c>
      <c r="E11" s="66">
        <f>'학교별06.12'!E52</f>
        <v>0</v>
      </c>
      <c r="F11" s="67">
        <f>'학교별06.12'!F52</f>
        <v>0</v>
      </c>
      <c r="G11" s="183"/>
      <c r="H11" s="136" t="s">
        <v>25</v>
      </c>
      <c r="I11" s="127">
        <f>'학교별06.12'!H52</f>
        <v>0</v>
      </c>
      <c r="J11" s="128">
        <f>'학교별06.12'!I52</f>
        <v>0</v>
      </c>
      <c r="K11" s="127">
        <f>'학교별06.12'!J52</f>
        <v>2</v>
      </c>
      <c r="L11" s="128">
        <f>'학교별06.12'!K52</f>
        <v>4</v>
      </c>
      <c r="M11" s="127">
        <f>'학교별06.12'!L52</f>
        <v>4</v>
      </c>
      <c r="N11" s="128">
        <f>'학교별06.12'!M52</f>
        <v>2</v>
      </c>
      <c r="O11" s="127">
        <f>'학교별06.12'!N52</f>
        <v>1</v>
      </c>
      <c r="P11" s="128">
        <f>'학교별06.12'!O52</f>
        <v>0</v>
      </c>
      <c r="Q11" s="127">
        <f>'학교별06.12'!P52</f>
        <v>1</v>
      </c>
      <c r="R11" s="128">
        <f>'학교별06.12'!Q52</f>
        <v>0</v>
      </c>
      <c r="S11" s="127">
        <f>'학교별06.12'!R52</f>
        <v>0</v>
      </c>
      <c r="T11" s="137">
        <f>'학교별06.12'!S52</f>
        <v>0</v>
      </c>
    </row>
    <row r="12" spans="1:20" ht="82.7" customHeight="1" thickBot="1" x14ac:dyDescent="0.35">
      <c r="A12" s="265"/>
      <c r="B12" s="266"/>
      <c r="C12" s="68"/>
      <c r="D12" s="69"/>
      <c r="E12" s="144"/>
      <c r="F12" s="71"/>
      <c r="H12" s="33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138"/>
    </row>
    <row r="13" spans="1:20" ht="18" thickTop="1" thickBot="1" x14ac:dyDescent="0.35">
      <c r="H13" s="33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138"/>
    </row>
    <row r="14" spans="1:20" ht="82.7" customHeight="1" thickTop="1" x14ac:dyDescent="0.3">
      <c r="A14" s="282" t="s">
        <v>175</v>
      </c>
      <c r="B14" s="283"/>
      <c r="C14" s="129">
        <f>'학교별06.12'!C62</f>
        <v>0</v>
      </c>
      <c r="D14" s="129">
        <f>'학교별06.12'!D62</f>
        <v>0</v>
      </c>
      <c r="E14" s="130">
        <f>'학교별06.12'!E62</f>
        <v>0</v>
      </c>
      <c r="F14" s="131">
        <f>'학교별06.12'!F62</f>
        <v>0</v>
      </c>
      <c r="G14" s="183"/>
      <c r="H14" s="136" t="s">
        <v>174</v>
      </c>
      <c r="I14" s="127">
        <f>'학교별06.12'!H62</f>
        <v>0</v>
      </c>
      <c r="J14" s="128">
        <f>'학교별06.12'!I62</f>
        <v>0</v>
      </c>
      <c r="K14" s="127">
        <f>'학교별06.12'!J62</f>
        <v>0</v>
      </c>
      <c r="L14" s="128">
        <f>'학교별06.12'!K62</f>
        <v>2</v>
      </c>
      <c r="M14" s="127">
        <f>'학교별06.12'!L62</f>
        <v>3</v>
      </c>
      <c r="N14" s="128">
        <f>'학교별06.12'!M62</f>
        <v>0</v>
      </c>
      <c r="O14" s="127">
        <f>'학교별06.12'!N62</f>
        <v>3</v>
      </c>
      <c r="P14" s="128">
        <f>'학교별06.12'!O62</f>
        <v>1</v>
      </c>
      <c r="Q14" s="127">
        <f>'학교별06.12'!P62</f>
        <v>2</v>
      </c>
      <c r="R14" s="128">
        <f>'학교별06.12'!Q62</f>
        <v>0</v>
      </c>
      <c r="S14" s="127">
        <f>'학교별06.12'!R62</f>
        <v>0</v>
      </c>
      <c r="T14" s="137">
        <f>'학교별06.12'!S62</f>
        <v>0</v>
      </c>
    </row>
    <row r="15" spans="1:20" ht="82.7" customHeight="1" thickBot="1" x14ac:dyDescent="0.35">
      <c r="A15" s="280"/>
      <c r="B15" s="281"/>
      <c r="C15" s="132"/>
      <c r="D15" s="133"/>
      <c r="E15" s="134"/>
      <c r="F15" s="135"/>
      <c r="H15" s="64"/>
      <c r="I15" s="14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152"/>
    </row>
    <row r="16" spans="1:20" ht="17.25" thickTop="1" x14ac:dyDescent="0.3"/>
    <row r="18" spans="8:8" x14ac:dyDescent="0.3">
      <c r="H18" t="s">
        <v>83</v>
      </c>
    </row>
  </sheetData>
  <mergeCells count="14">
    <mergeCell ref="A1:B2"/>
    <mergeCell ref="C1:D1"/>
    <mergeCell ref="E1:F1"/>
    <mergeCell ref="H1:H2"/>
    <mergeCell ref="A3:B3"/>
    <mergeCell ref="A4:B4"/>
    <mergeCell ref="A14:B14"/>
    <mergeCell ref="A15:B15"/>
    <mergeCell ref="A5:B5"/>
    <mergeCell ref="A6:B6"/>
    <mergeCell ref="A8:B8"/>
    <mergeCell ref="A9:B9"/>
    <mergeCell ref="A11:B11"/>
    <mergeCell ref="A12:B12"/>
  </mergeCells>
  <phoneticPr fontId="53" type="noConversion"/>
  <conditionalFormatting sqref="A4:A6">
    <cfRule type="duplicateValues" dxfId="9" priority="2"/>
  </conditionalFormatting>
  <conditionalFormatting sqref="A8:A9">
    <cfRule type="duplicateValues" dxfId="8" priority="3"/>
  </conditionalFormatting>
  <conditionalFormatting sqref="A14">
    <cfRule type="duplicateValues" dxfId="7" priority="1"/>
  </conditionalFormatting>
  <conditionalFormatting sqref="A11">
    <cfRule type="duplicateValues" dxfId="6" priority="4"/>
  </conditionalFormatting>
  <printOptions horizontalCentered="1" verticalCentered="1"/>
  <pageMargins left="0" right="0" top="7.874015748031496E-2" bottom="7.874015748031496E-2" header="0" footer="0"/>
  <pageSetup paperSize="9" scale="55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79"/>
  <sheetViews>
    <sheetView zoomScale="70" zoomScaleNormal="70" workbookViewId="0">
      <pane ySplit="3" topLeftCell="A48" activePane="bottomLeft" state="frozen"/>
      <selection activeCell="A3" sqref="A3:B3"/>
      <selection pane="bottomLeft" activeCell="C62" sqref="C62"/>
    </sheetView>
  </sheetViews>
  <sheetFormatPr defaultRowHeight="16.5" x14ac:dyDescent="0.3"/>
  <cols>
    <col min="1" max="1" width="9" customWidth="1"/>
    <col min="2" max="2" width="33.75" customWidth="1"/>
    <col min="3" max="3" width="10.75" customWidth="1"/>
    <col min="4" max="4" width="10" customWidth="1"/>
    <col min="5" max="5" width="10.5" customWidth="1"/>
    <col min="6" max="6" width="10" customWidth="1"/>
    <col min="7" max="7" width="4.125" customWidth="1"/>
    <col min="8" max="19" width="10.875" customWidth="1"/>
    <col min="20" max="20" width="5.5" customWidth="1"/>
    <col min="21" max="21" width="10.875" bestFit="1" customWidth="1"/>
  </cols>
  <sheetData>
    <row r="1" spans="1:23" ht="113.25" customHeight="1" x14ac:dyDescent="0.3">
      <c r="A1" s="222" t="s">
        <v>228</v>
      </c>
      <c r="B1" s="223"/>
      <c r="C1" s="226" t="s">
        <v>0</v>
      </c>
      <c r="D1" s="227"/>
      <c r="E1" s="228" t="s">
        <v>19</v>
      </c>
      <c r="F1" s="228"/>
      <c r="G1" s="8"/>
      <c r="H1" s="72" t="s">
        <v>20</v>
      </c>
      <c r="I1" s="216" t="s">
        <v>21</v>
      </c>
      <c r="J1" s="5" t="s">
        <v>7</v>
      </c>
      <c r="K1" s="216" t="s">
        <v>4</v>
      </c>
      <c r="L1" s="5" t="s">
        <v>6</v>
      </c>
      <c r="M1" s="216" t="s">
        <v>5</v>
      </c>
      <c r="N1" s="5" t="s">
        <v>9</v>
      </c>
      <c r="O1" s="216" t="s">
        <v>8</v>
      </c>
      <c r="P1" s="5" t="s">
        <v>95</v>
      </c>
      <c r="Q1" s="216" t="s">
        <v>12</v>
      </c>
      <c r="R1" s="5" t="s">
        <v>119</v>
      </c>
      <c r="S1" s="216" t="s">
        <v>11</v>
      </c>
    </row>
    <row r="2" spans="1:23" ht="43.5" customHeight="1" x14ac:dyDescent="0.3">
      <c r="A2" s="224"/>
      <c r="B2" s="225"/>
      <c r="C2" s="73" t="s">
        <v>2</v>
      </c>
      <c r="D2" s="21" t="s">
        <v>1</v>
      </c>
      <c r="E2" s="1" t="s">
        <v>2</v>
      </c>
      <c r="F2" s="1" t="s">
        <v>1</v>
      </c>
      <c r="G2" s="9"/>
      <c r="H2" s="6" t="s">
        <v>3</v>
      </c>
      <c r="I2" s="1" t="s">
        <v>1</v>
      </c>
      <c r="J2" s="6" t="s">
        <v>3</v>
      </c>
      <c r="K2" s="1" t="s">
        <v>1</v>
      </c>
      <c r="L2" s="6" t="s">
        <v>3</v>
      </c>
      <c r="M2" s="1" t="s">
        <v>1</v>
      </c>
      <c r="N2" s="6" t="s">
        <v>3</v>
      </c>
      <c r="O2" s="1" t="s">
        <v>1</v>
      </c>
      <c r="P2" s="6" t="s">
        <v>3</v>
      </c>
      <c r="Q2" s="1" t="s">
        <v>1</v>
      </c>
      <c r="R2" s="6" t="s">
        <v>3</v>
      </c>
      <c r="S2" s="1" t="s">
        <v>1</v>
      </c>
    </row>
    <row r="3" spans="1:23" ht="26.25" x14ac:dyDescent="0.3">
      <c r="A3" s="97" t="s">
        <v>14</v>
      </c>
      <c r="B3" s="12" t="s">
        <v>10</v>
      </c>
      <c r="C3" s="29">
        <f>C22+C43+C52+C62</f>
        <v>77</v>
      </c>
      <c r="D3" s="29">
        <f>D22+D43+D52+D62</f>
        <v>0</v>
      </c>
      <c r="E3" s="29">
        <f>E22+E43+E52+E62</f>
        <v>3</v>
      </c>
      <c r="F3" s="2">
        <f>F22+F43+F52+F62</f>
        <v>34</v>
      </c>
      <c r="G3" s="217"/>
      <c r="H3" s="2">
        <f t="shared" ref="H3:S3" si="0">H22+H43+H52+H62</f>
        <v>1</v>
      </c>
      <c r="I3" s="2">
        <f t="shared" si="0"/>
        <v>0</v>
      </c>
      <c r="J3" s="2">
        <f t="shared" si="0"/>
        <v>3</v>
      </c>
      <c r="K3" s="2">
        <f t="shared" si="0"/>
        <v>5</v>
      </c>
      <c r="L3" s="2">
        <f t="shared" si="0"/>
        <v>4</v>
      </c>
      <c r="M3" s="2">
        <f t="shared" si="0"/>
        <v>3</v>
      </c>
      <c r="N3" s="2">
        <f t="shared" si="0"/>
        <v>4</v>
      </c>
      <c r="O3" s="2">
        <f t="shared" si="0"/>
        <v>4</v>
      </c>
      <c r="P3" s="2">
        <f t="shared" si="0"/>
        <v>0</v>
      </c>
      <c r="Q3" s="2">
        <f t="shared" si="0"/>
        <v>0</v>
      </c>
      <c r="R3" s="2">
        <f t="shared" si="0"/>
        <v>0</v>
      </c>
      <c r="S3" s="2">
        <f t="shared" si="0"/>
        <v>0</v>
      </c>
      <c r="T3" s="4">
        <f>D3*10</f>
        <v>0</v>
      </c>
      <c r="U3">
        <f>F3*10+E3</f>
        <v>343</v>
      </c>
      <c r="V3" s="4">
        <f>SUM(H3:Q3)</f>
        <v>24</v>
      </c>
      <c r="W3" s="11">
        <f>SUM(T3:V3)</f>
        <v>367</v>
      </c>
    </row>
    <row r="4" spans="1:23" ht="24" customHeight="1" x14ac:dyDescent="0.3">
      <c r="A4" s="229" t="s">
        <v>34</v>
      </c>
      <c r="B4" s="3" t="s">
        <v>160</v>
      </c>
      <c r="C4" s="7">
        <v>3</v>
      </c>
      <c r="D4" s="7"/>
      <c r="E4" s="50"/>
      <c r="F4" s="50">
        <v>8</v>
      </c>
      <c r="G4" s="217"/>
      <c r="H4" s="7"/>
      <c r="I4" s="50"/>
      <c r="J4" s="10"/>
      <c r="K4" s="50"/>
      <c r="L4" s="7"/>
      <c r="M4" s="50"/>
      <c r="N4" s="10"/>
      <c r="O4" s="50"/>
      <c r="P4" s="7"/>
      <c r="Q4" s="50"/>
      <c r="R4" s="7"/>
      <c r="S4" s="50"/>
    </row>
    <row r="5" spans="1:23" ht="24" customHeight="1" x14ac:dyDescent="0.3">
      <c r="A5" s="230"/>
      <c r="B5" s="3" t="s">
        <v>150</v>
      </c>
      <c r="C5" s="7"/>
      <c r="D5" s="7"/>
      <c r="E5" s="50"/>
      <c r="F5" s="50">
        <v>5</v>
      </c>
      <c r="G5" s="217"/>
      <c r="H5" s="7"/>
      <c r="I5" s="50"/>
      <c r="J5" s="10"/>
      <c r="K5" s="50"/>
      <c r="L5" s="7"/>
      <c r="M5" s="50"/>
      <c r="N5" s="10"/>
      <c r="O5" s="50"/>
      <c r="P5" s="7"/>
      <c r="Q5" s="50"/>
      <c r="R5" s="7"/>
      <c r="S5" s="50"/>
    </row>
    <row r="6" spans="1:23" ht="24" customHeight="1" x14ac:dyDescent="0.3">
      <c r="A6" s="230"/>
      <c r="B6" s="3" t="s">
        <v>149</v>
      </c>
      <c r="C6" s="7"/>
      <c r="D6" s="7"/>
      <c r="E6" s="50"/>
      <c r="F6" s="50"/>
      <c r="G6" s="217"/>
      <c r="H6" s="7"/>
      <c r="I6" s="50"/>
      <c r="J6" s="10"/>
      <c r="K6" s="50"/>
      <c r="L6" s="7"/>
      <c r="M6" s="50"/>
      <c r="N6" s="10"/>
      <c r="O6" s="50"/>
      <c r="P6" s="7"/>
      <c r="Q6" s="50"/>
      <c r="R6" s="7"/>
      <c r="S6" s="50"/>
    </row>
    <row r="7" spans="1:23" ht="24" customHeight="1" x14ac:dyDescent="0.3">
      <c r="A7" s="230"/>
      <c r="B7" s="3" t="s">
        <v>156</v>
      </c>
      <c r="C7" s="7">
        <v>4</v>
      </c>
      <c r="D7" s="7"/>
      <c r="E7" s="50"/>
      <c r="F7" s="50"/>
      <c r="G7" s="217"/>
      <c r="H7" s="7"/>
      <c r="I7" s="50"/>
      <c r="J7" s="10"/>
      <c r="K7" s="50"/>
      <c r="L7" s="7"/>
      <c r="M7" s="50"/>
      <c r="N7" s="10"/>
      <c r="O7" s="50"/>
      <c r="P7" s="7"/>
      <c r="Q7" s="50"/>
      <c r="R7" s="7"/>
      <c r="S7" s="50"/>
    </row>
    <row r="8" spans="1:23" ht="24" customHeight="1" x14ac:dyDescent="0.3">
      <c r="A8" s="230"/>
      <c r="B8" s="3" t="s">
        <v>148</v>
      </c>
      <c r="C8" s="7">
        <v>1</v>
      </c>
      <c r="D8" s="7"/>
      <c r="E8" s="50"/>
      <c r="F8" s="50">
        <v>5</v>
      </c>
      <c r="G8" s="63"/>
      <c r="H8" s="7"/>
      <c r="I8" s="50"/>
      <c r="J8" s="10"/>
      <c r="K8" s="50"/>
      <c r="L8" s="7"/>
      <c r="M8" s="50"/>
      <c r="N8" s="10"/>
      <c r="O8" s="50"/>
      <c r="P8" s="7"/>
      <c r="Q8" s="50"/>
      <c r="R8" s="7"/>
      <c r="S8" s="50"/>
    </row>
    <row r="9" spans="1:23" ht="24" customHeight="1" x14ac:dyDescent="0.3">
      <c r="A9" s="230"/>
      <c r="B9" s="3" t="s">
        <v>153</v>
      </c>
      <c r="C9" s="7"/>
      <c r="D9" s="7"/>
      <c r="E9" s="50"/>
      <c r="F9" s="50"/>
      <c r="G9" s="217"/>
      <c r="H9" s="7"/>
      <c r="I9" s="50"/>
      <c r="J9" s="10"/>
      <c r="K9" s="50"/>
      <c r="L9" s="7"/>
      <c r="M9" s="50"/>
      <c r="N9" s="10"/>
      <c r="O9" s="50"/>
      <c r="P9" s="7"/>
      <c r="Q9" s="50"/>
      <c r="R9" s="7"/>
      <c r="S9" s="50"/>
    </row>
    <row r="10" spans="1:23" ht="24" customHeight="1" x14ac:dyDescent="0.3">
      <c r="A10" s="230"/>
      <c r="B10" s="3" t="s">
        <v>158</v>
      </c>
      <c r="C10" s="7"/>
      <c r="D10" s="7"/>
      <c r="E10" s="50"/>
      <c r="F10" s="76"/>
      <c r="G10" s="217"/>
      <c r="H10" s="7"/>
      <c r="I10" s="50"/>
      <c r="J10" s="10"/>
      <c r="K10" s="50"/>
      <c r="L10" s="7"/>
      <c r="M10" s="50"/>
      <c r="N10" s="10"/>
      <c r="O10" s="50"/>
      <c r="P10" s="7"/>
      <c r="Q10" s="50"/>
      <c r="R10" s="7"/>
      <c r="S10" s="50"/>
    </row>
    <row r="11" spans="1:23" ht="24" customHeight="1" x14ac:dyDescent="0.3">
      <c r="A11" s="230"/>
      <c r="B11" s="3" t="s">
        <v>152</v>
      </c>
      <c r="C11" s="7"/>
      <c r="D11" s="7"/>
      <c r="E11" s="50"/>
      <c r="F11" s="50"/>
      <c r="G11" s="217"/>
      <c r="H11" s="7"/>
      <c r="I11" s="50"/>
      <c r="J11" s="10"/>
      <c r="K11" s="50"/>
      <c r="L11" s="7"/>
      <c r="M11" s="50"/>
      <c r="N11" s="10"/>
      <c r="O11" s="50"/>
      <c r="P11" s="7"/>
      <c r="Q11" s="50"/>
      <c r="R11" s="7"/>
      <c r="S11" s="50"/>
    </row>
    <row r="12" spans="1:23" ht="24" customHeight="1" x14ac:dyDescent="0.3">
      <c r="A12" s="230"/>
      <c r="B12" s="3" t="s">
        <v>161</v>
      </c>
      <c r="C12" s="7"/>
      <c r="D12" s="77"/>
      <c r="E12" s="76"/>
      <c r="F12" s="50"/>
      <c r="G12" s="80"/>
      <c r="H12" s="7"/>
      <c r="I12" s="76"/>
      <c r="J12" s="7"/>
      <c r="K12" s="50"/>
      <c r="L12" s="7"/>
      <c r="M12" s="50"/>
      <c r="N12" s="10"/>
      <c r="O12" s="50">
        <v>1</v>
      </c>
      <c r="P12" s="7"/>
      <c r="Q12" s="76"/>
      <c r="R12" s="10"/>
      <c r="S12" s="76"/>
    </row>
    <row r="13" spans="1:23" ht="24" customHeight="1" x14ac:dyDescent="0.3">
      <c r="A13" s="230"/>
      <c r="B13" s="3" t="s">
        <v>154</v>
      </c>
      <c r="C13" s="7"/>
      <c r="D13" s="7"/>
      <c r="E13" s="50"/>
      <c r="F13" s="50"/>
      <c r="G13" s="217"/>
      <c r="H13" s="7"/>
      <c r="I13" s="50"/>
      <c r="J13" s="10"/>
      <c r="K13" s="50"/>
      <c r="L13" s="7"/>
      <c r="M13" s="50"/>
      <c r="N13" s="10">
        <v>1</v>
      </c>
      <c r="O13" s="50"/>
      <c r="P13" s="7"/>
      <c r="Q13" s="50"/>
      <c r="R13" s="7"/>
      <c r="S13" s="50"/>
    </row>
    <row r="14" spans="1:23" ht="24" customHeight="1" x14ac:dyDescent="0.3">
      <c r="A14" s="230"/>
      <c r="B14" s="100" t="s">
        <v>164</v>
      </c>
      <c r="C14" s="7">
        <v>50</v>
      </c>
      <c r="D14" s="7"/>
      <c r="E14" s="50"/>
      <c r="F14" s="50"/>
      <c r="G14" s="217"/>
      <c r="H14" s="7"/>
      <c r="I14" s="50"/>
      <c r="J14" s="10"/>
      <c r="K14" s="50"/>
      <c r="L14" s="7"/>
      <c r="M14" s="50"/>
      <c r="N14" s="10"/>
      <c r="O14" s="50"/>
      <c r="P14" s="7"/>
      <c r="Q14" s="50"/>
      <c r="R14" s="7"/>
      <c r="S14" s="50"/>
    </row>
    <row r="15" spans="1:23" ht="24" customHeight="1" x14ac:dyDescent="0.3">
      <c r="A15" s="230"/>
      <c r="B15" s="3" t="s">
        <v>159</v>
      </c>
      <c r="C15" s="7"/>
      <c r="D15" s="7"/>
      <c r="E15" s="50"/>
      <c r="F15" s="50"/>
      <c r="G15" s="217"/>
      <c r="H15" s="7"/>
      <c r="I15" s="50"/>
      <c r="J15" s="10"/>
      <c r="K15" s="50"/>
      <c r="L15" s="7"/>
      <c r="M15" s="50"/>
      <c r="N15" s="10"/>
      <c r="O15" s="50"/>
      <c r="P15" s="7"/>
      <c r="Q15" s="50"/>
      <c r="R15" s="7"/>
      <c r="S15" s="50"/>
    </row>
    <row r="16" spans="1:23" ht="24" customHeight="1" x14ac:dyDescent="0.3">
      <c r="A16" s="230"/>
      <c r="B16" s="3" t="s">
        <v>147</v>
      </c>
      <c r="C16" s="7"/>
      <c r="D16" s="7"/>
      <c r="E16" s="50"/>
      <c r="F16" s="50">
        <v>6</v>
      </c>
      <c r="G16" s="217"/>
      <c r="H16" s="7"/>
      <c r="I16" s="50"/>
      <c r="J16" s="10"/>
      <c r="K16" s="50"/>
      <c r="L16" s="7"/>
      <c r="M16" s="50"/>
      <c r="N16" s="10"/>
      <c r="O16" s="50"/>
      <c r="P16" s="7"/>
      <c r="Q16" s="50"/>
      <c r="R16" s="7"/>
      <c r="S16" s="50"/>
    </row>
    <row r="17" spans="1:25" ht="24" customHeight="1" x14ac:dyDescent="0.3">
      <c r="A17" s="230"/>
      <c r="B17" s="3" t="s">
        <v>163</v>
      </c>
      <c r="C17" s="7">
        <v>4</v>
      </c>
      <c r="D17" s="7"/>
      <c r="E17" s="50">
        <v>2</v>
      </c>
      <c r="F17" s="50"/>
      <c r="G17" s="217"/>
      <c r="H17" s="7"/>
      <c r="I17" s="50"/>
      <c r="J17" s="10"/>
      <c r="K17" s="50"/>
      <c r="L17" s="7"/>
      <c r="M17" s="50"/>
      <c r="N17" s="10"/>
      <c r="O17" s="50"/>
      <c r="P17" s="7"/>
      <c r="Q17" s="50"/>
      <c r="R17" s="7"/>
      <c r="S17" s="50"/>
    </row>
    <row r="18" spans="1:25" ht="24" customHeight="1" x14ac:dyDescent="0.3">
      <c r="A18" s="230"/>
      <c r="B18" s="3" t="s">
        <v>162</v>
      </c>
      <c r="C18" s="7"/>
      <c r="D18" s="7"/>
      <c r="E18" s="50"/>
      <c r="F18" s="50"/>
      <c r="G18" s="217"/>
      <c r="H18" s="7"/>
      <c r="I18" s="50"/>
      <c r="J18" s="10"/>
      <c r="K18" s="50"/>
      <c r="L18" s="7"/>
      <c r="M18" s="50"/>
      <c r="N18" s="10"/>
      <c r="O18" s="50"/>
      <c r="P18" s="7"/>
      <c r="Q18" s="50"/>
      <c r="R18" s="7"/>
      <c r="S18" s="50"/>
    </row>
    <row r="19" spans="1:25" ht="24" customHeight="1" x14ac:dyDescent="0.3">
      <c r="A19" s="230"/>
      <c r="B19" s="3" t="s">
        <v>155</v>
      </c>
      <c r="C19" s="7"/>
      <c r="D19" s="7"/>
      <c r="E19" s="50"/>
      <c r="F19" s="50">
        <v>2</v>
      </c>
      <c r="G19" s="217"/>
      <c r="H19" s="7"/>
      <c r="I19" s="50"/>
      <c r="J19" s="10"/>
      <c r="K19" s="50"/>
      <c r="L19" s="7"/>
      <c r="M19" s="50"/>
      <c r="N19" s="10"/>
      <c r="O19" s="50"/>
      <c r="P19" s="7"/>
      <c r="Q19" s="50"/>
      <c r="R19" s="7"/>
      <c r="S19" s="50"/>
    </row>
    <row r="20" spans="1:25" ht="24" customHeight="1" x14ac:dyDescent="0.3">
      <c r="A20" s="230"/>
      <c r="B20" s="3" t="s">
        <v>157</v>
      </c>
      <c r="C20" s="7"/>
      <c r="D20" s="7"/>
      <c r="E20" s="50"/>
      <c r="F20" s="50">
        <v>3</v>
      </c>
      <c r="G20" s="217"/>
      <c r="H20" s="7">
        <v>1</v>
      </c>
      <c r="I20" s="50"/>
      <c r="J20" s="10"/>
      <c r="K20" s="50"/>
      <c r="L20" s="7"/>
      <c r="M20" s="50"/>
      <c r="N20" s="10"/>
      <c r="O20" s="50"/>
      <c r="P20" s="7"/>
      <c r="Q20" s="50"/>
      <c r="R20" s="7"/>
      <c r="S20" s="50"/>
    </row>
    <row r="21" spans="1:25" ht="24" customHeight="1" x14ac:dyDescent="0.3">
      <c r="A21" s="230"/>
      <c r="B21" s="3" t="s">
        <v>151</v>
      </c>
      <c r="C21" s="7"/>
      <c r="D21" s="7"/>
      <c r="E21" s="50"/>
      <c r="F21" s="50">
        <v>5</v>
      </c>
      <c r="G21" s="217"/>
      <c r="H21" s="7"/>
      <c r="I21" s="50"/>
      <c r="J21" s="10"/>
      <c r="K21" s="50"/>
      <c r="L21" s="7"/>
      <c r="M21" s="50"/>
      <c r="N21" s="10"/>
      <c r="O21" s="50"/>
      <c r="P21" s="7"/>
      <c r="Q21" s="50"/>
      <c r="R21" s="7"/>
      <c r="S21" s="50"/>
    </row>
    <row r="22" spans="1:25" ht="27" thickBot="1" x14ac:dyDescent="0.35">
      <c r="A22" s="231"/>
      <c r="B22" s="31"/>
      <c r="C22" s="31">
        <f>SUM(C4:C21)</f>
        <v>62</v>
      </c>
      <c r="D22" s="31">
        <f>SUM(D4:D21)</f>
        <v>0</v>
      </c>
      <c r="E22" s="31">
        <f>SUM(E4:E21)</f>
        <v>2</v>
      </c>
      <c r="F22" s="31">
        <f>SUM(F4:F21)</f>
        <v>34</v>
      </c>
      <c r="G22" s="217"/>
      <c r="H22" s="2">
        <f t="shared" ref="H22:S22" si="1">SUM(H4:H21)</f>
        <v>1</v>
      </c>
      <c r="I22" s="2">
        <f t="shared" si="1"/>
        <v>0</v>
      </c>
      <c r="J22" s="2">
        <f t="shared" si="1"/>
        <v>0</v>
      </c>
      <c r="K22" s="2">
        <f t="shared" si="1"/>
        <v>0</v>
      </c>
      <c r="L22" s="2">
        <f t="shared" si="1"/>
        <v>0</v>
      </c>
      <c r="M22" s="2">
        <f t="shared" si="1"/>
        <v>0</v>
      </c>
      <c r="N22" s="2">
        <f t="shared" si="1"/>
        <v>1</v>
      </c>
      <c r="O22" s="2">
        <f t="shared" si="1"/>
        <v>1</v>
      </c>
      <c r="P22" s="2">
        <f t="shared" si="1"/>
        <v>0</v>
      </c>
      <c r="Q22" s="2">
        <f t="shared" si="1"/>
        <v>0</v>
      </c>
      <c r="R22" s="2">
        <f t="shared" si="1"/>
        <v>0</v>
      </c>
      <c r="S22" s="2">
        <f t="shared" si="1"/>
        <v>0</v>
      </c>
      <c r="U22" s="35"/>
      <c r="V22" s="18"/>
      <c r="W22" s="18"/>
    </row>
    <row r="23" spans="1:25" ht="24" customHeight="1" thickTop="1" x14ac:dyDescent="0.3">
      <c r="A23" s="286" t="s">
        <v>27</v>
      </c>
      <c r="B23" s="23" t="s">
        <v>187</v>
      </c>
      <c r="C23" s="28">
        <v>3</v>
      </c>
      <c r="D23" s="28"/>
      <c r="E23" s="15"/>
      <c r="F23" s="16"/>
      <c r="G23" s="25"/>
      <c r="H23" s="43"/>
      <c r="I23" s="50"/>
      <c r="J23" s="10"/>
      <c r="K23" s="50"/>
      <c r="L23" s="7"/>
      <c r="M23" s="50"/>
      <c r="N23" s="7"/>
      <c r="O23" s="50"/>
      <c r="P23" s="7"/>
      <c r="Q23" s="50"/>
      <c r="R23" s="7"/>
      <c r="S23" s="50"/>
      <c r="U23" s="18"/>
      <c r="V23" s="18"/>
      <c r="W23" s="18"/>
      <c r="X23" s="18"/>
      <c r="Y23" s="18"/>
    </row>
    <row r="24" spans="1:25" ht="24" customHeight="1" x14ac:dyDescent="0.3">
      <c r="A24" s="287"/>
      <c r="B24" s="24" t="s">
        <v>188</v>
      </c>
      <c r="C24" s="32"/>
      <c r="D24" s="32"/>
      <c r="E24" s="54"/>
      <c r="F24" s="22"/>
      <c r="G24" s="25"/>
      <c r="H24" s="7"/>
      <c r="I24" s="50"/>
      <c r="J24" s="10"/>
      <c r="K24" s="50"/>
      <c r="L24" s="7"/>
      <c r="M24" s="50"/>
      <c r="N24" s="7"/>
      <c r="O24" s="50"/>
      <c r="P24" s="7"/>
      <c r="Q24" s="50"/>
      <c r="R24" s="7"/>
      <c r="S24" s="50"/>
      <c r="U24" s="18"/>
      <c r="V24" s="18"/>
      <c r="W24" s="18"/>
      <c r="X24" s="18"/>
      <c r="Y24" s="18"/>
    </row>
    <row r="25" spans="1:25" ht="24" customHeight="1" x14ac:dyDescent="0.3">
      <c r="A25" s="287"/>
      <c r="B25" s="24" t="s">
        <v>128</v>
      </c>
      <c r="C25" s="32"/>
      <c r="D25" s="32"/>
      <c r="E25" s="54"/>
      <c r="F25" s="22"/>
      <c r="G25" s="25"/>
      <c r="H25" s="43"/>
      <c r="I25" s="50"/>
      <c r="J25" s="10"/>
      <c r="K25" s="50"/>
      <c r="L25" s="7"/>
      <c r="M25" s="50"/>
      <c r="N25" s="7"/>
      <c r="O25" s="50"/>
      <c r="P25" s="7"/>
      <c r="Q25" s="50"/>
      <c r="R25" s="7"/>
      <c r="S25" s="50"/>
      <c r="U25" s="18"/>
      <c r="V25" s="18"/>
      <c r="W25" s="18"/>
      <c r="X25" s="18"/>
      <c r="Y25" s="18"/>
    </row>
    <row r="26" spans="1:25" ht="24" customHeight="1" x14ac:dyDescent="0.3">
      <c r="A26" s="287"/>
      <c r="B26" s="24" t="s">
        <v>127</v>
      </c>
      <c r="C26" s="32">
        <v>2</v>
      </c>
      <c r="D26" s="32"/>
      <c r="E26" s="54"/>
      <c r="F26" s="22"/>
      <c r="G26" s="25"/>
      <c r="H26" s="43"/>
      <c r="I26" s="50"/>
      <c r="J26" s="10"/>
      <c r="K26" s="50"/>
      <c r="L26" s="7">
        <v>1</v>
      </c>
      <c r="M26" s="50"/>
      <c r="N26" s="7"/>
      <c r="O26" s="50"/>
      <c r="P26" s="7"/>
      <c r="Q26" s="50"/>
      <c r="R26" s="7"/>
      <c r="S26" s="50"/>
      <c r="U26" s="18"/>
      <c r="V26" s="18"/>
      <c r="W26" s="18"/>
      <c r="X26" s="18"/>
      <c r="Y26" s="18"/>
    </row>
    <row r="27" spans="1:25" ht="24" customHeight="1" x14ac:dyDescent="0.3">
      <c r="A27" s="287"/>
      <c r="B27" s="24" t="s">
        <v>189</v>
      </c>
      <c r="C27" s="32"/>
      <c r="D27" s="32"/>
      <c r="E27" s="54"/>
      <c r="F27" s="22"/>
      <c r="G27" s="25"/>
      <c r="H27" s="10"/>
      <c r="I27" s="50"/>
      <c r="J27" s="10"/>
      <c r="K27" s="50"/>
      <c r="L27" s="7"/>
      <c r="M27" s="50"/>
      <c r="N27" s="7"/>
      <c r="O27" s="50"/>
      <c r="P27" s="7"/>
      <c r="Q27" s="50"/>
      <c r="R27" s="7"/>
      <c r="S27" s="50"/>
      <c r="U27" s="18"/>
      <c r="V27" s="18"/>
      <c r="W27" s="18"/>
      <c r="X27" s="18"/>
      <c r="Y27" s="18"/>
    </row>
    <row r="28" spans="1:25" ht="24" customHeight="1" x14ac:dyDescent="0.3">
      <c r="A28" s="287"/>
      <c r="B28" s="24" t="s">
        <v>140</v>
      </c>
      <c r="C28" s="32"/>
      <c r="D28" s="32"/>
      <c r="E28" s="54"/>
      <c r="F28" s="22"/>
      <c r="G28" s="25"/>
      <c r="H28" s="10"/>
      <c r="I28" s="50"/>
      <c r="J28" s="10"/>
      <c r="K28" s="50"/>
      <c r="L28" s="7"/>
      <c r="M28" s="50"/>
      <c r="N28" s="7"/>
      <c r="O28" s="50"/>
      <c r="P28" s="7"/>
      <c r="Q28" s="76"/>
      <c r="R28" s="7"/>
      <c r="S28" s="50"/>
      <c r="U28" s="18"/>
      <c r="V28" s="18"/>
      <c r="W28" s="18"/>
      <c r="X28" s="18"/>
      <c r="Y28" s="18"/>
    </row>
    <row r="29" spans="1:25" ht="24" customHeight="1" x14ac:dyDescent="0.3">
      <c r="A29" s="287"/>
      <c r="B29" s="24" t="s">
        <v>129</v>
      </c>
      <c r="C29" s="32"/>
      <c r="D29" s="32"/>
      <c r="E29" s="54"/>
      <c r="F29" s="22"/>
      <c r="G29" s="25"/>
      <c r="H29" s="43"/>
      <c r="I29" s="50"/>
      <c r="J29" s="10"/>
      <c r="K29" s="50"/>
      <c r="L29" s="7"/>
      <c r="M29" s="50"/>
      <c r="N29" s="7"/>
      <c r="O29" s="50"/>
      <c r="P29" s="7"/>
      <c r="Q29" s="50"/>
      <c r="R29" s="7"/>
      <c r="S29" s="50"/>
      <c r="U29" s="18"/>
      <c r="V29" s="18"/>
      <c r="W29" s="18"/>
      <c r="X29" s="18"/>
      <c r="Y29" s="18"/>
    </row>
    <row r="30" spans="1:25" ht="24" customHeight="1" x14ac:dyDescent="0.3">
      <c r="A30" s="287"/>
      <c r="B30" s="24" t="s">
        <v>145</v>
      </c>
      <c r="C30" s="32"/>
      <c r="D30" s="32"/>
      <c r="E30" s="54"/>
      <c r="F30" s="22"/>
      <c r="G30" s="25"/>
      <c r="H30" s="43"/>
      <c r="I30" s="50"/>
      <c r="J30" s="10"/>
      <c r="K30" s="50"/>
      <c r="L30" s="7">
        <v>1</v>
      </c>
      <c r="M30" s="50"/>
      <c r="N30" s="7"/>
      <c r="O30" s="50"/>
      <c r="P30" s="7"/>
      <c r="Q30" s="50"/>
      <c r="R30" s="7"/>
      <c r="S30" s="50"/>
      <c r="U30" s="18"/>
      <c r="V30" s="18"/>
      <c r="W30" s="18"/>
      <c r="X30" s="18"/>
      <c r="Y30" s="18"/>
    </row>
    <row r="31" spans="1:25" ht="24" customHeight="1" x14ac:dyDescent="0.3">
      <c r="A31" s="287"/>
      <c r="B31" s="24" t="s">
        <v>130</v>
      </c>
      <c r="C31" s="32">
        <v>2</v>
      </c>
      <c r="D31" s="32"/>
      <c r="E31" s="54"/>
      <c r="F31" s="22"/>
      <c r="G31" s="25"/>
      <c r="H31" s="43"/>
      <c r="I31" s="50"/>
      <c r="J31" s="10"/>
      <c r="K31" s="50"/>
      <c r="L31" s="7"/>
      <c r="M31" s="50"/>
      <c r="N31" s="7"/>
      <c r="O31" s="50"/>
      <c r="P31" s="7"/>
      <c r="Q31" s="50"/>
      <c r="R31" s="7"/>
      <c r="S31" s="50"/>
      <c r="U31" s="18"/>
      <c r="V31" s="18"/>
      <c r="W31" s="18"/>
      <c r="X31" s="18"/>
      <c r="Y31" s="18"/>
    </row>
    <row r="32" spans="1:25" ht="24" customHeight="1" x14ac:dyDescent="0.3">
      <c r="A32" s="287"/>
      <c r="B32" s="24" t="s">
        <v>131</v>
      </c>
      <c r="C32" s="32">
        <v>1</v>
      </c>
      <c r="D32" s="32"/>
      <c r="E32" s="54">
        <v>1</v>
      </c>
      <c r="F32" s="22"/>
      <c r="G32" s="25"/>
      <c r="H32" s="43"/>
      <c r="I32" s="50"/>
      <c r="J32" s="10"/>
      <c r="K32" s="50"/>
      <c r="L32" s="7"/>
      <c r="M32" s="50"/>
      <c r="N32" s="7"/>
      <c r="O32" s="50"/>
      <c r="P32" s="7"/>
      <c r="Q32" s="50"/>
      <c r="R32" s="7"/>
      <c r="S32" s="50"/>
      <c r="U32" s="18"/>
      <c r="V32" s="18"/>
      <c r="W32" s="18"/>
      <c r="X32" s="18"/>
      <c r="Y32" s="18"/>
    </row>
    <row r="33" spans="1:25" ht="24" customHeight="1" x14ac:dyDescent="0.3">
      <c r="A33" s="287"/>
      <c r="B33" s="24" t="s">
        <v>132</v>
      </c>
      <c r="C33" s="32">
        <v>2</v>
      </c>
      <c r="D33" s="32"/>
      <c r="E33" s="54"/>
      <c r="F33" s="22"/>
      <c r="G33" s="25"/>
      <c r="H33" s="43"/>
      <c r="I33" s="50"/>
      <c r="J33" s="10"/>
      <c r="K33" s="50"/>
      <c r="L33" s="7"/>
      <c r="M33" s="50"/>
      <c r="N33" s="7"/>
      <c r="O33" s="50"/>
      <c r="P33" s="7"/>
      <c r="Q33" s="50"/>
      <c r="R33" s="7"/>
      <c r="S33" s="50"/>
      <c r="U33" s="18"/>
      <c r="V33" s="18"/>
      <c r="W33" s="18"/>
      <c r="X33" s="18"/>
      <c r="Y33" s="18"/>
    </row>
    <row r="34" spans="1:25" ht="24" customHeight="1" x14ac:dyDescent="0.3">
      <c r="A34" s="287"/>
      <c r="B34" s="24" t="s">
        <v>133</v>
      </c>
      <c r="C34" s="32"/>
      <c r="D34" s="32"/>
      <c r="E34" s="54"/>
      <c r="F34" s="22"/>
      <c r="G34" s="25"/>
      <c r="H34" s="7"/>
      <c r="I34" s="50"/>
      <c r="J34" s="10"/>
      <c r="K34" s="50"/>
      <c r="L34" s="7"/>
      <c r="M34" s="50"/>
      <c r="N34" s="7"/>
      <c r="O34" s="50"/>
      <c r="P34" s="7"/>
      <c r="Q34" s="50"/>
      <c r="R34" s="7"/>
      <c r="S34" s="50"/>
      <c r="U34" s="18"/>
      <c r="V34" s="18"/>
      <c r="W34" s="18"/>
      <c r="X34" s="18"/>
      <c r="Y34" s="18"/>
    </row>
    <row r="35" spans="1:25" ht="24" customHeight="1" x14ac:dyDescent="0.3">
      <c r="A35" s="287"/>
      <c r="B35" s="24" t="s">
        <v>135</v>
      </c>
      <c r="C35" s="32"/>
      <c r="D35" s="32"/>
      <c r="E35" s="54"/>
      <c r="F35" s="22"/>
      <c r="G35" s="25"/>
      <c r="H35" s="7"/>
      <c r="I35" s="50"/>
      <c r="J35" s="10"/>
      <c r="K35" s="50"/>
      <c r="L35" s="7"/>
      <c r="M35" s="50"/>
      <c r="N35" s="7"/>
      <c r="O35" s="50"/>
      <c r="P35" s="7"/>
      <c r="Q35" s="50"/>
      <c r="R35" s="7"/>
      <c r="S35" s="50"/>
      <c r="U35" s="18"/>
      <c r="V35" s="18"/>
      <c r="W35" s="18"/>
      <c r="X35" s="18"/>
      <c r="Y35" s="18"/>
    </row>
    <row r="36" spans="1:25" ht="24" customHeight="1" x14ac:dyDescent="0.3">
      <c r="A36" s="287"/>
      <c r="B36" s="24" t="s">
        <v>141</v>
      </c>
      <c r="C36" s="32"/>
      <c r="D36" s="56"/>
      <c r="E36" s="54"/>
      <c r="F36" s="22"/>
      <c r="G36" s="25"/>
      <c r="H36" s="43"/>
      <c r="I36" s="50"/>
      <c r="J36" s="10"/>
      <c r="K36" s="50"/>
      <c r="L36" s="7"/>
      <c r="M36" s="50"/>
      <c r="N36" s="7"/>
      <c r="O36" s="50"/>
      <c r="P36" s="7"/>
      <c r="Q36" s="76"/>
      <c r="R36" s="7"/>
      <c r="S36" s="50"/>
      <c r="U36" s="18"/>
      <c r="V36" s="18"/>
      <c r="W36" s="18"/>
      <c r="X36" s="18"/>
      <c r="Y36" s="18"/>
    </row>
    <row r="37" spans="1:25" ht="24" customHeight="1" x14ac:dyDescent="0.3">
      <c r="A37" s="287"/>
      <c r="B37" s="24" t="s">
        <v>142</v>
      </c>
      <c r="C37" s="32"/>
      <c r="D37" s="32"/>
      <c r="E37" s="54"/>
      <c r="F37" s="22"/>
      <c r="G37" s="25"/>
      <c r="H37" s="43"/>
      <c r="I37" s="50"/>
      <c r="J37" s="10"/>
      <c r="K37" s="50"/>
      <c r="L37" s="7"/>
      <c r="M37" s="50"/>
      <c r="N37" s="7"/>
      <c r="O37" s="50"/>
      <c r="P37" s="7"/>
      <c r="Q37" s="50"/>
      <c r="R37" s="7"/>
      <c r="S37" s="50"/>
      <c r="U37" s="18"/>
      <c r="V37" s="18"/>
      <c r="W37" s="18"/>
      <c r="X37" s="18"/>
      <c r="Y37" s="18"/>
    </row>
    <row r="38" spans="1:25" ht="24" customHeight="1" x14ac:dyDescent="0.3">
      <c r="A38" s="287"/>
      <c r="B38" s="24" t="s">
        <v>144</v>
      </c>
      <c r="C38" s="32">
        <v>2</v>
      </c>
      <c r="D38" s="32"/>
      <c r="E38" s="101"/>
      <c r="F38" s="22"/>
      <c r="G38" s="25"/>
      <c r="H38" s="43"/>
      <c r="I38" s="50"/>
      <c r="J38" s="10"/>
      <c r="K38" s="50"/>
      <c r="L38" s="7"/>
      <c r="M38" s="50"/>
      <c r="N38" s="7"/>
      <c r="O38" s="50"/>
      <c r="P38" s="7"/>
      <c r="Q38" s="50"/>
      <c r="R38" s="7"/>
      <c r="S38" s="50"/>
      <c r="U38" s="18"/>
      <c r="V38" s="18"/>
      <c r="W38" s="18"/>
      <c r="X38" s="18"/>
      <c r="Y38" s="18"/>
    </row>
    <row r="39" spans="1:25" ht="24" customHeight="1" x14ac:dyDescent="0.3">
      <c r="A39" s="287"/>
      <c r="B39" s="24" t="s">
        <v>146</v>
      </c>
      <c r="C39" s="32"/>
      <c r="D39" s="32"/>
      <c r="E39" s="54"/>
      <c r="F39" s="22"/>
      <c r="G39" s="25"/>
      <c r="H39" s="43"/>
      <c r="I39" s="50"/>
      <c r="J39" s="10"/>
      <c r="K39" s="50"/>
      <c r="L39" s="7"/>
      <c r="M39" s="50"/>
      <c r="N39" s="7"/>
      <c r="O39" s="50"/>
      <c r="P39" s="7"/>
      <c r="Q39" s="50"/>
      <c r="R39" s="7"/>
      <c r="S39" s="50"/>
      <c r="U39" s="18"/>
      <c r="V39" s="18"/>
      <c r="W39" s="18"/>
      <c r="X39" s="18"/>
      <c r="Y39" s="18"/>
    </row>
    <row r="40" spans="1:25" ht="24" customHeight="1" x14ac:dyDescent="0.3">
      <c r="A40" s="287"/>
      <c r="B40" s="24" t="s">
        <v>136</v>
      </c>
      <c r="C40" s="32">
        <v>3</v>
      </c>
      <c r="D40" s="32"/>
      <c r="E40" s="54"/>
      <c r="F40" s="22"/>
      <c r="G40" s="25"/>
      <c r="H40" s="43"/>
      <c r="I40" s="50"/>
      <c r="J40" s="10"/>
      <c r="K40" s="50"/>
      <c r="L40" s="7"/>
      <c r="M40" s="50"/>
      <c r="N40" s="7"/>
      <c r="O40" s="50"/>
      <c r="P40" s="7"/>
      <c r="Q40" s="50"/>
      <c r="R40" s="7"/>
      <c r="S40" s="50"/>
      <c r="U40" s="18"/>
      <c r="V40" s="18"/>
      <c r="W40" s="18"/>
      <c r="X40" s="18"/>
      <c r="Y40" s="18"/>
    </row>
    <row r="41" spans="1:25" ht="24" customHeight="1" x14ac:dyDescent="0.3">
      <c r="A41" s="287"/>
      <c r="B41" s="24" t="s">
        <v>139</v>
      </c>
      <c r="C41" s="32"/>
      <c r="D41" s="32"/>
      <c r="E41" s="54"/>
      <c r="F41" s="22"/>
      <c r="G41" s="25"/>
      <c r="H41" s="10"/>
      <c r="I41" s="50"/>
      <c r="J41" s="10"/>
      <c r="K41" s="50"/>
      <c r="L41" s="7"/>
      <c r="M41" s="50"/>
      <c r="N41" s="7"/>
      <c r="O41" s="50"/>
      <c r="P41" s="7"/>
      <c r="Q41" s="50"/>
      <c r="R41" s="7"/>
      <c r="S41" s="50"/>
      <c r="U41" s="18"/>
      <c r="V41" s="18"/>
      <c r="W41" s="18"/>
      <c r="X41" s="18"/>
      <c r="Y41" s="18"/>
    </row>
    <row r="42" spans="1:25" ht="24" customHeight="1" x14ac:dyDescent="0.3">
      <c r="A42" s="287"/>
      <c r="B42" s="24" t="s">
        <v>137</v>
      </c>
      <c r="C42" s="32"/>
      <c r="D42" s="32"/>
      <c r="E42" s="54"/>
      <c r="F42" s="22"/>
      <c r="G42" s="25"/>
      <c r="H42" s="7"/>
      <c r="I42" s="50"/>
      <c r="J42" s="10"/>
      <c r="K42" s="50"/>
      <c r="L42" s="7"/>
      <c r="M42" s="50"/>
      <c r="N42" s="7"/>
      <c r="O42" s="50"/>
      <c r="P42" s="7"/>
      <c r="Q42" s="50"/>
      <c r="R42" s="7"/>
      <c r="S42" s="50"/>
      <c r="U42" s="18"/>
      <c r="V42" s="18"/>
      <c r="W42" s="18"/>
      <c r="X42" s="18"/>
      <c r="Y42" s="18"/>
    </row>
    <row r="43" spans="1:25" ht="27" thickBot="1" x14ac:dyDescent="0.35">
      <c r="A43" s="288"/>
      <c r="B43" s="26"/>
      <c r="C43" s="27">
        <f>SUM(C23:C42)</f>
        <v>15</v>
      </c>
      <c r="D43" s="27">
        <f>SUM(D23:D42)</f>
        <v>0</v>
      </c>
      <c r="E43" s="27">
        <f>SUM(E23:E42)</f>
        <v>1</v>
      </c>
      <c r="F43" s="27">
        <f>SUM(F23:F42)</f>
        <v>0</v>
      </c>
      <c r="G43" s="217"/>
      <c r="H43" s="2">
        <f t="shared" ref="H43:S43" si="2">SUM(H23:H42)</f>
        <v>0</v>
      </c>
      <c r="I43" s="2">
        <f t="shared" si="2"/>
        <v>0</v>
      </c>
      <c r="J43" s="2">
        <f t="shared" si="2"/>
        <v>0</v>
      </c>
      <c r="K43" s="2">
        <f t="shared" si="2"/>
        <v>0</v>
      </c>
      <c r="L43" s="2">
        <f t="shared" si="2"/>
        <v>2</v>
      </c>
      <c r="M43" s="2">
        <f t="shared" si="2"/>
        <v>0</v>
      </c>
      <c r="N43" s="2">
        <f t="shared" si="2"/>
        <v>0</v>
      </c>
      <c r="O43" s="2">
        <f t="shared" si="2"/>
        <v>0</v>
      </c>
      <c r="P43" s="2">
        <f t="shared" si="2"/>
        <v>0</v>
      </c>
      <c r="Q43" s="2">
        <f t="shared" si="2"/>
        <v>0</v>
      </c>
      <c r="R43" s="2">
        <f t="shared" si="2"/>
        <v>0</v>
      </c>
      <c r="S43" s="2">
        <f t="shared" si="2"/>
        <v>0</v>
      </c>
    </row>
    <row r="44" spans="1:25" ht="24" customHeight="1" thickTop="1" x14ac:dyDescent="0.3">
      <c r="A44" s="252" t="s">
        <v>13</v>
      </c>
      <c r="B44" s="3" t="s">
        <v>28</v>
      </c>
      <c r="C44" s="7"/>
      <c r="D44" s="7"/>
      <c r="E44" s="50"/>
      <c r="F44" s="50"/>
      <c r="G44" s="217"/>
      <c r="H44" s="7"/>
      <c r="I44" s="50"/>
      <c r="J44" s="10"/>
      <c r="K44" s="50"/>
      <c r="L44" s="7"/>
      <c r="M44" s="50"/>
      <c r="N44" s="7"/>
      <c r="O44" s="50"/>
      <c r="P44" s="7"/>
      <c r="Q44" s="50"/>
      <c r="R44" s="7"/>
      <c r="S44" s="50"/>
    </row>
    <row r="45" spans="1:25" ht="24" customHeight="1" x14ac:dyDescent="0.3">
      <c r="A45" s="252"/>
      <c r="B45" s="3" t="s">
        <v>29</v>
      </c>
      <c r="C45" s="77"/>
      <c r="D45" s="7"/>
      <c r="E45" s="50"/>
      <c r="F45" s="50"/>
      <c r="G45" s="217"/>
      <c r="H45" s="7"/>
      <c r="I45" s="50"/>
      <c r="J45" s="10"/>
      <c r="K45" s="50"/>
      <c r="L45" s="7"/>
      <c r="M45" s="50"/>
      <c r="N45" s="7"/>
      <c r="O45" s="50"/>
      <c r="P45" s="7"/>
      <c r="Q45" s="50"/>
      <c r="R45" s="7"/>
      <c r="S45" s="50"/>
    </row>
    <row r="46" spans="1:25" ht="24" customHeight="1" x14ac:dyDescent="0.3">
      <c r="A46" s="252"/>
      <c r="B46" s="3" t="s">
        <v>125</v>
      </c>
      <c r="C46" s="7"/>
      <c r="D46" s="7"/>
      <c r="E46" s="50"/>
      <c r="F46" s="50"/>
      <c r="G46" s="217"/>
      <c r="H46" s="7"/>
      <c r="I46" s="50"/>
      <c r="J46" s="10"/>
      <c r="K46" s="50">
        <v>2</v>
      </c>
      <c r="L46" s="7"/>
      <c r="M46" s="50"/>
      <c r="N46" s="7">
        <v>1</v>
      </c>
      <c r="O46" s="50"/>
      <c r="P46" s="7"/>
      <c r="Q46" s="50"/>
      <c r="R46" s="7"/>
      <c r="S46" s="50"/>
    </row>
    <row r="47" spans="1:25" ht="24" customHeight="1" x14ac:dyDescent="0.3">
      <c r="A47" s="252"/>
      <c r="B47" s="3" t="s">
        <v>121</v>
      </c>
      <c r="C47" s="7"/>
      <c r="D47" s="7"/>
      <c r="E47" s="50"/>
      <c r="F47" s="50"/>
      <c r="G47" s="217"/>
      <c r="H47" s="7"/>
      <c r="I47" s="50"/>
      <c r="J47" s="10">
        <v>1</v>
      </c>
      <c r="K47" s="50"/>
      <c r="L47" s="7"/>
      <c r="M47" s="50"/>
      <c r="N47" s="7"/>
      <c r="O47" s="50"/>
      <c r="P47" s="7"/>
      <c r="Q47" s="50"/>
      <c r="R47" s="7"/>
      <c r="S47" s="50"/>
    </row>
    <row r="48" spans="1:25" ht="24" customHeight="1" x14ac:dyDescent="0.3">
      <c r="A48" s="252"/>
      <c r="B48" s="3" t="s">
        <v>122</v>
      </c>
      <c r="C48" s="7"/>
      <c r="D48" s="7"/>
      <c r="E48" s="50"/>
      <c r="F48" s="50"/>
      <c r="G48" s="217"/>
      <c r="H48" s="7"/>
      <c r="I48" s="50"/>
      <c r="J48" s="10"/>
      <c r="K48" s="50"/>
      <c r="L48" s="7"/>
      <c r="M48" s="50"/>
      <c r="N48" s="7"/>
      <c r="O48" s="50"/>
      <c r="P48" s="7"/>
      <c r="Q48" s="50"/>
      <c r="R48" s="7"/>
      <c r="S48" s="50"/>
    </row>
    <row r="49" spans="1:37" ht="24" customHeight="1" x14ac:dyDescent="0.3">
      <c r="A49" s="252"/>
      <c r="B49" s="3" t="s">
        <v>123</v>
      </c>
      <c r="C49" s="7"/>
      <c r="D49" s="7"/>
      <c r="E49" s="50"/>
      <c r="F49" s="50"/>
      <c r="G49" s="217"/>
      <c r="H49" s="7"/>
      <c r="I49" s="50"/>
      <c r="J49" s="10"/>
      <c r="K49" s="50"/>
      <c r="L49" s="7"/>
      <c r="M49" s="50"/>
      <c r="N49" s="7"/>
      <c r="O49" s="50"/>
      <c r="P49" s="7"/>
      <c r="Q49" s="50"/>
      <c r="R49" s="7"/>
      <c r="S49" s="50"/>
    </row>
    <row r="50" spans="1:37" ht="24" customHeight="1" x14ac:dyDescent="0.3">
      <c r="A50" s="252"/>
      <c r="B50" s="100" t="s">
        <v>126</v>
      </c>
      <c r="C50" s="7"/>
      <c r="D50" s="7"/>
      <c r="E50" s="50"/>
      <c r="F50" s="50"/>
      <c r="G50" s="217"/>
      <c r="H50" s="7"/>
      <c r="I50" s="50"/>
      <c r="J50" s="10"/>
      <c r="K50" s="50">
        <v>3</v>
      </c>
      <c r="L50" s="7"/>
      <c r="M50" s="50">
        <v>3</v>
      </c>
      <c r="N50" s="7"/>
      <c r="O50" s="50"/>
      <c r="P50" s="7"/>
      <c r="Q50" s="50"/>
      <c r="R50" s="7"/>
      <c r="S50" s="50"/>
    </row>
    <row r="51" spans="1:37" ht="24" customHeight="1" x14ac:dyDescent="0.3">
      <c r="A51" s="252"/>
      <c r="B51" s="100" t="s">
        <v>124</v>
      </c>
      <c r="C51" s="7"/>
      <c r="D51" s="7"/>
      <c r="E51" s="50"/>
      <c r="F51" s="50"/>
      <c r="G51" s="217"/>
      <c r="H51" s="7"/>
      <c r="I51" s="50"/>
      <c r="J51" s="10"/>
      <c r="K51" s="50"/>
      <c r="L51" s="7"/>
      <c r="M51" s="50"/>
      <c r="N51" s="7"/>
      <c r="O51" s="50"/>
      <c r="P51" s="7"/>
      <c r="Q51" s="50"/>
      <c r="R51" s="7"/>
      <c r="S51" s="50"/>
    </row>
    <row r="52" spans="1:37" ht="26.25" x14ac:dyDescent="0.3">
      <c r="A52" s="279"/>
      <c r="B52" s="122"/>
      <c r="C52" s="123">
        <f>SUM(C44:C51)</f>
        <v>0</v>
      </c>
      <c r="D52" s="123">
        <f>SUM(D44:D51)</f>
        <v>0</v>
      </c>
      <c r="E52" s="123">
        <f>SUM(E44:E51)</f>
        <v>0</v>
      </c>
      <c r="F52" s="123">
        <f>SUM(F44:F51)</f>
        <v>0</v>
      </c>
      <c r="G52" s="217"/>
      <c r="H52" s="2">
        <f t="shared" ref="H52:S52" si="3">SUM(H44:H51)</f>
        <v>0</v>
      </c>
      <c r="I52" s="123">
        <f t="shared" si="3"/>
        <v>0</v>
      </c>
      <c r="J52" s="123">
        <f t="shared" si="3"/>
        <v>1</v>
      </c>
      <c r="K52" s="123">
        <f t="shared" si="3"/>
        <v>5</v>
      </c>
      <c r="L52" s="123">
        <f t="shared" si="3"/>
        <v>0</v>
      </c>
      <c r="M52" s="123">
        <f t="shared" si="3"/>
        <v>3</v>
      </c>
      <c r="N52" s="123">
        <f t="shared" si="3"/>
        <v>1</v>
      </c>
      <c r="O52" s="123">
        <f t="shared" si="3"/>
        <v>0</v>
      </c>
      <c r="P52" s="123">
        <f t="shared" si="3"/>
        <v>0</v>
      </c>
      <c r="Q52" s="123">
        <f t="shared" si="3"/>
        <v>0</v>
      </c>
      <c r="R52" s="123">
        <f t="shared" si="3"/>
        <v>0</v>
      </c>
      <c r="S52" s="123">
        <f t="shared" si="3"/>
        <v>0</v>
      </c>
      <c r="Y52" s="254"/>
      <c r="Z52" s="254"/>
      <c r="AA52" s="254"/>
      <c r="AB52" s="254"/>
      <c r="AD52" s="234"/>
      <c r="AE52" s="234"/>
      <c r="AF52" s="234"/>
      <c r="AG52" s="234"/>
      <c r="AH52" s="234"/>
      <c r="AJ52" s="234"/>
      <c r="AK52" s="234"/>
    </row>
    <row r="53" spans="1:37" ht="24" customHeight="1" x14ac:dyDescent="0.3">
      <c r="A53" s="253" t="s">
        <v>118</v>
      </c>
      <c r="B53" s="3" t="s">
        <v>171</v>
      </c>
      <c r="C53" s="7"/>
      <c r="D53" s="7"/>
      <c r="E53" s="50"/>
      <c r="F53" s="50"/>
      <c r="G53" s="217"/>
      <c r="H53" s="7"/>
      <c r="I53" s="50"/>
      <c r="J53" s="10"/>
      <c r="K53" s="50"/>
      <c r="L53" s="7"/>
      <c r="M53" s="50"/>
      <c r="N53" s="7"/>
      <c r="O53" s="50"/>
      <c r="P53" s="7"/>
      <c r="Q53" s="50"/>
      <c r="R53" s="7"/>
      <c r="S53" s="50"/>
    </row>
    <row r="54" spans="1:37" ht="24" customHeight="1" x14ac:dyDescent="0.3">
      <c r="A54" s="253"/>
      <c r="B54" s="3" t="s">
        <v>168</v>
      </c>
      <c r="C54" s="7"/>
      <c r="D54" s="7"/>
      <c r="E54" s="50"/>
      <c r="F54" s="50"/>
      <c r="G54" s="217"/>
      <c r="H54" s="7"/>
      <c r="I54" s="50"/>
      <c r="J54" s="10"/>
      <c r="K54" s="50"/>
      <c r="L54" s="7"/>
      <c r="M54" s="50"/>
      <c r="N54" s="7"/>
      <c r="O54" s="50"/>
      <c r="P54" s="7"/>
      <c r="Q54" s="50"/>
      <c r="R54" s="7"/>
      <c r="S54" s="50"/>
    </row>
    <row r="55" spans="1:37" ht="24" customHeight="1" x14ac:dyDescent="0.3">
      <c r="A55" s="253"/>
      <c r="B55" s="3" t="s">
        <v>170</v>
      </c>
      <c r="C55" s="7"/>
      <c r="D55" s="7"/>
      <c r="E55" s="50"/>
      <c r="F55" s="50"/>
      <c r="G55" s="217"/>
      <c r="H55" s="7"/>
      <c r="I55" s="50"/>
      <c r="J55" s="10"/>
      <c r="L55" s="7"/>
      <c r="M55" s="50"/>
      <c r="N55" s="7"/>
      <c r="O55" s="50"/>
      <c r="P55" s="7"/>
      <c r="Q55" s="50"/>
      <c r="R55" s="7"/>
      <c r="S55" s="50"/>
    </row>
    <row r="56" spans="1:37" ht="24" customHeight="1" x14ac:dyDescent="0.3">
      <c r="A56" s="253"/>
      <c r="B56" s="100" t="s">
        <v>166</v>
      </c>
      <c r="C56" s="7"/>
      <c r="D56" s="7"/>
      <c r="E56" s="50"/>
      <c r="F56" s="50"/>
      <c r="G56" s="217"/>
      <c r="H56" s="7"/>
      <c r="I56" s="50"/>
      <c r="J56" s="10"/>
      <c r="K56" s="50"/>
      <c r="L56" s="7">
        <v>2</v>
      </c>
      <c r="M56" s="50"/>
      <c r="N56" s="7">
        <v>2</v>
      </c>
      <c r="O56" s="50">
        <v>2</v>
      </c>
      <c r="P56" s="7"/>
      <c r="Q56" s="50"/>
      <c r="R56" s="7"/>
      <c r="S56" s="50"/>
    </row>
    <row r="57" spans="1:37" ht="24" customHeight="1" x14ac:dyDescent="0.3">
      <c r="A57" s="253"/>
      <c r="B57" s="100" t="s">
        <v>167</v>
      </c>
      <c r="C57" s="7"/>
      <c r="D57" s="7"/>
      <c r="E57" s="50"/>
      <c r="F57" s="50"/>
      <c r="G57" s="217"/>
      <c r="H57" s="7"/>
      <c r="I57" s="50"/>
      <c r="J57" s="10"/>
      <c r="K57" s="50"/>
      <c r="L57" s="7"/>
      <c r="M57" s="50"/>
      <c r="N57" s="7"/>
      <c r="O57" s="50">
        <v>1</v>
      </c>
      <c r="P57" s="7"/>
      <c r="Q57" s="50"/>
      <c r="R57" s="7"/>
      <c r="S57" s="50"/>
    </row>
    <row r="58" spans="1:37" ht="24" customHeight="1" x14ac:dyDescent="0.3">
      <c r="A58" s="253"/>
      <c r="B58" s="100" t="s">
        <v>172</v>
      </c>
      <c r="C58" s="7"/>
      <c r="D58" s="7"/>
      <c r="E58" s="50"/>
      <c r="F58" s="50"/>
      <c r="G58" s="217"/>
      <c r="H58" s="7"/>
      <c r="I58" s="50"/>
      <c r="J58" s="10">
        <v>2</v>
      </c>
      <c r="K58" s="50"/>
      <c r="L58" s="7"/>
      <c r="M58" s="50"/>
      <c r="N58" s="7"/>
      <c r="O58" s="50"/>
      <c r="P58" s="7"/>
      <c r="Q58" s="50"/>
      <c r="R58" s="7"/>
      <c r="S58" s="50"/>
    </row>
    <row r="59" spans="1:37" ht="24" customHeight="1" x14ac:dyDescent="0.3">
      <c r="A59" s="253"/>
      <c r="B59" s="100" t="s">
        <v>165</v>
      </c>
      <c r="C59" s="7"/>
      <c r="D59" s="7"/>
      <c r="E59" s="50"/>
      <c r="F59" s="50"/>
      <c r="G59" s="217"/>
      <c r="H59" s="7"/>
      <c r="I59" s="50"/>
      <c r="J59" s="10"/>
      <c r="K59" s="50"/>
      <c r="L59" s="7"/>
      <c r="M59" s="50"/>
      <c r="N59" s="7"/>
      <c r="O59" s="50"/>
      <c r="P59" s="7"/>
      <c r="Q59" s="50"/>
      <c r="R59" s="7"/>
      <c r="S59" s="50"/>
    </row>
    <row r="60" spans="1:37" ht="24" customHeight="1" x14ac:dyDescent="0.3">
      <c r="A60" s="253"/>
      <c r="B60" s="3" t="s">
        <v>173</v>
      </c>
      <c r="C60" s="7"/>
      <c r="D60" s="7"/>
      <c r="E60" s="50"/>
      <c r="F60" s="50"/>
      <c r="G60" s="217"/>
      <c r="H60" s="7"/>
      <c r="I60" s="50"/>
      <c r="J60" s="10"/>
      <c r="K60" s="50"/>
      <c r="L60" s="7"/>
      <c r="M60" s="50"/>
      <c r="N60" s="7"/>
      <c r="O60" s="50"/>
      <c r="P60" s="7"/>
      <c r="Q60" s="50"/>
      <c r="R60" s="7"/>
      <c r="S60" s="50"/>
    </row>
    <row r="61" spans="1:37" ht="24" customHeight="1" x14ac:dyDescent="0.3">
      <c r="A61" s="253"/>
      <c r="B61" s="3" t="s">
        <v>169</v>
      </c>
      <c r="C61" s="7"/>
      <c r="D61" s="7"/>
      <c r="E61" s="50"/>
      <c r="F61" s="50"/>
      <c r="G61" s="217"/>
      <c r="H61" s="7"/>
      <c r="I61" s="50"/>
      <c r="J61" s="10"/>
      <c r="K61" s="50"/>
      <c r="L61" s="7"/>
      <c r="M61" s="50"/>
      <c r="N61" s="7"/>
      <c r="O61" s="50"/>
      <c r="P61" s="7"/>
      <c r="Q61" s="50"/>
      <c r="R61" s="7"/>
      <c r="S61" s="50"/>
    </row>
    <row r="62" spans="1:37" ht="26.25" x14ac:dyDescent="0.3">
      <c r="A62" s="253"/>
      <c r="B62" s="2"/>
      <c r="C62" s="2">
        <f>SUM(C53:C61)</f>
        <v>0</v>
      </c>
      <c r="D62" s="2">
        <f>SUM(D53:D61)</f>
        <v>0</v>
      </c>
      <c r="E62" s="2">
        <f>SUM(E53:E61)</f>
        <v>0</v>
      </c>
      <c r="F62" s="2">
        <f>SUM(F53:F61)</f>
        <v>0</v>
      </c>
      <c r="G62" s="217"/>
      <c r="H62" s="2">
        <f t="shared" ref="H62:S62" si="4">SUM(H53:H61)</f>
        <v>0</v>
      </c>
      <c r="I62" s="2">
        <f t="shared" si="4"/>
        <v>0</v>
      </c>
      <c r="J62" s="2">
        <f t="shared" si="4"/>
        <v>2</v>
      </c>
      <c r="K62" s="2">
        <f t="shared" si="4"/>
        <v>0</v>
      </c>
      <c r="L62" s="2">
        <f t="shared" si="4"/>
        <v>2</v>
      </c>
      <c r="M62" s="2">
        <f t="shared" si="4"/>
        <v>0</v>
      </c>
      <c r="N62" s="2">
        <f t="shared" si="4"/>
        <v>2</v>
      </c>
      <c r="O62" s="2">
        <f t="shared" si="4"/>
        <v>3</v>
      </c>
      <c r="P62" s="2">
        <f t="shared" si="4"/>
        <v>0</v>
      </c>
      <c r="Q62" s="2">
        <f t="shared" si="4"/>
        <v>0</v>
      </c>
      <c r="R62" s="2">
        <f t="shared" si="4"/>
        <v>0</v>
      </c>
      <c r="S62" s="2">
        <f t="shared" si="4"/>
        <v>0</v>
      </c>
      <c r="Y62" s="254"/>
      <c r="Z62" s="254"/>
      <c r="AA62" s="254"/>
      <c r="AB62" s="254"/>
      <c r="AD62" s="234"/>
      <c r="AE62" s="234"/>
      <c r="AF62" s="234"/>
      <c r="AG62" s="234"/>
      <c r="AH62" s="234"/>
      <c r="AJ62" s="234"/>
      <c r="AK62" s="234"/>
    </row>
    <row r="64" spans="1:37" ht="19.5" customHeight="1" x14ac:dyDescent="0.35">
      <c r="A64" s="235" t="s">
        <v>23</v>
      </c>
      <c r="B64" s="235"/>
      <c r="C64" s="126">
        <v>47000</v>
      </c>
      <c r="D64" s="126">
        <v>4700</v>
      </c>
      <c r="E64" s="126">
        <v>58000</v>
      </c>
      <c r="F64" s="126">
        <v>5800</v>
      </c>
      <c r="H64" s="126">
        <v>5800</v>
      </c>
      <c r="I64" s="126">
        <v>4700</v>
      </c>
      <c r="J64" s="20">
        <v>6800</v>
      </c>
      <c r="K64" s="20">
        <v>5200</v>
      </c>
      <c r="L64" s="20">
        <v>20700</v>
      </c>
      <c r="M64" s="20">
        <v>6400</v>
      </c>
      <c r="N64" s="20">
        <v>18700</v>
      </c>
      <c r="O64" s="126">
        <v>8800</v>
      </c>
      <c r="P64" s="126">
        <v>15000</v>
      </c>
      <c r="Q64" s="20">
        <v>18700</v>
      </c>
      <c r="R64" s="20">
        <v>25700</v>
      </c>
      <c r="S64" s="20">
        <v>18000</v>
      </c>
      <c r="U64" s="236">
        <f>P67*0.85</f>
        <v>3616240</v>
      </c>
      <c r="V64" s="237"/>
      <c r="W64" s="238"/>
      <c r="Y64" s="242">
        <f>P69-P67</f>
        <v>0</v>
      </c>
      <c r="Z64" s="243"/>
      <c r="AA64" s="243"/>
      <c r="AB64" s="243"/>
      <c r="AD64" s="234"/>
      <c r="AE64" s="234"/>
      <c r="AF64" s="234"/>
      <c r="AG64" s="234"/>
      <c r="AH64" s="234"/>
      <c r="AJ64" s="234"/>
      <c r="AK64" s="234"/>
    </row>
    <row r="65" spans="1:37" ht="19.5" customHeight="1" x14ac:dyDescent="0.35">
      <c r="A65" s="235" t="s">
        <v>24</v>
      </c>
      <c r="B65" s="235"/>
      <c r="C65" s="20">
        <f>C64*C3</f>
        <v>3619000</v>
      </c>
      <c r="D65" s="20">
        <f>D64*D3</f>
        <v>0</v>
      </c>
      <c r="E65" s="20">
        <f>E64*E3</f>
        <v>174000</v>
      </c>
      <c r="F65" s="20">
        <f>F64*F3</f>
        <v>197200</v>
      </c>
      <c r="H65" s="20">
        <f t="shared" ref="H65:S65" si="5">H64*H3</f>
        <v>5800</v>
      </c>
      <c r="I65" s="20">
        <f t="shared" si="5"/>
        <v>0</v>
      </c>
      <c r="J65" s="20">
        <f t="shared" si="5"/>
        <v>20400</v>
      </c>
      <c r="K65" s="20">
        <f t="shared" si="5"/>
        <v>26000</v>
      </c>
      <c r="L65" s="20">
        <f t="shared" si="5"/>
        <v>82800</v>
      </c>
      <c r="M65" s="20">
        <f t="shared" si="5"/>
        <v>19200</v>
      </c>
      <c r="N65" s="20">
        <f t="shared" si="5"/>
        <v>74800</v>
      </c>
      <c r="O65" s="20">
        <f t="shared" si="5"/>
        <v>35200</v>
      </c>
      <c r="P65" s="20">
        <f t="shared" si="5"/>
        <v>0</v>
      </c>
      <c r="Q65" s="20">
        <f t="shared" si="5"/>
        <v>0</v>
      </c>
      <c r="R65" s="20">
        <f t="shared" si="5"/>
        <v>0</v>
      </c>
      <c r="S65" s="20">
        <f t="shared" si="5"/>
        <v>0</v>
      </c>
      <c r="U65" s="239"/>
      <c r="V65" s="240"/>
      <c r="W65" s="241"/>
      <c r="Y65" s="243"/>
      <c r="Z65" s="243"/>
      <c r="AA65" s="243"/>
      <c r="AB65" s="243"/>
      <c r="AD65" s="234"/>
      <c r="AE65" s="234"/>
      <c r="AF65" s="234"/>
      <c r="AG65" s="234"/>
      <c r="AH65" s="234"/>
      <c r="AJ65" s="234"/>
      <c r="AK65" s="234"/>
    </row>
    <row r="67" spans="1:37" ht="26.25" x14ac:dyDescent="0.3">
      <c r="P67" s="259">
        <f>SUM(C65:S65)</f>
        <v>4254400</v>
      </c>
      <c r="Q67" s="260"/>
      <c r="U67" s="247"/>
      <c r="V67" s="248"/>
      <c r="W67" s="248"/>
      <c r="Y67" s="249"/>
      <c r="Z67" s="250"/>
      <c r="AA67" s="250"/>
      <c r="AB67" s="251"/>
    </row>
    <row r="69" spans="1:37" ht="26.25" x14ac:dyDescent="0.3">
      <c r="C69" s="244"/>
      <c r="D69" s="245"/>
      <c r="P69" s="246">
        <v>4254400</v>
      </c>
      <c r="Q69" s="246"/>
      <c r="U69" s="247">
        <f>P69*0.85</f>
        <v>3616240</v>
      </c>
      <c r="V69" s="248"/>
      <c r="W69" s="248"/>
      <c r="Y69" s="249"/>
      <c r="Z69" s="250"/>
      <c r="AA69" s="250"/>
      <c r="AB69" s="251"/>
    </row>
    <row r="70" spans="1:37" x14ac:dyDescent="0.3">
      <c r="Q70" s="18"/>
      <c r="S70" s="18"/>
      <c r="U70" s="245"/>
      <c r="V70" s="245"/>
      <c r="W70" s="245"/>
      <c r="Y70" s="255"/>
      <c r="Z70" s="256"/>
      <c r="AA70" s="256"/>
      <c r="AB70" s="256"/>
    </row>
    <row r="71" spans="1:37" x14ac:dyDescent="0.3">
      <c r="P71" s="244"/>
      <c r="Q71" s="245"/>
      <c r="U71" s="245"/>
      <c r="V71" s="245"/>
      <c r="W71" s="245"/>
      <c r="Y71" s="245"/>
      <c r="Z71" s="245"/>
      <c r="AA71" s="245"/>
      <c r="AB71" s="245"/>
    </row>
    <row r="72" spans="1:37" x14ac:dyDescent="0.3">
      <c r="P72" s="245"/>
      <c r="Q72" s="245"/>
      <c r="U72" s="245"/>
      <c r="V72" s="245"/>
      <c r="W72" s="245"/>
      <c r="Y72" s="245"/>
      <c r="Z72" s="245"/>
      <c r="AA72" s="245"/>
      <c r="AB72" s="245"/>
    </row>
    <row r="73" spans="1:37" x14ac:dyDescent="0.3">
      <c r="P73" s="18"/>
      <c r="Q73" s="18"/>
      <c r="S73" s="18"/>
      <c r="Y73" s="245"/>
      <c r="Z73" s="245"/>
      <c r="AA73" s="245"/>
      <c r="AB73" s="245"/>
    </row>
    <row r="74" spans="1:37" x14ac:dyDescent="0.3">
      <c r="C74">
        <f>C64*0.85</f>
        <v>39950</v>
      </c>
      <c r="D74">
        <f>D64*0.85</f>
        <v>3995</v>
      </c>
      <c r="E74">
        <f>E64*0.85</f>
        <v>49300</v>
      </c>
      <c r="F74">
        <f>F64*0.85</f>
        <v>4930</v>
      </c>
      <c r="H74">
        <f t="shared" ref="H74:S74" si="6">H64*0.85</f>
        <v>4930</v>
      </c>
      <c r="I74">
        <f t="shared" si="6"/>
        <v>3995</v>
      </c>
      <c r="J74">
        <f t="shared" si="6"/>
        <v>5780</v>
      </c>
      <c r="K74">
        <f t="shared" si="6"/>
        <v>4420</v>
      </c>
      <c r="L74">
        <f t="shared" si="6"/>
        <v>17595</v>
      </c>
      <c r="M74">
        <f t="shared" si="6"/>
        <v>5440</v>
      </c>
      <c r="N74">
        <f t="shared" si="6"/>
        <v>15895</v>
      </c>
      <c r="O74">
        <f t="shared" si="6"/>
        <v>7480</v>
      </c>
      <c r="P74">
        <f t="shared" si="6"/>
        <v>12750</v>
      </c>
      <c r="Q74">
        <f t="shared" si="6"/>
        <v>15895</v>
      </c>
      <c r="R74">
        <f t="shared" si="6"/>
        <v>21845</v>
      </c>
      <c r="S74">
        <f t="shared" si="6"/>
        <v>15300</v>
      </c>
    </row>
    <row r="75" spans="1:37" x14ac:dyDescent="0.3">
      <c r="C75">
        <v>29500</v>
      </c>
      <c r="D75">
        <v>2950</v>
      </c>
      <c r="E75">
        <v>51000</v>
      </c>
      <c r="F75">
        <v>5100</v>
      </c>
      <c r="H75">
        <v>3600</v>
      </c>
      <c r="I75">
        <v>2950</v>
      </c>
      <c r="J75">
        <v>4000</v>
      </c>
      <c r="K75">
        <v>4200</v>
      </c>
      <c r="L75">
        <v>15000</v>
      </c>
      <c r="M75">
        <v>4500</v>
      </c>
      <c r="N75">
        <v>9500</v>
      </c>
      <c r="O75">
        <v>12000</v>
      </c>
      <c r="P75">
        <v>8000</v>
      </c>
      <c r="Q75">
        <v>12000</v>
      </c>
      <c r="R75">
        <v>8500</v>
      </c>
    </row>
    <row r="76" spans="1:37" x14ac:dyDescent="0.3">
      <c r="C76">
        <f>C74-C75</f>
        <v>10450</v>
      </c>
      <c r="D76">
        <f t="shared" ref="D76:R76" si="7">D74-D75</f>
        <v>1045</v>
      </c>
      <c r="E76">
        <f t="shared" si="7"/>
        <v>-1700</v>
      </c>
      <c r="F76">
        <f t="shared" si="7"/>
        <v>-170</v>
      </c>
      <c r="H76">
        <f t="shared" si="7"/>
        <v>1330</v>
      </c>
      <c r="I76">
        <f t="shared" si="7"/>
        <v>1045</v>
      </c>
      <c r="J76">
        <f t="shared" si="7"/>
        <v>1780</v>
      </c>
      <c r="K76">
        <f t="shared" si="7"/>
        <v>220</v>
      </c>
      <c r="L76">
        <f t="shared" si="7"/>
        <v>2595</v>
      </c>
      <c r="M76">
        <f t="shared" si="7"/>
        <v>940</v>
      </c>
      <c r="N76">
        <f t="shared" si="7"/>
        <v>6395</v>
      </c>
      <c r="O76">
        <f t="shared" si="7"/>
        <v>-4520</v>
      </c>
      <c r="P76">
        <f t="shared" si="7"/>
        <v>4750</v>
      </c>
      <c r="Q76">
        <f t="shared" si="7"/>
        <v>3895</v>
      </c>
      <c r="R76">
        <f t="shared" si="7"/>
        <v>13345</v>
      </c>
    </row>
    <row r="77" spans="1:37" x14ac:dyDescent="0.3">
      <c r="C77">
        <f t="shared" ref="C77:R77" si="8">C76*C3</f>
        <v>804650</v>
      </c>
      <c r="D77">
        <f t="shared" si="8"/>
        <v>0</v>
      </c>
      <c r="E77">
        <f t="shared" si="8"/>
        <v>-5100</v>
      </c>
      <c r="F77">
        <f t="shared" si="8"/>
        <v>-5780</v>
      </c>
      <c r="G77">
        <f t="shared" si="8"/>
        <v>0</v>
      </c>
      <c r="H77">
        <f t="shared" si="8"/>
        <v>1330</v>
      </c>
      <c r="I77">
        <f t="shared" si="8"/>
        <v>0</v>
      </c>
      <c r="J77">
        <f t="shared" si="8"/>
        <v>5340</v>
      </c>
      <c r="K77">
        <f t="shared" si="8"/>
        <v>1100</v>
      </c>
      <c r="L77">
        <f t="shared" si="8"/>
        <v>10380</v>
      </c>
      <c r="M77">
        <f t="shared" si="8"/>
        <v>2820</v>
      </c>
      <c r="N77">
        <f t="shared" si="8"/>
        <v>25580</v>
      </c>
      <c r="O77">
        <f t="shared" si="8"/>
        <v>-18080</v>
      </c>
      <c r="P77">
        <f t="shared" si="8"/>
        <v>0</v>
      </c>
      <c r="Q77">
        <f t="shared" si="8"/>
        <v>0</v>
      </c>
      <c r="R77">
        <f t="shared" si="8"/>
        <v>0</v>
      </c>
      <c r="X77" s="245"/>
      <c r="Y77" s="245"/>
      <c r="Z77" s="245"/>
      <c r="AA77" s="245"/>
      <c r="AB77" s="245"/>
    </row>
    <row r="78" spans="1:37" x14ac:dyDescent="0.3">
      <c r="X78" s="245"/>
      <c r="Y78" s="245"/>
      <c r="Z78" s="245"/>
      <c r="AA78" s="245"/>
      <c r="AB78" s="245"/>
    </row>
    <row r="79" spans="1:37" ht="26.25" x14ac:dyDescent="0.3">
      <c r="P79" s="257">
        <f>SUM(C77:R77)</f>
        <v>822240</v>
      </c>
      <c r="Q79" s="258"/>
    </row>
  </sheetData>
  <mergeCells count="31">
    <mergeCell ref="U70:W72"/>
    <mergeCell ref="Y70:AB73"/>
    <mergeCell ref="P71:Q72"/>
    <mergeCell ref="X77:AB78"/>
    <mergeCell ref="P79:Q79"/>
    <mergeCell ref="P67:Q67"/>
    <mergeCell ref="U67:W67"/>
    <mergeCell ref="Y67:AB67"/>
    <mergeCell ref="C69:D69"/>
    <mergeCell ref="P69:Q69"/>
    <mergeCell ref="U69:W69"/>
    <mergeCell ref="Y69:AB69"/>
    <mergeCell ref="A64:B64"/>
    <mergeCell ref="U64:W65"/>
    <mergeCell ref="Y64:AB65"/>
    <mergeCell ref="AD64:AH65"/>
    <mergeCell ref="AJ64:AK65"/>
    <mergeCell ref="A65:B65"/>
    <mergeCell ref="Y52:AB52"/>
    <mergeCell ref="AD52:AH52"/>
    <mergeCell ref="AJ52:AK52"/>
    <mergeCell ref="A53:A62"/>
    <mergeCell ref="Y62:AB62"/>
    <mergeCell ref="AD62:AH62"/>
    <mergeCell ref="AJ62:AK62"/>
    <mergeCell ref="A1:B2"/>
    <mergeCell ref="C1:D1"/>
    <mergeCell ref="E1:F1"/>
    <mergeCell ref="A4:A22"/>
    <mergeCell ref="A23:A43"/>
    <mergeCell ref="A44:A52"/>
  </mergeCells>
  <phoneticPr fontId="57" type="noConversion"/>
  <conditionalFormatting sqref="B7:B11">
    <cfRule type="duplicateValues" dxfId="5" priority="2"/>
  </conditionalFormatting>
  <conditionalFormatting sqref="B44:B51">
    <cfRule type="duplicateValues" dxfId="4" priority="3"/>
  </conditionalFormatting>
  <conditionalFormatting sqref="B12">
    <cfRule type="duplicateValues" dxfId="3" priority="1"/>
  </conditionalFormatting>
  <conditionalFormatting sqref="B4:B6 B13:B21">
    <cfRule type="expression" dxfId="2" priority="4" stopIfTrue="1">
      <formula>AND(COUNTIF($B$4:$B$6, B4)+COUNTIF($B$13:$B$21, B4)&gt;1,NOT(ISBLANK(B4)))</formula>
    </cfRule>
  </conditionalFormatting>
  <conditionalFormatting sqref="B53:B61">
    <cfRule type="duplicateValues" dxfId="1" priority="5"/>
  </conditionalFormatting>
  <conditionalFormatting sqref="B23:B42">
    <cfRule type="duplicateValues" dxfId="0" priority="6"/>
  </conditionalFormatting>
  <printOptions horizontalCentered="1" verticalCentered="1"/>
  <pageMargins left="0" right="0" top="7.874015748031496E-2" bottom="7.874015748031496E-2" header="0" footer="0"/>
  <pageSetup paperSize="9" scale="23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R17"/>
  <sheetViews>
    <sheetView tabSelected="1" zoomScale="55" zoomScaleNormal="55" workbookViewId="0">
      <selection activeCell="H3" sqref="H3"/>
    </sheetView>
  </sheetViews>
  <sheetFormatPr defaultRowHeight="16.5" x14ac:dyDescent="0.3"/>
  <cols>
    <col min="1" max="2" width="23.125" customWidth="1"/>
    <col min="3" max="6" width="12.5" customWidth="1"/>
    <col min="7" max="13" width="17.875" customWidth="1"/>
    <col min="14" max="14" width="17.875" style="195" customWidth="1"/>
    <col min="15" max="15" width="17.875" customWidth="1"/>
    <col min="16" max="16" width="17.875" style="195" customWidth="1"/>
    <col min="17" max="18" width="17.875" customWidth="1"/>
  </cols>
  <sheetData>
    <row r="1" spans="1:18" ht="131.25" customHeight="1" x14ac:dyDescent="0.3">
      <c r="A1" s="305" t="s">
        <v>219</v>
      </c>
      <c r="B1" s="306"/>
      <c r="C1" s="307" t="s">
        <v>220</v>
      </c>
      <c r="D1" s="308"/>
      <c r="E1" s="309" t="s">
        <v>98</v>
      </c>
      <c r="F1" s="310"/>
      <c r="G1" s="199" t="s">
        <v>20</v>
      </c>
      <c r="H1" s="200" t="s">
        <v>21</v>
      </c>
      <c r="I1" s="201" t="s">
        <v>101</v>
      </c>
      <c r="J1" s="200" t="s">
        <v>100</v>
      </c>
      <c r="K1" s="201" t="s">
        <v>96</v>
      </c>
      <c r="L1" s="200" t="s">
        <v>183</v>
      </c>
      <c r="M1" s="201" t="s">
        <v>114</v>
      </c>
      <c r="N1" s="200" t="s">
        <v>190</v>
      </c>
      <c r="O1" s="201" t="s">
        <v>106</v>
      </c>
      <c r="P1" s="200" t="s">
        <v>105</v>
      </c>
      <c r="Q1" s="201" t="s">
        <v>115</v>
      </c>
      <c r="R1" s="200" t="s">
        <v>11</v>
      </c>
    </row>
    <row r="2" spans="1:18" ht="41.25" customHeight="1" x14ac:dyDescent="0.3">
      <c r="A2" s="297" t="s">
        <v>212</v>
      </c>
      <c r="B2" s="298"/>
      <c r="C2" s="299"/>
      <c r="D2" s="300"/>
      <c r="E2" s="303"/>
      <c r="F2" s="304"/>
      <c r="G2" s="185"/>
      <c r="H2" s="184"/>
      <c r="I2" s="185"/>
      <c r="J2" s="184"/>
      <c r="K2" s="188"/>
      <c r="L2" s="184"/>
      <c r="M2" s="185"/>
      <c r="N2" s="192"/>
      <c r="O2" s="185"/>
      <c r="P2" s="192"/>
      <c r="Q2" s="185"/>
      <c r="R2" s="186"/>
    </row>
    <row r="3" spans="1:18" ht="41.25" customHeight="1" x14ac:dyDescent="0.3">
      <c r="A3" s="297" t="s">
        <v>213</v>
      </c>
      <c r="B3" s="298"/>
      <c r="C3" s="299"/>
      <c r="D3" s="300"/>
      <c r="E3" s="301"/>
      <c r="F3" s="302"/>
      <c r="G3" s="188"/>
      <c r="H3" s="187"/>
      <c r="I3" s="188"/>
      <c r="J3" s="187"/>
      <c r="K3" s="188"/>
      <c r="L3" s="187"/>
      <c r="M3" s="197"/>
      <c r="N3" s="193"/>
      <c r="O3" s="188"/>
      <c r="P3" s="196"/>
      <c r="Q3" s="188"/>
      <c r="R3" s="198"/>
    </row>
    <row r="4" spans="1:18" ht="41.25" customHeight="1" x14ac:dyDescent="0.3">
      <c r="A4" s="295" t="s">
        <v>214</v>
      </c>
      <c r="B4" s="296"/>
      <c r="C4" s="190" t="s">
        <v>215</v>
      </c>
      <c r="D4" s="190" t="s">
        <v>216</v>
      </c>
      <c r="E4" s="194" t="s">
        <v>215</v>
      </c>
      <c r="F4" s="194" t="s">
        <v>216</v>
      </c>
      <c r="G4" s="190" t="s">
        <v>216</v>
      </c>
      <c r="H4" s="189" t="s">
        <v>216</v>
      </c>
      <c r="I4" s="190" t="s">
        <v>216</v>
      </c>
      <c r="J4" s="189" t="s">
        <v>216</v>
      </c>
      <c r="K4" s="190" t="s">
        <v>216</v>
      </c>
      <c r="L4" s="189" t="s">
        <v>216</v>
      </c>
      <c r="M4" s="190" t="s">
        <v>216</v>
      </c>
      <c r="N4" s="194" t="s">
        <v>216</v>
      </c>
      <c r="O4" s="190" t="s">
        <v>216</v>
      </c>
      <c r="P4" s="194" t="s">
        <v>216</v>
      </c>
      <c r="Q4" s="190" t="s">
        <v>216</v>
      </c>
      <c r="R4" s="189" t="s">
        <v>216</v>
      </c>
    </row>
    <row r="5" spans="1:18" ht="75.2" customHeight="1" x14ac:dyDescent="0.3">
      <c r="A5" s="293" t="s">
        <v>229</v>
      </c>
      <c r="B5" s="294"/>
      <c r="C5" s="221">
        <f>SUM(C6:C12)</f>
        <v>27</v>
      </c>
      <c r="D5" s="221">
        <f>SUM(D6:D12)</f>
        <v>0</v>
      </c>
      <c r="E5" s="221">
        <f>SUM(E6:E12)</f>
        <v>3</v>
      </c>
      <c r="F5" s="221">
        <f>SUM(F6:F12)</f>
        <v>34</v>
      </c>
      <c r="G5" s="221">
        <f>SUM(G6:G12)</f>
        <v>1</v>
      </c>
      <c r="H5" s="221"/>
      <c r="I5" s="221">
        <f t="shared" ref="I5:R5" si="0">SUM(I6:I12)</f>
        <v>3</v>
      </c>
      <c r="J5" s="221">
        <f t="shared" si="0"/>
        <v>5</v>
      </c>
      <c r="K5" s="221">
        <f t="shared" si="0"/>
        <v>4</v>
      </c>
      <c r="L5" s="221">
        <f t="shared" si="0"/>
        <v>3</v>
      </c>
      <c r="M5" s="221">
        <f t="shared" si="0"/>
        <v>4</v>
      </c>
      <c r="N5" s="221">
        <f t="shared" si="0"/>
        <v>4</v>
      </c>
      <c r="O5" s="221">
        <f t="shared" si="0"/>
        <v>0</v>
      </c>
      <c r="P5" s="221">
        <f t="shared" si="0"/>
        <v>0</v>
      </c>
      <c r="Q5" s="221">
        <f t="shared" si="0"/>
        <v>0</v>
      </c>
      <c r="R5" s="221">
        <f t="shared" si="0"/>
        <v>0</v>
      </c>
    </row>
    <row r="6" spans="1:18" ht="75.2" customHeight="1" x14ac:dyDescent="0.3">
      <c r="A6" s="191" t="s">
        <v>217</v>
      </c>
      <c r="B6" s="202" t="s">
        <v>218</v>
      </c>
      <c r="C6" s="203"/>
      <c r="D6" s="203"/>
      <c r="E6" s="204"/>
      <c r="F6" s="204"/>
      <c r="G6" s="203"/>
      <c r="H6" s="205"/>
      <c r="I6" s="203"/>
      <c r="J6" s="205"/>
      <c r="K6" s="203"/>
      <c r="L6" s="205"/>
      <c r="M6" s="203"/>
      <c r="N6" s="204"/>
      <c r="O6" s="203"/>
      <c r="P6" s="204"/>
      <c r="Q6" s="203"/>
      <c r="R6" s="205"/>
    </row>
    <row r="7" spans="1:18" ht="75.2" customHeight="1" x14ac:dyDescent="0.3">
      <c r="A7" s="202" t="s">
        <v>221</v>
      </c>
      <c r="B7" s="202" t="s">
        <v>222</v>
      </c>
      <c r="C7" s="218">
        <f>'학교별06.19'!C22</f>
        <v>62</v>
      </c>
      <c r="D7" s="218">
        <f>'학교별06.19'!D22</f>
        <v>0</v>
      </c>
      <c r="E7" s="219">
        <f>'학교별06.19'!E22</f>
        <v>2</v>
      </c>
      <c r="F7" s="219">
        <f>'학교별06.19'!F22</f>
        <v>34</v>
      </c>
      <c r="G7" s="218"/>
      <c r="H7" s="220"/>
      <c r="I7" s="218"/>
      <c r="J7" s="220"/>
      <c r="K7" s="218"/>
      <c r="L7" s="220"/>
      <c r="M7" s="218"/>
      <c r="N7" s="219"/>
      <c r="O7" s="218"/>
      <c r="P7" s="219"/>
      <c r="Q7" s="218"/>
      <c r="R7" s="220"/>
    </row>
    <row r="8" spans="1:18" ht="75.2" customHeight="1" x14ac:dyDescent="0.3">
      <c r="A8" s="202" t="s">
        <v>221</v>
      </c>
      <c r="B8" s="202" t="s">
        <v>223</v>
      </c>
      <c r="C8" s="218">
        <f>'학교별06.19'!C43</f>
        <v>15</v>
      </c>
      <c r="D8" s="218">
        <f>'학교별06.19'!D43</f>
        <v>0</v>
      </c>
      <c r="E8" s="219">
        <f>'학교별06.19'!E43</f>
        <v>1</v>
      </c>
      <c r="F8" s="219">
        <f>'학교별06.19'!F43</f>
        <v>0</v>
      </c>
      <c r="G8" s="218">
        <f>'학교별06.19'!H3</f>
        <v>1</v>
      </c>
      <c r="H8" s="220">
        <f>'학교별06.19'!I3</f>
        <v>0</v>
      </c>
      <c r="I8" s="218">
        <f>'학교별06.19'!J3</f>
        <v>3</v>
      </c>
      <c r="J8" s="220">
        <f>'학교별06.19'!K3</f>
        <v>5</v>
      </c>
      <c r="K8" s="218">
        <f>'학교별06.19'!L3</f>
        <v>4</v>
      </c>
      <c r="L8" s="220">
        <f>'학교별06.19'!M3</f>
        <v>3</v>
      </c>
      <c r="M8" s="218">
        <f>'학교별06.19'!N3</f>
        <v>4</v>
      </c>
      <c r="N8" s="219">
        <f>'학교별06.19'!O3</f>
        <v>4</v>
      </c>
      <c r="O8" s="218">
        <f>'학교별06.19'!P3</f>
        <v>0</v>
      </c>
      <c r="P8" s="219">
        <f>'학교별06.19'!Q3</f>
        <v>0</v>
      </c>
      <c r="Q8" s="218">
        <f>'학교별06.19'!R3</f>
        <v>0</v>
      </c>
      <c r="R8" s="220">
        <f>'학교별06.19'!S3</f>
        <v>0</v>
      </c>
    </row>
    <row r="9" spans="1:18" ht="75.2" customHeight="1" x14ac:dyDescent="0.3">
      <c r="A9" s="202" t="s">
        <v>221</v>
      </c>
      <c r="B9" s="202" t="s">
        <v>224</v>
      </c>
      <c r="C9" s="218">
        <f>'학교별06.19'!C52</f>
        <v>0</v>
      </c>
      <c r="D9" s="218">
        <f>'학교별06.19'!D52</f>
        <v>0</v>
      </c>
      <c r="E9" s="219">
        <f>'학교별06.19'!E52</f>
        <v>0</v>
      </c>
      <c r="F9" s="219">
        <f>'학교별06.19'!F52</f>
        <v>0</v>
      </c>
      <c r="G9" s="218"/>
      <c r="H9" s="220"/>
      <c r="I9" s="218"/>
      <c r="J9" s="220"/>
      <c r="K9" s="218"/>
      <c r="L9" s="220"/>
      <c r="M9" s="218"/>
      <c r="N9" s="219"/>
      <c r="O9" s="218"/>
      <c r="P9" s="219"/>
      <c r="Q9" s="218"/>
      <c r="R9" s="220"/>
    </row>
    <row r="10" spans="1:18" ht="75.2" customHeight="1" x14ac:dyDescent="0.3">
      <c r="A10" s="202" t="s">
        <v>221</v>
      </c>
      <c r="B10" s="202" t="s">
        <v>225</v>
      </c>
      <c r="C10" s="218">
        <f>'학교별06.19'!C62</f>
        <v>0</v>
      </c>
      <c r="D10" s="218">
        <f>'학교별06.19'!D62</f>
        <v>0</v>
      </c>
      <c r="E10" s="219">
        <f>'학교별06.19'!E62</f>
        <v>0</v>
      </c>
      <c r="F10" s="219">
        <f>'학교별06.19'!F62</f>
        <v>0</v>
      </c>
      <c r="G10" s="218"/>
      <c r="H10" s="220"/>
      <c r="I10" s="218"/>
      <c r="J10" s="220"/>
      <c r="K10" s="218"/>
      <c r="L10" s="220"/>
      <c r="M10" s="218"/>
      <c r="N10" s="219"/>
      <c r="O10" s="218"/>
      <c r="P10" s="219"/>
      <c r="Q10" s="218"/>
      <c r="R10" s="220"/>
    </row>
    <row r="11" spans="1:18" ht="75.2" customHeight="1" x14ac:dyDescent="0.3">
      <c r="A11" s="206"/>
      <c r="B11" s="206"/>
      <c r="C11" s="203"/>
      <c r="D11" s="203"/>
      <c r="E11" s="204"/>
      <c r="F11" s="204"/>
      <c r="G11" s="203"/>
      <c r="H11" s="205"/>
      <c r="I11" s="203"/>
      <c r="J11" s="205"/>
      <c r="K11" s="203"/>
      <c r="L11" s="205"/>
      <c r="M11" s="203"/>
      <c r="N11" s="204"/>
      <c r="O11" s="203"/>
      <c r="P11" s="204"/>
      <c r="Q11" s="203"/>
      <c r="R11" s="205"/>
    </row>
    <row r="12" spans="1:18" ht="75.2" customHeight="1" x14ac:dyDescent="0.3">
      <c r="A12" s="207" t="s">
        <v>226</v>
      </c>
      <c r="B12" s="207" t="s">
        <v>227</v>
      </c>
      <c r="C12" s="208">
        <v>-50</v>
      </c>
      <c r="D12" s="208"/>
      <c r="E12" s="209"/>
      <c r="F12" s="209"/>
      <c r="G12" s="208"/>
      <c r="H12" s="210"/>
      <c r="I12" s="208"/>
      <c r="J12" s="210"/>
      <c r="K12" s="208"/>
      <c r="L12" s="210"/>
      <c r="M12" s="208"/>
      <c r="N12" s="209"/>
      <c r="O12" s="208"/>
      <c r="P12" s="209"/>
      <c r="Q12" s="208"/>
      <c r="R12" s="210"/>
    </row>
    <row r="14" spans="1:18" ht="51.75" customHeight="1" x14ac:dyDescent="0.3">
      <c r="C14" s="211">
        <v>47000</v>
      </c>
      <c r="D14" s="211">
        <v>4700</v>
      </c>
      <c r="E14" s="211">
        <v>58000</v>
      </c>
      <c r="F14" s="211">
        <v>5800</v>
      </c>
      <c r="G14" s="211">
        <v>5800</v>
      </c>
      <c r="H14" s="211">
        <v>4700</v>
      </c>
      <c r="I14" s="212">
        <v>6800</v>
      </c>
      <c r="J14" s="212">
        <v>5200</v>
      </c>
      <c r="K14" s="212">
        <v>20700</v>
      </c>
      <c r="L14" s="212">
        <v>6400</v>
      </c>
      <c r="M14" s="212">
        <v>18700</v>
      </c>
      <c r="N14" s="211">
        <v>8800</v>
      </c>
      <c r="O14" s="211">
        <v>15000</v>
      </c>
      <c r="P14" s="212">
        <v>18700</v>
      </c>
      <c r="Q14" s="212">
        <v>25700</v>
      </c>
      <c r="R14" s="212">
        <v>18000</v>
      </c>
    </row>
    <row r="15" spans="1:18" ht="51.75" customHeight="1" x14ac:dyDescent="0.3">
      <c r="C15" s="211">
        <f>C14*C5</f>
        <v>1269000</v>
      </c>
      <c r="D15" s="211">
        <f t="shared" ref="D15:R15" si="1">D14*D5</f>
        <v>0</v>
      </c>
      <c r="E15" s="211">
        <f t="shared" si="1"/>
        <v>174000</v>
      </c>
      <c r="F15" s="211">
        <f t="shared" si="1"/>
        <v>197200</v>
      </c>
      <c r="G15" s="211">
        <f t="shared" si="1"/>
        <v>5800</v>
      </c>
      <c r="H15" s="211">
        <f t="shared" si="1"/>
        <v>0</v>
      </c>
      <c r="I15" s="212">
        <f t="shared" si="1"/>
        <v>20400</v>
      </c>
      <c r="J15" s="212">
        <f t="shared" si="1"/>
        <v>26000</v>
      </c>
      <c r="K15" s="212">
        <f t="shared" si="1"/>
        <v>82800</v>
      </c>
      <c r="L15" s="212">
        <f t="shared" si="1"/>
        <v>19200</v>
      </c>
      <c r="M15" s="212">
        <f t="shared" si="1"/>
        <v>74800</v>
      </c>
      <c r="N15" s="211">
        <f t="shared" si="1"/>
        <v>35200</v>
      </c>
      <c r="O15" s="211">
        <f t="shared" si="1"/>
        <v>0</v>
      </c>
      <c r="P15" s="212">
        <f t="shared" si="1"/>
        <v>0</v>
      </c>
      <c r="Q15" s="212">
        <f t="shared" si="1"/>
        <v>0</v>
      </c>
      <c r="R15" s="212">
        <f t="shared" si="1"/>
        <v>0</v>
      </c>
    </row>
    <row r="16" spans="1:18" ht="51.75" customHeight="1" x14ac:dyDescent="0.3">
      <c r="C16" s="213"/>
      <c r="D16" s="213"/>
      <c r="E16" s="213"/>
      <c r="F16" s="213"/>
      <c r="G16" s="213"/>
      <c r="H16" s="213"/>
      <c r="I16" s="213"/>
      <c r="J16" s="213"/>
      <c r="K16" s="213"/>
      <c r="L16" s="213"/>
      <c r="M16" s="213"/>
      <c r="N16" s="214"/>
      <c r="O16" s="213"/>
      <c r="P16" s="214"/>
      <c r="Q16" s="213"/>
      <c r="R16" s="213"/>
    </row>
    <row r="17" spans="3:18" ht="51.75" customHeight="1" x14ac:dyDescent="0.3">
      <c r="C17" s="213"/>
      <c r="D17" s="213"/>
      <c r="E17" s="213"/>
      <c r="F17" s="213"/>
      <c r="G17" s="213"/>
      <c r="H17" s="213"/>
      <c r="I17" s="213"/>
      <c r="J17" s="213"/>
      <c r="K17" s="213"/>
      <c r="L17" s="213"/>
      <c r="M17" s="213"/>
      <c r="N17" s="214"/>
      <c r="O17" s="213"/>
      <c r="P17" s="214"/>
      <c r="Q17" s="213"/>
      <c r="R17" s="215">
        <f>SUM(C15:R15)</f>
        <v>1904400</v>
      </c>
    </row>
  </sheetData>
  <mergeCells count="11">
    <mergeCell ref="A1:B1"/>
    <mergeCell ref="C1:D1"/>
    <mergeCell ref="E1:F1"/>
    <mergeCell ref="A5:B5"/>
    <mergeCell ref="A4:B4"/>
    <mergeCell ref="A3:B3"/>
    <mergeCell ref="A2:B2"/>
    <mergeCell ref="C3:D3"/>
    <mergeCell ref="E3:F3"/>
    <mergeCell ref="C2:D2"/>
    <mergeCell ref="E2:F2"/>
  </mergeCells>
  <phoneticPr fontId="54" type="noConversion"/>
  <pageMargins left="0.31496062992125984" right="0.31496062992125984" top="0.39370078740157483" bottom="0.39370078740157483" header="0.31496062992125984" footer="0.31496062992125984"/>
  <pageSetup paperSize="9" scale="41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50</vt:i4>
      </vt:variant>
    </vt:vector>
  </HeadingPairs>
  <TitlesOfParts>
    <vt:vector size="50" baseType="lpstr">
      <vt:lpstr>학교별01.02</vt:lpstr>
      <vt:lpstr>공장동01.02</vt:lpstr>
      <vt:lpstr>학교별01.09</vt:lpstr>
      <vt:lpstr>공장동01.09</vt:lpstr>
      <vt:lpstr>학교별01.16</vt:lpstr>
      <vt:lpstr>공장동01.16</vt:lpstr>
      <vt:lpstr>학교별01.23</vt:lpstr>
      <vt:lpstr>공장동01.23</vt:lpstr>
      <vt:lpstr>학교별01.30</vt:lpstr>
      <vt:lpstr>공장동01.30</vt:lpstr>
      <vt:lpstr>학교별02.06</vt:lpstr>
      <vt:lpstr>공장동02.06</vt:lpstr>
      <vt:lpstr>학교별02.13</vt:lpstr>
      <vt:lpstr>공장동02.13</vt:lpstr>
      <vt:lpstr>학교별02.20</vt:lpstr>
      <vt:lpstr>공장동02.20</vt:lpstr>
      <vt:lpstr>학교별02.27</vt:lpstr>
      <vt:lpstr>공장동02.27</vt:lpstr>
      <vt:lpstr>학교별03.06</vt:lpstr>
      <vt:lpstr>공장동03.06</vt:lpstr>
      <vt:lpstr>학교별03.13</vt:lpstr>
      <vt:lpstr>공장동03.13</vt:lpstr>
      <vt:lpstr>학교별03.20</vt:lpstr>
      <vt:lpstr>공장동03.20</vt:lpstr>
      <vt:lpstr>학교별03.27</vt:lpstr>
      <vt:lpstr>공장동03.27</vt:lpstr>
      <vt:lpstr>학교별04.03</vt:lpstr>
      <vt:lpstr>공장동04.03</vt:lpstr>
      <vt:lpstr>학교별04.10</vt:lpstr>
      <vt:lpstr>공장동04.10</vt:lpstr>
      <vt:lpstr>학교별04.17</vt:lpstr>
      <vt:lpstr>공장동04.17</vt:lpstr>
      <vt:lpstr>학교별04.24</vt:lpstr>
      <vt:lpstr>공장동04.24</vt:lpstr>
      <vt:lpstr>학교별04.30</vt:lpstr>
      <vt:lpstr>공장동04.30</vt:lpstr>
      <vt:lpstr>학교별05.08</vt:lpstr>
      <vt:lpstr>공장동05.08</vt:lpstr>
      <vt:lpstr>학교별05.15</vt:lpstr>
      <vt:lpstr>공장동05.15</vt:lpstr>
      <vt:lpstr>학교별05.22</vt:lpstr>
      <vt:lpstr>공장동05.22</vt:lpstr>
      <vt:lpstr>학교별05.29</vt:lpstr>
      <vt:lpstr>공장동05.29</vt:lpstr>
      <vt:lpstr>학교별06.05</vt:lpstr>
      <vt:lpstr>공장동06.05</vt:lpstr>
      <vt:lpstr>학교별06.12</vt:lpstr>
      <vt:lpstr>공장동06.12</vt:lpstr>
      <vt:lpstr>학교별06.19</vt:lpstr>
      <vt:lpstr>공장동06.19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</dc:creator>
  <cp:lastModifiedBy>Heejoon Moon</cp:lastModifiedBy>
  <cp:lastPrinted>2026-06-17T07:14:37Z</cp:lastPrinted>
  <dcterms:created xsi:type="dcterms:W3CDTF">2021-08-27T08:48:39Z</dcterms:created>
  <dcterms:modified xsi:type="dcterms:W3CDTF">2026-06-30T08:58:03Z</dcterms:modified>
</cp:coreProperties>
</file>