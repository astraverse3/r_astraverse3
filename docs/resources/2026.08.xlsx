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22~26\업체별출하\3.출고내역\출고지시서\2026\"/>
    </mc:Choice>
  </mc:AlternateContent>
  <bookViews>
    <workbookView xWindow="0" yWindow="0" windowWidth="25200" windowHeight="11835" firstSheet="13" activeTab="19"/>
  </bookViews>
  <sheets>
    <sheet name="공장출고지서26.08.03(이마트)" sheetId="1" r:id="rId1"/>
    <sheet name="8.3" sheetId="2" r:id="rId2"/>
    <sheet name="8.4" sheetId="3" r:id="rId3"/>
    <sheet name="공장출고지서26.08.05(이마트)" sheetId="4" r:id="rId4"/>
    <sheet name="8.5" sheetId="5" r:id="rId5"/>
    <sheet name="8.6" sheetId="6" r:id="rId6"/>
    <sheet name="공장출고지서26.08.07(이마트)" sheetId="8" r:id="rId7"/>
    <sheet name="8.7" sheetId="7" r:id="rId8"/>
    <sheet name="삼일농산8.19" sheetId="10" r:id="rId9"/>
    <sheet name="공장출고지서26.08.10(이마트)" sheetId="11" r:id="rId10"/>
    <sheet name="8.10" sheetId="9" r:id="rId11"/>
    <sheet name="8.11" sheetId="12" r:id="rId12"/>
    <sheet name="공장출고지서26.08.12(이마트)" sheetId="13" r:id="rId13"/>
    <sheet name="8.12" sheetId="14" r:id="rId14"/>
    <sheet name="8.14" sheetId="15" r:id="rId15"/>
    <sheet name="공장출고지서26.08.14(이마트)" sheetId="16" r:id="rId16"/>
    <sheet name="공장출고지서26.08.17(이마트)" sheetId="17" r:id="rId17"/>
    <sheet name="8.18" sheetId="18" r:id="rId18"/>
    <sheet name="공장출고지서26.08.19(이마트)" sheetId="19" r:id="rId19"/>
    <sheet name="8.19" sheetId="20" r:id="rId20"/>
  </sheets>
  <definedNames>
    <definedName name="_xlnm.Print_Area" localSheetId="10">'8.10'!$A$1:$R$34</definedName>
    <definedName name="_xlnm.Print_Area" localSheetId="11">'8.11'!$A$1:$N$21</definedName>
    <definedName name="_xlnm.Print_Area" localSheetId="13">'8.12'!$A$1:$K$22</definedName>
    <definedName name="_xlnm.Print_Area" localSheetId="14">'8.14'!$A$1:$D$10</definedName>
    <definedName name="_xlnm.Print_Area" localSheetId="17">'8.18'!$A$1:$Z$73</definedName>
    <definedName name="_xlnm.Print_Area" localSheetId="19">'8.19'!$A$1:$R$29</definedName>
    <definedName name="_xlnm.Print_Area" localSheetId="1">'8.3'!$A$1:$T$54</definedName>
    <definedName name="_xlnm.Print_Area" localSheetId="2">'8.4'!$A$1:$I$25</definedName>
    <definedName name="_xlnm.Print_Area" localSheetId="4">'8.5'!$A$1:$I$16</definedName>
    <definedName name="_xlnm.Print_Area" localSheetId="5">'8.6'!$A$1:$N$19</definedName>
    <definedName name="_xlnm.Print_Area" localSheetId="7">'8.7'!$A$1:$P$22</definedName>
    <definedName name="_xlnm.Print_Area" localSheetId="0">'공장출고지서26.08.03(이마트)'!$A$1:$I$13</definedName>
    <definedName name="_xlnm.Print_Area" localSheetId="3">'공장출고지서26.08.05(이마트)'!$A$1:$I$13</definedName>
    <definedName name="_xlnm.Print_Area" localSheetId="6">'공장출고지서26.08.07(이마트)'!$A$1:$I$13</definedName>
    <definedName name="_xlnm.Print_Area" localSheetId="9">'공장출고지서26.08.10(이마트)'!$A$1:$I$13</definedName>
    <definedName name="_xlnm.Print_Area" localSheetId="12">'공장출고지서26.08.12(이마트)'!$A$1:$I$13</definedName>
    <definedName name="_xlnm.Print_Area" localSheetId="15">'공장출고지서26.08.14(이마트)'!$A$1:$I$13</definedName>
    <definedName name="_xlnm.Print_Area" localSheetId="16">'공장출고지서26.08.17(이마트)'!$A$1:$L$13</definedName>
    <definedName name="_xlnm.Print_Area" localSheetId="18">'공장출고지서26.08.19(이마트)'!$A$1:$I$13</definedName>
    <definedName name="_xlnm.Print_Area" localSheetId="8">삼일농산8.19!$A$1:$E$7</definedName>
    <definedName name="_xlnm.Print_Titles" localSheetId="10">'8.10'!$1:$3</definedName>
    <definedName name="_xlnm.Print_Titles" localSheetId="11">'8.11'!$1:$3</definedName>
    <definedName name="_xlnm.Print_Titles" localSheetId="13">'8.12'!$1:$3</definedName>
    <definedName name="_xlnm.Print_Titles" localSheetId="14">'8.14'!$1:$3</definedName>
    <definedName name="_xlnm.Print_Titles" localSheetId="17">'8.18'!$1:$3</definedName>
    <definedName name="_xlnm.Print_Titles" localSheetId="19">'8.19'!$1:$3</definedName>
    <definedName name="_xlnm.Print_Titles" localSheetId="1">'8.3'!$1:$3</definedName>
    <definedName name="_xlnm.Print_Titles" localSheetId="2">'8.4'!$1:$3</definedName>
    <definedName name="_xlnm.Print_Titles" localSheetId="4">'8.5'!$1:$3</definedName>
    <definedName name="_xlnm.Print_Titles" localSheetId="5">'8.6'!$1:$3</definedName>
    <definedName name="_xlnm.Print_Titles" localSheetId="7">'8.7'!$1:$3</definedName>
    <definedName name="_xlnm.Print_Titles" localSheetId="0">'공장출고지서26.08.03(이마트)'!$A:$A,'공장출고지서26.08.03(이마트)'!$1:$4</definedName>
    <definedName name="_xlnm.Print_Titles" localSheetId="3">'공장출고지서26.08.05(이마트)'!$A:$A,'공장출고지서26.08.05(이마트)'!$1:$4</definedName>
    <definedName name="_xlnm.Print_Titles" localSheetId="6">'공장출고지서26.08.07(이마트)'!$A:$A,'공장출고지서26.08.07(이마트)'!$1:$4</definedName>
    <definedName name="_xlnm.Print_Titles" localSheetId="9">'공장출고지서26.08.10(이마트)'!$A:$A,'공장출고지서26.08.10(이마트)'!$1:$4</definedName>
    <definedName name="_xlnm.Print_Titles" localSheetId="12">'공장출고지서26.08.12(이마트)'!$A:$A,'공장출고지서26.08.12(이마트)'!$1:$4</definedName>
    <definedName name="_xlnm.Print_Titles" localSheetId="15">'공장출고지서26.08.14(이마트)'!$A:$A,'공장출고지서26.08.14(이마트)'!$1:$4</definedName>
    <definedName name="_xlnm.Print_Titles" localSheetId="16">'공장출고지서26.08.17(이마트)'!$A:$A,'공장출고지서26.08.17(이마트)'!$1:$4</definedName>
    <definedName name="_xlnm.Print_Titles" localSheetId="18">'공장출고지서26.08.19(이마트)'!$A:$A,'공장출고지서26.08.19(이마트)'!$1:$4</definedName>
    <definedName name="_xlnm.Print_Titles" localSheetId="8">삼일농산8.19!$A:$A,삼일농산8.19!$1:$4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9" l="1"/>
  <c r="B13" i="19"/>
  <c r="R4" i="20" l="1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B4" i="20"/>
  <c r="F13" i="19" l="1"/>
  <c r="E12" i="19"/>
  <c r="D12" i="19"/>
  <c r="H12" i="19" s="1"/>
  <c r="E11" i="19"/>
  <c r="D11" i="19"/>
  <c r="H11" i="19" s="1"/>
  <c r="E13" i="19"/>
  <c r="D4" i="19"/>
  <c r="G4" i="19"/>
  <c r="F4" i="19"/>
  <c r="E4" i="19"/>
  <c r="C4" i="19"/>
  <c r="B4" i="19"/>
  <c r="D13" i="19" l="1"/>
  <c r="H13" i="19" s="1"/>
  <c r="I4" i="18"/>
  <c r="H4" i="18" l="1"/>
  <c r="J4" i="18"/>
  <c r="W4" i="18" l="1"/>
  <c r="X4" i="18"/>
  <c r="Y4" i="18"/>
  <c r="Z4" i="18"/>
  <c r="B4" i="18"/>
  <c r="C4" i="18"/>
  <c r="D4" i="18"/>
  <c r="E4" i="18"/>
  <c r="F4" i="18"/>
  <c r="G4" i="18"/>
  <c r="K4" i="18"/>
  <c r="L4" i="18"/>
  <c r="M4" i="18"/>
  <c r="N4" i="18"/>
  <c r="O4" i="18"/>
  <c r="P4" i="18"/>
  <c r="Q4" i="18"/>
  <c r="R4" i="18"/>
  <c r="S4" i="18"/>
  <c r="T4" i="18"/>
  <c r="U4" i="18"/>
  <c r="V4" i="18"/>
  <c r="C7" i="17" l="1"/>
  <c r="L12" i="17" l="1"/>
  <c r="L11" i="17"/>
  <c r="F11" i="17" l="1"/>
  <c r="E13" i="17"/>
  <c r="D13" i="17"/>
  <c r="C13" i="17"/>
  <c r="L13" i="17" s="1"/>
  <c r="E12" i="17"/>
  <c r="D12" i="17"/>
  <c r="C12" i="17"/>
  <c r="E11" i="17"/>
  <c r="D11" i="17"/>
  <c r="C11" i="17"/>
  <c r="F4" i="17"/>
  <c r="E4" i="17"/>
  <c r="D4" i="17"/>
  <c r="C4" i="17"/>
  <c r="B4" i="17"/>
  <c r="H11" i="17" l="1"/>
  <c r="H13" i="17"/>
  <c r="G4" i="17"/>
  <c r="H12" i="17"/>
  <c r="E7" i="16"/>
  <c r="D7" i="16"/>
  <c r="C7" i="16"/>
  <c r="F12" i="16"/>
  <c r="F13" i="16"/>
  <c r="D12" i="16"/>
  <c r="E12" i="16"/>
  <c r="E13" i="16"/>
  <c r="D13" i="16"/>
  <c r="C13" i="16"/>
  <c r="H13" i="16" s="1"/>
  <c r="E11" i="16"/>
  <c r="D11" i="16"/>
  <c r="C11" i="16"/>
  <c r="C12" i="16"/>
  <c r="H12" i="16" s="1"/>
  <c r="G4" i="16"/>
  <c r="F4" i="16"/>
  <c r="E4" i="16"/>
  <c r="D4" i="16"/>
  <c r="B4" i="16"/>
  <c r="H11" i="16" l="1"/>
  <c r="C4" i="16"/>
  <c r="D4" i="15"/>
  <c r="C4" i="15"/>
  <c r="B4" i="15"/>
  <c r="E4" i="14" l="1"/>
  <c r="D4" i="14"/>
  <c r="C4" i="14" l="1"/>
  <c r="F4" i="14"/>
  <c r="G4" i="14"/>
  <c r="H4" i="14"/>
  <c r="I4" i="14"/>
  <c r="J4" i="14"/>
  <c r="K4" i="14"/>
  <c r="B4" i="14"/>
  <c r="C6" i="13" l="1"/>
  <c r="C7" i="13"/>
  <c r="D13" i="13" l="1"/>
  <c r="B13" i="13"/>
  <c r="C12" i="13"/>
  <c r="E11" i="13"/>
  <c r="D11" i="13"/>
  <c r="C11" i="13"/>
  <c r="E13" i="13"/>
  <c r="C13" i="13"/>
  <c r="G4" i="13"/>
  <c r="F4" i="13"/>
  <c r="D4" i="13"/>
  <c r="B4" i="13"/>
  <c r="H13" i="13" l="1"/>
  <c r="H12" i="13"/>
  <c r="H11" i="13"/>
  <c r="C4" i="13"/>
  <c r="E4" i="13"/>
  <c r="E4" i="12"/>
  <c r="D4" i="12"/>
  <c r="N4" i="12" l="1"/>
  <c r="M4" i="12"/>
  <c r="L4" i="12"/>
  <c r="K4" i="12"/>
  <c r="J4" i="12"/>
  <c r="I4" i="12"/>
  <c r="H4" i="12"/>
  <c r="G4" i="12"/>
  <c r="F4" i="12"/>
  <c r="C4" i="12"/>
  <c r="B4" i="12"/>
  <c r="D4" i="9" l="1"/>
  <c r="F4" i="9"/>
  <c r="E4" i="9"/>
  <c r="Q4" i="9"/>
  <c r="R4" i="9"/>
  <c r="H4" i="9" l="1"/>
  <c r="I4" i="9"/>
  <c r="O4" i="9"/>
  <c r="N4" i="9"/>
  <c r="M4" i="9"/>
  <c r="B4" i="9"/>
  <c r="P4" i="9"/>
  <c r="G4" i="9"/>
  <c r="J4" i="9"/>
  <c r="K4" i="9"/>
  <c r="L4" i="9"/>
  <c r="C4" i="9"/>
  <c r="E7" i="11" l="1"/>
  <c r="E13" i="11" s="1"/>
  <c r="C7" i="11"/>
  <c r="F11" i="11"/>
  <c r="F13" i="11"/>
  <c r="B13" i="11"/>
  <c r="F12" i="11"/>
  <c r="D13" i="11"/>
  <c r="E12" i="11"/>
  <c r="D12" i="11"/>
  <c r="C12" i="11"/>
  <c r="B12" i="11"/>
  <c r="E11" i="11"/>
  <c r="D11" i="11"/>
  <c r="C11" i="11"/>
  <c r="B11" i="11"/>
  <c r="C13" i="11"/>
  <c r="G4" i="11"/>
  <c r="F4" i="11"/>
  <c r="D4" i="11"/>
  <c r="B4" i="11"/>
  <c r="D4" i="10"/>
  <c r="C4" i="10"/>
  <c r="B4" i="10"/>
  <c r="E4" i="10"/>
  <c r="H11" i="11" l="1"/>
  <c r="H13" i="11"/>
  <c r="H12" i="11"/>
  <c r="C4" i="11"/>
  <c r="E4" i="11"/>
  <c r="C8" i="7" l="1"/>
  <c r="D8" i="7"/>
  <c r="E8" i="7"/>
  <c r="F8" i="7"/>
  <c r="G8" i="7"/>
  <c r="H8" i="7"/>
  <c r="I8" i="7"/>
  <c r="J8" i="7"/>
  <c r="K8" i="7"/>
  <c r="L8" i="7"/>
  <c r="M8" i="7"/>
  <c r="N8" i="7"/>
  <c r="O8" i="7"/>
  <c r="P8" i="7"/>
  <c r="B8" i="7" l="1"/>
  <c r="B4" i="7"/>
  <c r="D4" i="7"/>
  <c r="J4" i="7" l="1"/>
  <c r="K4" i="7" l="1"/>
  <c r="E4" i="7"/>
  <c r="F4" i="7"/>
  <c r="G4" i="7"/>
  <c r="H4" i="7"/>
  <c r="I4" i="7"/>
  <c r="L4" i="7"/>
  <c r="M4" i="7"/>
  <c r="N4" i="7"/>
  <c r="O4" i="7"/>
  <c r="P4" i="7"/>
  <c r="C4" i="7"/>
  <c r="H12" i="8" l="1"/>
  <c r="H13" i="8"/>
  <c r="B11" i="8"/>
  <c r="E7" i="8"/>
  <c r="C7" i="8"/>
  <c r="D7" i="8"/>
  <c r="B12" i="8"/>
  <c r="C12" i="8" l="1"/>
  <c r="C11" i="8"/>
  <c r="D13" i="8" l="1"/>
  <c r="C13" i="8"/>
  <c r="E13" i="8"/>
  <c r="E12" i="8"/>
  <c r="D12" i="8"/>
  <c r="E11" i="8"/>
  <c r="D11" i="8"/>
  <c r="G4" i="8"/>
  <c r="F4" i="8"/>
  <c r="E4" i="8"/>
  <c r="D4" i="8"/>
  <c r="C4" i="8"/>
  <c r="B4" i="8"/>
  <c r="H11" i="8" l="1"/>
  <c r="H4" i="6" l="1"/>
  <c r="I4" i="6"/>
  <c r="J4" i="6"/>
  <c r="E4" i="6" l="1"/>
  <c r="K4" i="6" l="1"/>
  <c r="L4" i="6"/>
  <c r="M4" i="6"/>
  <c r="N4" i="6"/>
  <c r="G4" i="6"/>
  <c r="F4" i="6"/>
  <c r="D4" i="6"/>
  <c r="C4" i="6"/>
  <c r="B4" i="6"/>
  <c r="C4" i="5" l="1"/>
  <c r="I4" i="5" l="1"/>
  <c r="H4" i="5"/>
  <c r="G4" i="5"/>
  <c r="F4" i="5"/>
  <c r="E4" i="5"/>
  <c r="D4" i="5"/>
  <c r="B4" i="5"/>
  <c r="C13" i="4" l="1"/>
  <c r="B12" i="4"/>
  <c r="F13" i="4" l="1"/>
  <c r="F12" i="4"/>
  <c r="E12" i="4"/>
  <c r="D12" i="4"/>
  <c r="C12" i="4"/>
  <c r="E11" i="4"/>
  <c r="D11" i="4"/>
  <c r="C11" i="4"/>
  <c r="H11" i="4" s="1"/>
  <c r="E4" i="4"/>
  <c r="D4" i="4"/>
  <c r="G4" i="4"/>
  <c r="F4" i="4"/>
  <c r="C4" i="4"/>
  <c r="B4" i="4"/>
  <c r="H12" i="4" l="1"/>
  <c r="D13" i="4"/>
  <c r="E13" i="4"/>
  <c r="D4" i="3"/>
  <c r="C4" i="3"/>
  <c r="B4" i="3"/>
  <c r="H13" i="4" l="1"/>
  <c r="I4" i="3"/>
  <c r="H4" i="3"/>
  <c r="G4" i="3"/>
  <c r="F4" i="3"/>
  <c r="E4" i="3"/>
  <c r="K4" i="2" l="1"/>
  <c r="L4" i="2"/>
  <c r="M4" i="2"/>
  <c r="N4" i="2"/>
  <c r="O4" i="2"/>
  <c r="E4" i="2"/>
  <c r="R4" i="2" l="1"/>
  <c r="Q4" i="2"/>
  <c r="P4" i="2" l="1"/>
  <c r="C4" i="2" l="1"/>
  <c r="D4" i="2"/>
  <c r="F4" i="2"/>
  <c r="G4" i="2"/>
  <c r="H4" i="2"/>
  <c r="I4" i="2"/>
  <c r="J4" i="2"/>
  <c r="S4" i="2"/>
  <c r="T4" i="2"/>
  <c r="B4" i="2"/>
  <c r="E7" i="1"/>
  <c r="E4" i="1" s="1"/>
  <c r="D7" i="1"/>
  <c r="D4" i="1" s="1"/>
  <c r="F12" i="1"/>
  <c r="D12" i="1"/>
  <c r="C13" i="1"/>
  <c r="E12" i="1"/>
  <c r="C12" i="1"/>
  <c r="E11" i="1"/>
  <c r="D11" i="1"/>
  <c r="C11" i="1"/>
  <c r="G4" i="1"/>
  <c r="F4" i="1"/>
  <c r="C4" i="1"/>
  <c r="B4" i="1"/>
  <c r="E13" i="1" l="1"/>
  <c r="D13" i="1"/>
  <c r="H13" i="1" s="1"/>
  <c r="H11" i="1"/>
  <c r="H12" i="1"/>
</calcChain>
</file>

<file path=xl/sharedStrings.xml><?xml version="1.0" encoding="utf-8"?>
<sst xmlns="http://schemas.openxmlformats.org/spreadsheetml/2006/main" count="872" uniqueCount="418">
  <si>
    <t>PET
유기농
가바현미</t>
  </si>
  <si>
    <t>자연주의
유기농
가바백미</t>
  </si>
  <si>
    <t>자연주의
유기농
천지향</t>
  </si>
  <si>
    <t>PET
유기농
귀리쌀</t>
  </si>
  <si>
    <t>자연주의
유기농
천지향5세
오분도미</t>
    <phoneticPr fontId="3" type="noConversion"/>
  </si>
  <si>
    <t>1kg</t>
  </si>
  <si>
    <t>4kg</t>
  </si>
  <si>
    <t>1 kg</t>
  </si>
  <si>
    <t>420g</t>
  </si>
  <si>
    <t>4kg</t>
    <phoneticPr fontId="3" type="noConversion"/>
  </si>
  <si>
    <t>(         )</t>
  </si>
  <si>
    <t>여주(이마트)</t>
  </si>
  <si>
    <t>대구(이마트)</t>
  </si>
  <si>
    <t>시화(이마트)</t>
  </si>
  <si>
    <t>현미1kg</t>
  </si>
  <si>
    <t>가바4kg</t>
  </si>
  <si>
    <t>가바1kg</t>
  </si>
  <si>
    <t>천지향4kg</t>
  </si>
  <si>
    <t>귀리420g</t>
  </si>
  <si>
    <t>5분도미4kg</t>
    <phoneticPr fontId="3" type="noConversion"/>
  </si>
  <si>
    <t>1파렛</t>
    <phoneticPr fontId="3" type="noConversion"/>
  </si>
  <si>
    <t>26/08/03(월)
옥천농협 배송</t>
    <phoneticPr fontId="4" type="noConversion"/>
  </si>
  <si>
    <t>유기농
찹쌀</t>
    <phoneticPr fontId="3" type="noConversion"/>
  </si>
  <si>
    <t>유기농
천지향</t>
    <phoneticPr fontId="3" type="noConversion"/>
  </si>
  <si>
    <t>유기농
하이아미</t>
    <phoneticPr fontId="3" type="noConversion"/>
  </si>
  <si>
    <t>유기농
가바백미</t>
    <phoneticPr fontId="3" type="noConversion"/>
  </si>
  <si>
    <t>유기농
가바현미</t>
    <phoneticPr fontId="3" type="noConversion"/>
  </si>
  <si>
    <t>유기농
귀리</t>
    <phoneticPr fontId="3" type="noConversion"/>
  </si>
  <si>
    <t>유기농
차조</t>
    <phoneticPr fontId="3" type="noConversion"/>
  </si>
  <si>
    <t>농가명</t>
  </si>
  <si>
    <t>아이
담쌀</t>
    <phoneticPr fontId="3" type="noConversion"/>
  </si>
  <si>
    <t>중량</t>
    <phoneticPr fontId="3" type="noConversion"/>
  </si>
  <si>
    <t>5kg</t>
    <phoneticPr fontId="3" type="noConversion"/>
  </si>
  <si>
    <t>10kg</t>
    <phoneticPr fontId="3" type="noConversion"/>
  </si>
  <si>
    <t>1kg</t>
    <phoneticPr fontId="3" type="noConversion"/>
  </si>
  <si>
    <t>800g</t>
    <phoneticPr fontId="3" type="noConversion"/>
  </si>
  <si>
    <t>1kg</t>
    <phoneticPr fontId="3" type="noConversion"/>
  </si>
  <si>
    <t>택배 소계</t>
  </si>
  <si>
    <t>26/08/03
(월)</t>
    <phoneticPr fontId="4" type="noConversion"/>
  </si>
  <si>
    <t>이윤정</t>
    <phoneticPr fontId="3" type="noConversion"/>
  </si>
  <si>
    <t>비즈도아가루드밀라</t>
    <phoneticPr fontId="3" type="noConversion"/>
  </si>
  <si>
    <t>고령</t>
    <phoneticPr fontId="3" type="noConversion"/>
  </si>
  <si>
    <t>김지연</t>
    <phoneticPr fontId="3" type="noConversion"/>
  </si>
  <si>
    <t>박문수</t>
    <phoneticPr fontId="3" type="noConversion"/>
  </si>
  <si>
    <t>안선희</t>
    <phoneticPr fontId="3" type="noConversion"/>
  </si>
  <si>
    <t>공두희</t>
    <phoneticPr fontId="3" type="noConversion"/>
  </si>
  <si>
    <t>백윤정</t>
    <phoneticPr fontId="3" type="noConversion"/>
  </si>
  <si>
    <t>박상미</t>
    <phoneticPr fontId="3" type="noConversion"/>
  </si>
  <si>
    <t>홍성혁</t>
    <phoneticPr fontId="3" type="noConversion"/>
  </si>
  <si>
    <t>정태식</t>
    <phoneticPr fontId="3" type="noConversion"/>
  </si>
  <si>
    <t>임은옥</t>
    <phoneticPr fontId="3" type="noConversion"/>
  </si>
  <si>
    <t>백인경</t>
    <phoneticPr fontId="3" type="noConversion"/>
  </si>
  <si>
    <t>이제민</t>
    <phoneticPr fontId="3" type="noConversion"/>
  </si>
  <si>
    <t>최자윤</t>
    <phoneticPr fontId="3" type="noConversion"/>
  </si>
  <si>
    <t>정우진</t>
    <phoneticPr fontId="3" type="noConversion"/>
  </si>
  <si>
    <t>이우미</t>
    <phoneticPr fontId="3" type="noConversion"/>
  </si>
  <si>
    <t>김경두</t>
    <phoneticPr fontId="3" type="noConversion"/>
  </si>
  <si>
    <t>김소현</t>
    <phoneticPr fontId="3" type="noConversion"/>
  </si>
  <si>
    <t>박미영</t>
    <phoneticPr fontId="3" type="noConversion"/>
  </si>
  <si>
    <t>전은정</t>
    <phoneticPr fontId="3" type="noConversion"/>
  </si>
  <si>
    <t>유기농
가바흑미</t>
    <phoneticPr fontId="3" type="noConversion"/>
  </si>
  <si>
    <t>유기농
가바
발아현미</t>
    <phoneticPr fontId="3" type="noConversion"/>
  </si>
  <si>
    <t>907g</t>
    <phoneticPr fontId="3" type="noConversion"/>
  </si>
  <si>
    <t>프로틴
라이스
IPS</t>
    <phoneticPr fontId="3" type="noConversion"/>
  </si>
  <si>
    <t>유기농
기장</t>
    <phoneticPr fontId="3" type="noConversion"/>
  </si>
  <si>
    <t>이광민</t>
    <phoneticPr fontId="3" type="noConversion"/>
  </si>
  <si>
    <t>김재석</t>
    <phoneticPr fontId="3" type="noConversion"/>
  </si>
  <si>
    <t>정정순</t>
    <phoneticPr fontId="3" type="noConversion"/>
  </si>
  <si>
    <t>김희경</t>
    <phoneticPr fontId="3" type="noConversion"/>
  </si>
  <si>
    <t>이형만</t>
    <phoneticPr fontId="3" type="noConversion"/>
  </si>
  <si>
    <t>김현신</t>
    <phoneticPr fontId="3" type="noConversion"/>
  </si>
  <si>
    <t>김현수</t>
    <phoneticPr fontId="3" type="noConversion"/>
  </si>
  <si>
    <t>김태현</t>
    <phoneticPr fontId="3" type="noConversion"/>
  </si>
  <si>
    <t>윤청하</t>
    <phoneticPr fontId="3" type="noConversion"/>
  </si>
  <si>
    <t>김유정</t>
    <phoneticPr fontId="3" type="noConversion"/>
  </si>
  <si>
    <t>김혜영</t>
    <phoneticPr fontId="3" type="noConversion"/>
  </si>
  <si>
    <t>이연주</t>
    <phoneticPr fontId="3" type="noConversion"/>
  </si>
  <si>
    <t>신미영</t>
    <phoneticPr fontId="3" type="noConversion"/>
  </si>
  <si>
    <t>김태숙</t>
    <phoneticPr fontId="3" type="noConversion"/>
  </si>
  <si>
    <t>권오인</t>
    <phoneticPr fontId="3" type="noConversion"/>
  </si>
  <si>
    <t>임만용</t>
    <phoneticPr fontId="3" type="noConversion"/>
  </si>
  <si>
    <t>김정해</t>
    <phoneticPr fontId="3" type="noConversion"/>
  </si>
  <si>
    <t>최은서</t>
    <phoneticPr fontId="3" type="noConversion"/>
  </si>
  <si>
    <t>고정훈</t>
    <phoneticPr fontId="3" type="noConversion"/>
  </si>
  <si>
    <t>이영미</t>
    <phoneticPr fontId="3" type="noConversion"/>
  </si>
  <si>
    <t>이소연</t>
    <phoneticPr fontId="3" type="noConversion"/>
  </si>
  <si>
    <t>유기농
찰보리</t>
    <phoneticPr fontId="3" type="noConversion"/>
  </si>
  <si>
    <t>누룽지</t>
    <phoneticPr fontId="3" type="noConversion"/>
  </si>
  <si>
    <t>유기농
수수</t>
    <phoneticPr fontId="3" type="noConversion"/>
  </si>
  <si>
    <t>임선예님</t>
    <phoneticPr fontId="3" type="noConversion"/>
  </si>
  <si>
    <t>이유진님</t>
    <phoneticPr fontId="3" type="noConversion"/>
  </si>
  <si>
    <t>꼬마박사어린이집</t>
    <phoneticPr fontId="3" type="noConversion"/>
  </si>
  <si>
    <t>별빛어린이집</t>
    <phoneticPr fontId="3" type="noConversion"/>
  </si>
  <si>
    <t>샛별어린이집</t>
    <phoneticPr fontId="3" type="noConversion"/>
  </si>
  <si>
    <t>은현어린이집</t>
    <phoneticPr fontId="3" type="noConversion"/>
  </si>
  <si>
    <t>1kg</t>
    <phoneticPr fontId="3" type="noConversion"/>
  </si>
  <si>
    <t>1kg</t>
    <phoneticPr fontId="3" type="noConversion"/>
  </si>
  <si>
    <t>정서울</t>
    <phoneticPr fontId="3" type="noConversion"/>
  </si>
  <si>
    <t>예은농산</t>
    <phoneticPr fontId="3" type="noConversion"/>
  </si>
  <si>
    <t>26/08/04
(화)</t>
    <phoneticPr fontId="4" type="noConversion"/>
  </si>
  <si>
    <t>황윤미</t>
    <phoneticPr fontId="3" type="noConversion"/>
  </si>
  <si>
    <t>신촌어린이집</t>
    <phoneticPr fontId="3" type="noConversion"/>
  </si>
  <si>
    <t>삼성한울어린이집</t>
    <phoneticPr fontId="3" type="noConversion"/>
  </si>
  <si>
    <t>김윤덕</t>
    <phoneticPr fontId="3" type="noConversion"/>
  </si>
  <si>
    <t>성하예</t>
    <phoneticPr fontId="3" type="noConversion"/>
  </si>
  <si>
    <t>김성준</t>
    <phoneticPr fontId="3" type="noConversion"/>
  </si>
  <si>
    <t>구제충</t>
    <phoneticPr fontId="3" type="noConversion"/>
  </si>
  <si>
    <t>김선희</t>
    <phoneticPr fontId="3" type="noConversion"/>
  </si>
  <si>
    <t>최선희</t>
    <phoneticPr fontId="3" type="noConversion"/>
  </si>
  <si>
    <t>황난영</t>
    <phoneticPr fontId="3" type="noConversion"/>
  </si>
  <si>
    <t>조대희</t>
    <phoneticPr fontId="3" type="noConversion"/>
  </si>
  <si>
    <t>강명기</t>
    <phoneticPr fontId="3" type="noConversion"/>
  </si>
  <si>
    <t>한지희</t>
    <phoneticPr fontId="3" type="noConversion"/>
  </si>
  <si>
    <t>김정주</t>
    <phoneticPr fontId="3" type="noConversion"/>
  </si>
  <si>
    <t>홍희정</t>
    <phoneticPr fontId="3" type="noConversion"/>
  </si>
  <si>
    <t>이재국</t>
    <phoneticPr fontId="3" type="noConversion"/>
  </si>
  <si>
    <t>김주아</t>
    <phoneticPr fontId="3" type="noConversion"/>
  </si>
  <si>
    <t>조현주</t>
    <phoneticPr fontId="3" type="noConversion"/>
  </si>
  <si>
    <t>김예은</t>
    <phoneticPr fontId="3" type="noConversion"/>
  </si>
  <si>
    <t>맹효진담당자</t>
    <phoneticPr fontId="3" type="noConversion"/>
  </si>
  <si>
    <t>이주영</t>
    <phoneticPr fontId="3" type="noConversion"/>
  </si>
  <si>
    <t>1kg</t>
    <phoneticPr fontId="3" type="noConversion"/>
  </si>
  <si>
    <t>26/08/05(수)
옥천농협 배송</t>
    <phoneticPr fontId="4" type="noConversion"/>
  </si>
  <si>
    <t>26/08/05
(수)</t>
    <phoneticPr fontId="4" type="noConversion"/>
  </si>
  <si>
    <t>김종님</t>
    <phoneticPr fontId="3" type="noConversion"/>
  </si>
  <si>
    <t>우리아이행복밥상</t>
    <phoneticPr fontId="3" type="noConversion"/>
  </si>
  <si>
    <t>또오기어린이집</t>
    <phoneticPr fontId="3" type="noConversion"/>
  </si>
  <si>
    <t>김혜정님</t>
    <phoneticPr fontId="3" type="noConversion"/>
  </si>
  <si>
    <t>5kg</t>
    <phoneticPr fontId="3" type="noConversion"/>
  </si>
  <si>
    <t>임진희</t>
    <phoneticPr fontId="3" type="noConversion"/>
  </si>
  <si>
    <t>지인선</t>
    <phoneticPr fontId="3" type="noConversion"/>
  </si>
  <si>
    <t>박기용</t>
    <phoneticPr fontId="3" type="noConversion"/>
  </si>
  <si>
    <t>권미리</t>
    <phoneticPr fontId="3" type="noConversion"/>
  </si>
  <si>
    <t>김선명</t>
    <phoneticPr fontId="3" type="noConversion"/>
  </si>
  <si>
    <t>남성우</t>
    <phoneticPr fontId="3" type="noConversion"/>
  </si>
  <si>
    <t>송미숙</t>
    <phoneticPr fontId="3" type="noConversion"/>
  </si>
  <si>
    <t>구본희</t>
    <phoneticPr fontId="3" type="noConversion"/>
  </si>
  <si>
    <t>4kg</t>
    <phoneticPr fontId="3" type="noConversion"/>
  </si>
  <si>
    <t>유기농
가바흑미</t>
    <phoneticPr fontId="3" type="noConversion"/>
  </si>
  <si>
    <t>유기농
검정보리</t>
    <phoneticPr fontId="3" type="noConversion"/>
  </si>
  <si>
    <t>유기농
귀리</t>
    <phoneticPr fontId="3" type="noConversion"/>
  </si>
  <si>
    <t>800g</t>
    <phoneticPr fontId="3" type="noConversion"/>
  </si>
  <si>
    <t>1kg</t>
    <phoneticPr fontId="3" type="noConversion"/>
  </si>
  <si>
    <t>자연주의
천지향
5분도미</t>
    <phoneticPr fontId="3" type="noConversion"/>
  </si>
  <si>
    <t>26/08/06
(목)</t>
    <phoneticPr fontId="4" type="noConversion"/>
  </si>
  <si>
    <t>송보라</t>
    <phoneticPr fontId="3" type="noConversion"/>
  </si>
  <si>
    <t>또래어린이집</t>
    <phoneticPr fontId="3" type="noConversion"/>
  </si>
  <si>
    <t>이인혜</t>
    <phoneticPr fontId="3" type="noConversion"/>
  </si>
  <si>
    <t>신민영</t>
    <phoneticPr fontId="3" type="noConversion"/>
  </si>
  <si>
    <t>권복례</t>
    <phoneticPr fontId="3" type="noConversion"/>
  </si>
  <si>
    <t>이애니</t>
    <phoneticPr fontId="3" type="noConversion"/>
  </si>
  <si>
    <t>예은농산</t>
    <phoneticPr fontId="3" type="noConversion"/>
  </si>
  <si>
    <t>아이
담쌀</t>
    <phoneticPr fontId="3" type="noConversion"/>
  </si>
  <si>
    <t>앵글러MG</t>
    <phoneticPr fontId="3" type="noConversion"/>
  </si>
  <si>
    <t>김해란</t>
    <phoneticPr fontId="3" type="noConversion"/>
  </si>
  <si>
    <t>이유안</t>
    <phoneticPr fontId="3" type="noConversion"/>
  </si>
  <si>
    <t>조수희</t>
    <phoneticPr fontId="3" type="noConversion"/>
  </si>
  <si>
    <t>3kg</t>
    <phoneticPr fontId="3" type="noConversion"/>
  </si>
  <si>
    <t>유기농
가바백미</t>
    <phoneticPr fontId="3" type="noConversion"/>
  </si>
  <si>
    <t>송영빈</t>
    <phoneticPr fontId="3" type="noConversion"/>
  </si>
  <si>
    <t>이경미</t>
    <phoneticPr fontId="3" type="noConversion"/>
  </si>
  <si>
    <t>김우영</t>
    <phoneticPr fontId="3" type="noConversion"/>
  </si>
  <si>
    <t>금보라</t>
    <phoneticPr fontId="3" type="noConversion"/>
  </si>
  <si>
    <t>유기농
귀리</t>
    <phoneticPr fontId="3" type="noConversion"/>
  </si>
  <si>
    <t>누룽지</t>
    <phoneticPr fontId="3" type="noConversion"/>
  </si>
  <si>
    <t>IPS
현미</t>
    <phoneticPr fontId="3" type="noConversion"/>
  </si>
  <si>
    <t>바스마티</t>
    <phoneticPr fontId="3" type="noConversion"/>
  </si>
  <si>
    <t>1kg</t>
    <phoneticPr fontId="3" type="noConversion"/>
  </si>
  <si>
    <t>5kg</t>
    <phoneticPr fontId="3" type="noConversion"/>
  </si>
  <si>
    <t>프로
자스민
CJ6</t>
    <phoneticPr fontId="3" type="noConversion"/>
  </si>
  <si>
    <t>유기농
가바
발아현미</t>
    <phoneticPr fontId="3" type="noConversion"/>
  </si>
  <si>
    <t>26/08/07
(금)</t>
    <phoneticPr fontId="4" type="noConversion"/>
  </si>
  <si>
    <t>동탄1</t>
    <phoneticPr fontId="3" type="noConversion"/>
  </si>
  <si>
    <t>대구2</t>
    <phoneticPr fontId="3" type="noConversion"/>
  </si>
  <si>
    <t>고양1</t>
    <phoneticPr fontId="3" type="noConversion"/>
  </si>
  <si>
    <t>26/08/07(금)
옥천농협 배송</t>
    <phoneticPr fontId="4" type="noConversion"/>
  </si>
  <si>
    <t>1파렛</t>
    <phoneticPr fontId="3" type="noConversion"/>
  </si>
  <si>
    <t>윤금자</t>
    <phoneticPr fontId="3" type="noConversion"/>
  </si>
  <si>
    <t>자연
주의</t>
    <phoneticPr fontId="3" type="noConversion"/>
  </si>
  <si>
    <t>이상자</t>
    <phoneticPr fontId="3" type="noConversion"/>
  </si>
  <si>
    <t>울림두레 용강점</t>
    <phoneticPr fontId="3" type="noConversion"/>
  </si>
  <si>
    <t>김윤우</t>
    <phoneticPr fontId="3" type="noConversion"/>
  </si>
  <si>
    <t>니로로롱</t>
    <phoneticPr fontId="3" type="noConversion"/>
  </si>
  <si>
    <t>김재철</t>
    <phoneticPr fontId="3" type="noConversion"/>
  </si>
  <si>
    <t>최보람</t>
    <phoneticPr fontId="3" type="noConversion"/>
  </si>
  <si>
    <t>김현지</t>
    <phoneticPr fontId="3" type="noConversion"/>
  </si>
  <si>
    <t>김영신</t>
    <phoneticPr fontId="3" type="noConversion"/>
  </si>
  <si>
    <t>염시윤</t>
    <phoneticPr fontId="3" type="noConversion"/>
  </si>
  <si>
    <t>3kg</t>
    <phoneticPr fontId="3" type="noConversion"/>
  </si>
  <si>
    <t>유기농
차조</t>
    <phoneticPr fontId="3" type="noConversion"/>
  </si>
  <si>
    <t>유기농
기장</t>
    <phoneticPr fontId="3" type="noConversion"/>
  </si>
  <si>
    <t>이은주</t>
    <phoneticPr fontId="3" type="noConversion"/>
  </si>
  <si>
    <t>유기농
흑미</t>
    <phoneticPr fontId="3" type="noConversion"/>
  </si>
  <si>
    <t>구민정</t>
    <phoneticPr fontId="3" type="noConversion"/>
  </si>
  <si>
    <t>자연주의</t>
    <phoneticPr fontId="3" type="noConversion"/>
  </si>
  <si>
    <t>유기농
가바현미
PET</t>
    <phoneticPr fontId="3" type="noConversion"/>
  </si>
  <si>
    <t>정은숙</t>
    <phoneticPr fontId="3" type="noConversion"/>
  </si>
  <si>
    <t>서대문생협</t>
    <phoneticPr fontId="3" type="noConversion"/>
  </si>
  <si>
    <t>26/08/10
(월)</t>
    <phoneticPr fontId="4" type="noConversion"/>
  </si>
  <si>
    <t>(         )</t>
    <phoneticPr fontId="3" type="noConversion"/>
  </si>
  <si>
    <t>시아스(즉석밥용쌀)</t>
    <phoneticPr fontId="3" type="noConversion"/>
  </si>
  <si>
    <t>1,000kg</t>
    <phoneticPr fontId="3" type="noConversion"/>
  </si>
  <si>
    <t>유기농
가바백미</t>
    <phoneticPr fontId="3" type="noConversion"/>
  </si>
  <si>
    <t>유기농
가바현미</t>
    <phoneticPr fontId="3" type="noConversion"/>
  </si>
  <si>
    <t>200kg</t>
    <phoneticPr fontId="3" type="noConversion"/>
  </si>
  <si>
    <t>8/11(화)
오후상차</t>
    <phoneticPr fontId="3" type="noConversion"/>
  </si>
  <si>
    <t>26/08/10(월)
옥천농협 배송</t>
    <phoneticPr fontId="4" type="noConversion"/>
  </si>
  <si>
    <t>나규형</t>
    <phoneticPr fontId="20" type="noConversion"/>
  </si>
  <si>
    <t>김호림</t>
    <phoneticPr fontId="20" type="noConversion"/>
  </si>
  <si>
    <t>별빛어린이집</t>
    <phoneticPr fontId="3" type="noConversion"/>
  </si>
  <si>
    <t>삼성이화어린이집</t>
    <phoneticPr fontId="3" type="noConversion"/>
  </si>
  <si>
    <t>김유리</t>
    <phoneticPr fontId="3" type="noConversion"/>
  </si>
  <si>
    <t>오문자</t>
    <phoneticPr fontId="3" type="noConversion"/>
  </si>
  <si>
    <t>전효진</t>
    <phoneticPr fontId="3" type="noConversion"/>
  </si>
  <si>
    <t>현미자</t>
    <phoneticPr fontId="3" type="noConversion"/>
  </si>
  <si>
    <t>이유진</t>
    <phoneticPr fontId="3" type="noConversion"/>
  </si>
  <si>
    <t>권나영</t>
    <phoneticPr fontId="3" type="noConversion"/>
  </si>
  <si>
    <t>김혜민</t>
    <phoneticPr fontId="3" type="noConversion"/>
  </si>
  <si>
    <t>최슬아</t>
    <phoneticPr fontId="3" type="noConversion"/>
  </si>
  <si>
    <t>이순단</t>
    <phoneticPr fontId="3" type="noConversion"/>
  </si>
  <si>
    <t>신영진</t>
    <phoneticPr fontId="3" type="noConversion"/>
  </si>
  <si>
    <t>배은희</t>
    <phoneticPr fontId="3" type="noConversion"/>
  </si>
  <si>
    <t>김관호</t>
    <phoneticPr fontId="3" type="noConversion"/>
  </si>
  <si>
    <t>김영은</t>
    <phoneticPr fontId="3" type="noConversion"/>
  </si>
  <si>
    <t>이용찬</t>
    <phoneticPr fontId="3" type="noConversion"/>
  </si>
  <si>
    <t>이순복</t>
    <phoneticPr fontId="3" type="noConversion"/>
  </si>
  <si>
    <t>조수정</t>
    <phoneticPr fontId="3" type="noConversion"/>
  </si>
  <si>
    <t>노자영</t>
    <phoneticPr fontId="3" type="noConversion"/>
  </si>
  <si>
    <t>권시연</t>
    <phoneticPr fontId="3" type="noConversion"/>
  </si>
  <si>
    <t>이승환</t>
    <phoneticPr fontId="3" type="noConversion"/>
  </si>
  <si>
    <t>나규린</t>
    <phoneticPr fontId="3" type="noConversion"/>
  </si>
  <si>
    <t>유기농
찰현미</t>
    <phoneticPr fontId="3" type="noConversion"/>
  </si>
  <si>
    <t>5kg</t>
    <phoneticPr fontId="3" type="noConversion"/>
  </si>
  <si>
    <t>유기농
수수</t>
    <phoneticPr fontId="3" type="noConversion"/>
  </si>
  <si>
    <t>유기농
가바
발아현미</t>
    <phoneticPr fontId="3" type="noConversion"/>
  </si>
  <si>
    <t>유기농
찰보리</t>
    <phoneticPr fontId="3" type="noConversion"/>
  </si>
  <si>
    <t>유기농
검정보리</t>
    <phoneticPr fontId="3" type="noConversion"/>
  </si>
  <si>
    <t>유기농
귀리</t>
    <phoneticPr fontId="3" type="noConversion"/>
  </si>
  <si>
    <t>유기농
기장</t>
    <phoneticPr fontId="3" type="noConversion"/>
  </si>
  <si>
    <t>유기농
차조</t>
    <phoneticPr fontId="3" type="noConversion"/>
  </si>
  <si>
    <t>800g</t>
    <phoneticPr fontId="3" type="noConversion"/>
  </si>
  <si>
    <t>1kg</t>
    <phoneticPr fontId="3" type="noConversion"/>
  </si>
  <si>
    <t>907g</t>
    <phoneticPr fontId="3" type="noConversion"/>
  </si>
  <si>
    <t>유기농
프로틴
라이스
 IPS</t>
    <phoneticPr fontId="3" type="noConversion"/>
  </si>
  <si>
    <t>누룽지</t>
    <phoneticPr fontId="3" type="noConversion"/>
  </si>
  <si>
    <t>1kg</t>
    <phoneticPr fontId="3" type="noConversion"/>
  </si>
  <si>
    <t>15kg</t>
    <phoneticPr fontId="3" type="noConversion"/>
  </si>
  <si>
    <t>유기농
 IPS</t>
    <phoneticPr fontId="3" type="noConversion"/>
  </si>
  <si>
    <t>신유진(현대그린푸드)</t>
    <phoneticPr fontId="3" type="noConversion"/>
  </si>
  <si>
    <t>금고깃집 본점</t>
    <phoneticPr fontId="3" type="noConversion"/>
  </si>
  <si>
    <t>금고깃집 하늘점</t>
    <phoneticPr fontId="3" type="noConversion"/>
  </si>
  <si>
    <t>신창희</t>
    <phoneticPr fontId="3" type="noConversion"/>
  </si>
  <si>
    <t>김명애</t>
    <phoneticPr fontId="3" type="noConversion"/>
  </si>
  <si>
    <t>김인영</t>
    <phoneticPr fontId="3" type="noConversion"/>
  </si>
  <si>
    <t>26/08/11
(화)</t>
    <phoneticPr fontId="4" type="noConversion"/>
  </si>
  <si>
    <t>주희경</t>
    <phoneticPr fontId="3" type="noConversion"/>
  </si>
  <si>
    <t>홍유민</t>
    <phoneticPr fontId="3" type="noConversion"/>
  </si>
  <si>
    <t>명지대어린이집</t>
    <phoneticPr fontId="3" type="noConversion"/>
  </si>
  <si>
    <t>신촌어린이집</t>
    <phoneticPr fontId="3" type="noConversion"/>
  </si>
  <si>
    <t>아이담쌀</t>
    <phoneticPr fontId="3" type="noConversion"/>
  </si>
  <si>
    <t>예은농산</t>
    <phoneticPr fontId="3" type="noConversion"/>
  </si>
  <si>
    <t>황봉덕</t>
    <phoneticPr fontId="3" type="noConversion"/>
  </si>
  <si>
    <t>장문석</t>
    <phoneticPr fontId="3" type="noConversion"/>
  </si>
  <si>
    <t>김희영</t>
    <phoneticPr fontId="3" type="noConversion"/>
  </si>
  <si>
    <t>남용범</t>
    <phoneticPr fontId="3" type="noConversion"/>
  </si>
  <si>
    <t>정혜영</t>
    <phoneticPr fontId="3" type="noConversion"/>
  </si>
  <si>
    <t>박혜린</t>
    <phoneticPr fontId="3" type="noConversion"/>
  </si>
  <si>
    <t>권도하</t>
    <phoneticPr fontId="3" type="noConversion"/>
  </si>
  <si>
    <t>장선숙</t>
    <phoneticPr fontId="3" type="noConversion"/>
  </si>
  <si>
    <t>해남로컬푸드</t>
    <phoneticPr fontId="3" type="noConversion"/>
  </si>
  <si>
    <t>해남급식(해남로컬푸드)</t>
    <phoneticPr fontId="3" type="noConversion"/>
  </si>
  <si>
    <t>유기농
가바
발아현미</t>
    <phoneticPr fontId="3" type="noConversion"/>
  </si>
  <si>
    <t>유기농
차조</t>
    <phoneticPr fontId="3" type="noConversion"/>
  </si>
  <si>
    <t>1kg</t>
    <phoneticPr fontId="3" type="noConversion"/>
  </si>
  <si>
    <t>26/08/12(수)
옥천농협 배송</t>
    <phoneticPr fontId="4" type="noConversion"/>
  </si>
  <si>
    <t>26/08/12
(수)</t>
    <phoneticPr fontId="4" type="noConversion"/>
  </si>
  <si>
    <t>신윤진</t>
    <phoneticPr fontId="3" type="noConversion"/>
  </si>
  <si>
    <t>우리아이행복밥상</t>
    <phoneticPr fontId="3" type="noConversion"/>
  </si>
  <si>
    <t>고은어린이집</t>
    <phoneticPr fontId="3" type="noConversion"/>
  </si>
  <si>
    <t>또오기어린이집</t>
    <phoneticPr fontId="3" type="noConversion"/>
  </si>
  <si>
    <t>5kg</t>
    <phoneticPr fontId="3" type="noConversion"/>
  </si>
  <si>
    <t>울림두레 망원점</t>
    <phoneticPr fontId="3" type="noConversion"/>
  </si>
  <si>
    <t>광광</t>
    <phoneticPr fontId="3" type="noConversion"/>
  </si>
  <si>
    <t>김현정</t>
    <phoneticPr fontId="3" type="noConversion"/>
  </si>
  <si>
    <t>양채은</t>
    <phoneticPr fontId="3" type="noConversion"/>
  </si>
  <si>
    <t>이정순</t>
    <phoneticPr fontId="3" type="noConversion"/>
  </si>
  <si>
    <t>최은진</t>
    <phoneticPr fontId="3" type="noConversion"/>
  </si>
  <si>
    <t>박해리</t>
    <phoneticPr fontId="3" type="noConversion"/>
  </si>
  <si>
    <t>정유민</t>
    <phoneticPr fontId="3" type="noConversion"/>
  </si>
  <si>
    <t>문신임</t>
    <phoneticPr fontId="3" type="noConversion"/>
  </si>
  <si>
    <t>강초록</t>
    <phoneticPr fontId="3" type="noConversion"/>
  </si>
  <si>
    <t>강초록</t>
    <phoneticPr fontId="3" type="noConversion"/>
  </si>
  <si>
    <t>김혜련</t>
    <phoneticPr fontId="3" type="noConversion"/>
  </si>
  <si>
    <t>1kg</t>
    <phoneticPr fontId="3" type="noConversion"/>
  </si>
  <si>
    <t>서울디아스포라교회</t>
    <phoneticPr fontId="3" type="noConversion"/>
  </si>
  <si>
    <t>울림두레 북가좌점</t>
    <phoneticPr fontId="3" type="noConversion"/>
  </si>
  <si>
    <t>유기농
귀리</t>
    <phoneticPr fontId="3" type="noConversion"/>
  </si>
  <si>
    <t>유기농
기장</t>
    <phoneticPr fontId="3" type="noConversion"/>
  </si>
  <si>
    <t>1kg</t>
    <phoneticPr fontId="3" type="noConversion"/>
  </si>
  <si>
    <t>누룽지</t>
    <phoneticPr fontId="3" type="noConversion"/>
  </si>
  <si>
    <t>1kg</t>
    <phoneticPr fontId="3" type="noConversion"/>
  </si>
  <si>
    <t>26/08/14
(금)</t>
    <phoneticPr fontId="4" type="noConversion"/>
  </si>
  <si>
    <t>인천4</t>
    <phoneticPr fontId="3" type="noConversion"/>
  </si>
  <si>
    <t>창원1</t>
    <phoneticPr fontId="3" type="noConversion"/>
  </si>
  <si>
    <t>이천2</t>
    <phoneticPr fontId="3" type="noConversion"/>
  </si>
  <si>
    <t>인천4</t>
    <phoneticPr fontId="3" type="noConversion"/>
  </si>
  <si>
    <t>26/08/14(금)
옥천농협 배송</t>
    <phoneticPr fontId="4" type="noConversion"/>
  </si>
  <si>
    <t>1파렛</t>
    <phoneticPr fontId="3" type="noConversion"/>
  </si>
  <si>
    <t xml:space="preserve"> </t>
    <phoneticPr fontId="3" type="noConversion"/>
  </si>
  <si>
    <t>자연주의
유기농
천지향5세
오분도미</t>
    <phoneticPr fontId="3" type="noConversion"/>
  </si>
  <si>
    <t>4kg</t>
    <phoneticPr fontId="3" type="noConversion"/>
  </si>
  <si>
    <t>5분도미4kg</t>
    <phoneticPr fontId="3" type="noConversion"/>
  </si>
  <si>
    <t>26/08/17(월)
옥천농협 배송</t>
    <phoneticPr fontId="4" type="noConversion"/>
  </si>
  <si>
    <t xml:space="preserve"> 가바백미
4kg</t>
    <phoneticPr fontId="3" type="noConversion"/>
  </si>
  <si>
    <t>26/08/18
(화)</t>
    <phoneticPr fontId="4" type="noConversion"/>
  </si>
  <si>
    <t>이마트연수점</t>
    <phoneticPr fontId="3" type="noConversion"/>
  </si>
  <si>
    <t>이마트풍산점</t>
    <phoneticPr fontId="3" type="noConversion"/>
  </si>
  <si>
    <t>이마트명일점</t>
    <phoneticPr fontId="3" type="noConversion"/>
  </si>
  <si>
    <t>이마트신월점</t>
    <phoneticPr fontId="3" type="noConversion"/>
  </si>
  <si>
    <t>이마트일산점</t>
    <phoneticPr fontId="3" type="noConversion"/>
  </si>
  <si>
    <t>이마트수성점</t>
    <phoneticPr fontId="3" type="noConversion"/>
  </si>
  <si>
    <t>이마트동인천점</t>
    <phoneticPr fontId="3" type="noConversion"/>
  </si>
  <si>
    <t>이마트광산점</t>
    <phoneticPr fontId="3" type="noConversion"/>
  </si>
  <si>
    <t>5kg</t>
    <phoneticPr fontId="3" type="noConversion"/>
  </si>
  <si>
    <t>4파렛</t>
    <phoneticPr fontId="3" type="noConversion"/>
  </si>
  <si>
    <t>2파렛</t>
    <phoneticPr fontId="3" type="noConversion"/>
  </si>
  <si>
    <t>3파렛</t>
    <phoneticPr fontId="3" type="noConversion"/>
  </si>
  <si>
    <t>5파렛</t>
    <phoneticPr fontId="3" type="noConversion"/>
  </si>
  <si>
    <t>3파렛</t>
    <phoneticPr fontId="3" type="noConversion"/>
  </si>
  <si>
    <t>이마트본사 김보훈</t>
    <phoneticPr fontId="3" type="noConversion"/>
  </si>
  <si>
    <t>3파렛</t>
    <phoneticPr fontId="3" type="noConversion"/>
  </si>
  <si>
    <t>이선우</t>
    <phoneticPr fontId="3" type="noConversion"/>
  </si>
  <si>
    <t>LIUYUSHAN</t>
    <phoneticPr fontId="3" type="noConversion"/>
  </si>
  <si>
    <t>나혜경</t>
    <phoneticPr fontId="3" type="noConversion"/>
  </si>
  <si>
    <t>성수옥</t>
    <phoneticPr fontId="3" type="noConversion"/>
  </si>
  <si>
    <t>김지희</t>
    <phoneticPr fontId="3" type="noConversion"/>
  </si>
  <si>
    <t>울림생협 성산점</t>
    <phoneticPr fontId="3" type="noConversion"/>
  </si>
  <si>
    <t>울림생협 북가좌점</t>
    <phoneticPr fontId="3" type="noConversion"/>
  </si>
  <si>
    <t>꼬마박사어린이집</t>
    <phoneticPr fontId="3" type="noConversion"/>
  </si>
  <si>
    <t>별빛어린이집</t>
    <phoneticPr fontId="3" type="noConversion"/>
  </si>
  <si>
    <t>신촌어린이집</t>
    <phoneticPr fontId="3" type="noConversion"/>
  </si>
  <si>
    <t>서대문마을생협</t>
    <phoneticPr fontId="3" type="noConversion"/>
  </si>
  <si>
    <t>서보람</t>
    <phoneticPr fontId="3" type="noConversion"/>
  </si>
  <si>
    <t>임수진</t>
    <phoneticPr fontId="3" type="noConversion"/>
  </si>
  <si>
    <t>신득희</t>
    <phoneticPr fontId="3" type="noConversion"/>
  </si>
  <si>
    <t>정승준</t>
    <phoneticPr fontId="3" type="noConversion"/>
  </si>
  <si>
    <t>박혜원</t>
    <phoneticPr fontId="3" type="noConversion"/>
  </si>
  <si>
    <t>한경철</t>
    <phoneticPr fontId="3" type="noConversion"/>
  </si>
  <si>
    <t>정우식</t>
    <phoneticPr fontId="3" type="noConversion"/>
  </si>
  <si>
    <t>김성욱</t>
    <phoneticPr fontId="3" type="noConversion"/>
  </si>
  <si>
    <t>최지애</t>
    <phoneticPr fontId="3" type="noConversion"/>
  </si>
  <si>
    <t>유종훈</t>
    <phoneticPr fontId="3" type="noConversion"/>
  </si>
  <si>
    <t>윤서우</t>
    <phoneticPr fontId="3" type="noConversion"/>
  </si>
  <si>
    <t>진 이</t>
    <phoneticPr fontId="3" type="noConversion"/>
  </si>
  <si>
    <t>임효진</t>
    <phoneticPr fontId="3" type="noConversion"/>
  </si>
  <si>
    <t>윤세라</t>
    <phoneticPr fontId="3" type="noConversion"/>
  </si>
  <si>
    <t>백민수</t>
    <phoneticPr fontId="3" type="noConversion"/>
  </si>
  <si>
    <t>박경옥</t>
    <phoneticPr fontId="3" type="noConversion"/>
  </si>
  <si>
    <t>조오제</t>
    <phoneticPr fontId="3" type="noConversion"/>
  </si>
  <si>
    <t>박정연</t>
    <phoneticPr fontId="3" type="noConversion"/>
  </si>
  <si>
    <t>박종진</t>
    <phoneticPr fontId="3" type="noConversion"/>
  </si>
  <si>
    <t>김은경</t>
    <phoneticPr fontId="3" type="noConversion"/>
  </si>
  <si>
    <t>고용식</t>
    <phoneticPr fontId="3" type="noConversion"/>
  </si>
  <si>
    <t>엄민호</t>
    <phoneticPr fontId="3" type="noConversion"/>
  </si>
  <si>
    <t>이성진</t>
    <phoneticPr fontId="3" type="noConversion"/>
  </si>
  <si>
    <t>김효진</t>
    <phoneticPr fontId="3" type="noConversion"/>
  </si>
  <si>
    <t>이학주</t>
    <phoneticPr fontId="3" type="noConversion"/>
  </si>
  <si>
    <t>김도윤</t>
    <phoneticPr fontId="3" type="noConversion"/>
  </si>
  <si>
    <t>정은주</t>
    <phoneticPr fontId="3" type="noConversion"/>
  </si>
  <si>
    <t>이채원</t>
    <phoneticPr fontId="3" type="noConversion"/>
  </si>
  <si>
    <t>김효진</t>
    <phoneticPr fontId="3" type="noConversion"/>
  </si>
  <si>
    <t>임지현</t>
    <phoneticPr fontId="3" type="noConversion"/>
  </si>
  <si>
    <t>최선민</t>
    <phoneticPr fontId="3" type="noConversion"/>
  </si>
  <si>
    <t>김지은</t>
    <phoneticPr fontId="3" type="noConversion"/>
  </si>
  <si>
    <t>유기농
IPS</t>
    <phoneticPr fontId="3" type="noConversion"/>
  </si>
  <si>
    <t>800g</t>
    <phoneticPr fontId="3" type="noConversion"/>
  </si>
  <si>
    <t>유기농
검정보리</t>
    <phoneticPr fontId="3" type="noConversion"/>
  </si>
  <si>
    <t>907g</t>
    <phoneticPr fontId="3" type="noConversion"/>
  </si>
  <si>
    <t>10kg</t>
    <phoneticPr fontId="3" type="noConversion"/>
  </si>
  <si>
    <t>아이담쌀</t>
    <phoneticPr fontId="3" type="noConversion"/>
  </si>
  <si>
    <t>한경주</t>
    <phoneticPr fontId="3" type="noConversion"/>
  </si>
  <si>
    <t>엄마맘어린이집</t>
    <phoneticPr fontId="3" type="noConversion"/>
  </si>
  <si>
    <t xml:space="preserve">롯데마트 서초점 </t>
    <phoneticPr fontId="3" type="noConversion"/>
  </si>
  <si>
    <t>롯데백화점 평촌점</t>
    <phoneticPr fontId="3" type="noConversion"/>
  </si>
  <si>
    <t>이효정</t>
    <phoneticPr fontId="3" type="noConversion"/>
  </si>
  <si>
    <t>황도임</t>
    <phoneticPr fontId="3" type="noConversion"/>
  </si>
  <si>
    <t>이유나</t>
    <phoneticPr fontId="3" type="noConversion"/>
  </si>
  <si>
    <t>동동이</t>
    <phoneticPr fontId="3" type="noConversion"/>
  </si>
  <si>
    <t>정덕순</t>
    <phoneticPr fontId="3" type="noConversion"/>
  </si>
  <si>
    <t>울림생협 용강점</t>
    <phoneticPr fontId="3" type="noConversion"/>
  </si>
  <si>
    <t>4kg</t>
    <phoneticPr fontId="3" type="noConversion"/>
  </si>
  <si>
    <t>해남로컬푸드</t>
    <phoneticPr fontId="3" type="noConversion"/>
  </si>
  <si>
    <t>26/08/19(수)
옥천농협 배송</t>
    <phoneticPr fontId="4" type="noConversion"/>
  </si>
  <si>
    <t>곽지혜</t>
    <phoneticPr fontId="3" type="noConversion"/>
  </si>
  <si>
    <t>26/08/19
(수)</t>
    <phoneticPr fontId="4" type="noConversion"/>
  </si>
  <si>
    <t>안성4</t>
    <phoneticPr fontId="3" type="noConversion"/>
  </si>
  <si>
    <t>1파렛</t>
    <phoneticPr fontId="3" type="noConversion"/>
  </si>
  <si>
    <t>바비조아</t>
    <phoneticPr fontId="3" type="noConversion"/>
  </si>
  <si>
    <t>채석용</t>
    <phoneticPr fontId="3" type="noConversion"/>
  </si>
  <si>
    <t>고은어린이집</t>
    <phoneticPr fontId="3" type="noConversion"/>
  </si>
  <si>
    <t>또오기어린이집</t>
    <phoneticPr fontId="3" type="noConversion"/>
  </si>
  <si>
    <t>삼성이화어린이집</t>
    <phoneticPr fontId="3" type="noConversion"/>
  </si>
  <si>
    <t>유영식</t>
    <phoneticPr fontId="3" type="noConversion"/>
  </si>
  <si>
    <t>김지은</t>
    <phoneticPr fontId="3" type="noConversion"/>
  </si>
  <si>
    <t>심영보</t>
    <phoneticPr fontId="3" type="noConversion"/>
  </si>
  <si>
    <t>최광석</t>
    <phoneticPr fontId="3" type="noConversion"/>
  </si>
  <si>
    <t>서효주</t>
    <phoneticPr fontId="3" type="noConversion"/>
  </si>
  <si>
    <t>박철구</t>
    <phoneticPr fontId="3" type="noConversion"/>
  </si>
  <si>
    <t>김진곤</t>
    <phoneticPr fontId="3" type="noConversion"/>
  </si>
  <si>
    <t>김하영</t>
    <phoneticPr fontId="3" type="noConversion"/>
  </si>
  <si>
    <t>정주희</t>
    <phoneticPr fontId="3" type="noConversion"/>
  </si>
  <si>
    <t>김초희</t>
    <phoneticPr fontId="3" type="noConversion"/>
  </si>
  <si>
    <t>이일승</t>
    <phoneticPr fontId="3" type="noConversion"/>
  </si>
  <si>
    <t>홍수지</t>
    <phoneticPr fontId="3" type="noConversion"/>
  </si>
  <si>
    <t>유지선</t>
    <phoneticPr fontId="3" type="noConversion"/>
  </si>
  <si>
    <t>박현순</t>
    <phoneticPr fontId="3" type="noConversion"/>
  </si>
  <si>
    <t>유기농
가바현미</t>
    <phoneticPr fontId="3" type="noConversion"/>
  </si>
  <si>
    <t>800g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</si>
</sst>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#,##0&quot;박스&quot;"/>
    <numFmt numFmtId="178" formatCode="0_);[Red]\(0\)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40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30"/>
      <color rgb="FF000000"/>
      <name val="맑은 고딕"/>
      <family val="3"/>
      <charset val="129"/>
    </font>
    <font>
      <sz val="48"/>
      <color rgb="FF000000"/>
      <name val="맑은 고딕"/>
      <family val="3"/>
      <charset val="129"/>
    </font>
    <font>
      <b/>
      <sz val="50"/>
      <color rgb="FF000000"/>
      <name val="맑은 고딕"/>
      <family val="3"/>
      <charset val="129"/>
    </font>
    <font>
      <b/>
      <sz val="30"/>
      <color theme="1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26"/>
      <color rgb="FF000000"/>
      <name val="맑은 고딕"/>
      <family val="3"/>
      <charset val="129"/>
    </font>
    <font>
      <b/>
      <sz val="36"/>
      <color rgb="FF000000"/>
      <name val="맑은 고딕"/>
      <family val="3"/>
      <charset val="129"/>
    </font>
    <font>
      <b/>
      <sz val="25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b/>
      <sz val="22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36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</cellStyleXfs>
  <cellXfs count="111">
    <xf numFmtId="0" fontId="0" fillId="0" borderId="0" xfId="0">
      <alignment vertical="center"/>
    </xf>
    <xf numFmtId="176" fontId="5" fillId="0" borderId="1" xfId="1" quotePrefix="1" applyNumberFormat="1" applyFont="1" applyBorder="1" applyAlignment="1">
      <alignment horizontal="center" vertical="center" wrapText="1" readingOrder="1"/>
    </xf>
    <xf numFmtId="176" fontId="5" fillId="0" borderId="2" xfId="1" quotePrefix="1" applyNumberFormat="1" applyFont="1" applyBorder="1" applyAlignment="1">
      <alignment horizontal="center" vertical="center" wrapText="1" readingOrder="1"/>
    </xf>
    <xf numFmtId="0" fontId="6" fillId="0" borderId="0" xfId="1" applyNumberFormat="1" applyFont="1">
      <alignment vertical="center"/>
    </xf>
    <xf numFmtId="0" fontId="1" fillId="0" borderId="0" xfId="1" applyNumberFormat="1">
      <alignment vertical="center"/>
    </xf>
    <xf numFmtId="176" fontId="5" fillId="0" borderId="1" xfId="1" quotePrefix="1" applyNumberFormat="1" applyFont="1" applyBorder="1" applyAlignment="1">
      <alignment horizontal="center" vertical="center" shrinkToFit="1" readingOrder="1"/>
    </xf>
    <xf numFmtId="176" fontId="5" fillId="0" borderId="2" xfId="1" quotePrefix="1" applyNumberFormat="1" applyFont="1" applyBorder="1" applyAlignment="1">
      <alignment horizontal="center" vertical="center" shrinkToFit="1" readingOrder="1"/>
    </xf>
    <xf numFmtId="176" fontId="5" fillId="2" borderId="1" xfId="1" quotePrefix="1" applyNumberFormat="1" applyFont="1" applyFill="1" applyBorder="1" applyAlignment="1">
      <alignment horizontal="center" vertical="center" shrinkToFit="1" readingOrder="1"/>
    </xf>
    <xf numFmtId="41" fontId="7" fillId="2" borderId="1" xfId="2" quotePrefix="1" applyNumberFormat="1" applyFont="1" applyFill="1" applyBorder="1" applyAlignment="1">
      <alignment horizontal="center" vertical="center" shrinkToFit="1" readingOrder="1"/>
    </xf>
    <xf numFmtId="41" fontId="6" fillId="0" borderId="0" xfId="2" applyNumberFormat="1" applyFont="1">
      <alignment vertical="center"/>
    </xf>
    <xf numFmtId="0" fontId="5" fillId="0" borderId="1" xfId="1" applyNumberFormat="1" applyFont="1" applyBorder="1" applyAlignment="1">
      <alignment horizontal="center" vertical="center" wrapText="1" shrinkToFit="1"/>
    </xf>
    <xf numFmtId="0" fontId="8" fillId="0" borderId="1" xfId="1" applyNumberFormat="1" applyFont="1" applyBorder="1" applyAlignment="1">
      <alignment horizontal="center" vertical="center"/>
    </xf>
    <xf numFmtId="41" fontId="8" fillId="0" borderId="1" xfId="2" applyNumberFormat="1" applyFont="1" applyBorder="1" applyAlignment="1">
      <alignment horizontal="center" vertical="center"/>
    </xf>
    <xf numFmtId="43" fontId="6" fillId="0" borderId="0" xfId="2" applyNumberFormat="1" applyFont="1">
      <alignment vertical="center"/>
    </xf>
    <xf numFmtId="41" fontId="9" fillId="0" borderId="0" xfId="2" applyNumberFormat="1" applyFont="1">
      <alignment vertical="center"/>
    </xf>
    <xf numFmtId="43" fontId="6" fillId="0" borderId="0" xfId="1" applyNumberFormat="1" applyFont="1">
      <alignment vertical="center"/>
    </xf>
    <xf numFmtId="41" fontId="10" fillId="0" borderId="0" xfId="2" applyNumberFormat="1" applyFont="1">
      <alignment vertical="center"/>
    </xf>
    <xf numFmtId="0" fontId="1" fillId="0" borderId="1" xfId="1" applyNumberFormat="1" applyBorder="1">
      <alignment vertical="center"/>
    </xf>
    <xf numFmtId="0" fontId="11" fillId="0" borderId="1" xfId="1" applyNumberFormat="1" applyFont="1" applyBorder="1" applyAlignment="1">
      <alignment horizontal="center" vertical="center"/>
    </xf>
    <xf numFmtId="0" fontId="12" fillId="0" borderId="1" xfId="1" applyNumberFormat="1" applyFont="1" applyBorder="1" applyAlignment="1">
      <alignment horizontal="center" vertical="center"/>
    </xf>
    <xf numFmtId="177" fontId="5" fillId="0" borderId="1" xfId="1" applyNumberFormat="1" applyFont="1" applyBorder="1" applyAlignment="1">
      <alignment horizontal="center" vertical="center"/>
    </xf>
    <xf numFmtId="177" fontId="13" fillId="0" borderId="0" xfId="1" applyNumberFormat="1" applyFont="1" applyAlignment="1">
      <alignment horizontal="center" vertical="center"/>
    </xf>
    <xf numFmtId="176" fontId="14" fillId="0" borderId="1" xfId="1" quotePrefix="1" applyNumberFormat="1" applyFont="1" applyBorder="1" applyAlignment="1">
      <alignment horizontal="center" vertical="center" wrapText="1" shrinkToFi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7" fillId="0" borderId="1" xfId="1" quotePrefix="1" applyNumberFormat="1" applyFont="1" applyBorder="1" applyAlignment="1">
      <alignment horizontal="center" vertical="center" wrapText="1" shrinkToFit="1" readingOrder="1"/>
    </xf>
    <xf numFmtId="176" fontId="18" fillId="3" borderId="2" xfId="1" quotePrefix="1" applyNumberFormat="1" applyFont="1" applyFill="1" applyBorder="1" applyAlignment="1">
      <alignment horizontal="center" vertical="center" wrapText="1" readingOrder="1"/>
    </xf>
    <xf numFmtId="176" fontId="18" fillId="0" borderId="2" xfId="1" quotePrefix="1" applyNumberFormat="1" applyFont="1" applyFill="1" applyBorder="1" applyAlignment="1">
      <alignment horizontal="center" vertical="center" wrapText="1" shrinkToFit="1" readingOrder="1"/>
    </xf>
    <xf numFmtId="176" fontId="18" fillId="3" borderId="2" xfId="1" quotePrefix="1" applyNumberFormat="1" applyFont="1" applyFill="1" applyBorder="1" applyAlignment="1">
      <alignment horizontal="center" vertical="center" wrapText="1" shrinkToFit="1" readingOrder="1"/>
    </xf>
    <xf numFmtId="176" fontId="17" fillId="3" borderId="2" xfId="1" quotePrefix="1" applyNumberFormat="1" applyFont="1" applyFill="1" applyBorder="1" applyAlignment="1">
      <alignment horizontal="center" vertical="center" wrapText="1" shrinkToFit="1" readingOrder="1"/>
    </xf>
    <xf numFmtId="0" fontId="16" fillId="0" borderId="1" xfId="1" applyNumberFormat="1" applyFont="1" applyFill="1" applyBorder="1" applyAlignment="1">
      <alignment horizontal="center"/>
    </xf>
    <xf numFmtId="176" fontId="17" fillId="0" borderId="1" xfId="1" quotePrefix="1" applyNumberFormat="1" applyFont="1" applyBorder="1" applyAlignment="1">
      <alignment horizontal="center" vertical="center" shrinkToFit="1" readingOrder="1"/>
    </xf>
    <xf numFmtId="176" fontId="15" fillId="3" borderId="1" xfId="1" quotePrefix="1" applyNumberFormat="1" applyFont="1" applyFill="1" applyBorder="1" applyAlignment="1">
      <alignment horizontal="center" vertical="center" shrinkToFit="1" readingOrder="1"/>
    </xf>
    <xf numFmtId="176" fontId="15" fillId="0" borderId="1" xfId="1" quotePrefix="1" applyNumberFormat="1" applyFont="1" applyFill="1" applyBorder="1" applyAlignment="1">
      <alignment horizontal="center" vertical="center" shrinkToFit="1" readingOrder="1"/>
    </xf>
    <xf numFmtId="0" fontId="17" fillId="4" borderId="1" xfId="1" applyNumberFormat="1" applyFont="1" applyFill="1" applyBorder="1" applyAlignment="1">
      <alignment horizontal="center" vertical="center" shrinkToFit="1" readingOrder="1"/>
    </xf>
    <xf numFmtId="178" fontId="19" fillId="5" borderId="1" xfId="1" quotePrefix="1" applyNumberFormat="1" applyFont="1" applyFill="1" applyBorder="1" applyAlignment="1">
      <alignment horizontal="center" vertical="center" shrinkToFit="1" readingOrder="1"/>
    </xf>
    <xf numFmtId="0" fontId="15" fillId="0" borderId="1" xfId="1" applyNumberFormat="1" applyFont="1" applyBorder="1" applyAlignment="1">
      <alignment horizontal="center"/>
    </xf>
    <xf numFmtId="0" fontId="16" fillId="3" borderId="1" xfId="1" applyNumberFormat="1" applyFont="1" applyFill="1" applyBorder="1" applyAlignment="1">
      <alignment horizontal="center" vertical="center"/>
    </xf>
    <xf numFmtId="0" fontId="16" fillId="3" borderId="1" xfId="1" applyNumberFormat="1" applyFont="1" applyFill="1" applyBorder="1" applyAlignment="1">
      <alignment horizontal="center"/>
    </xf>
    <xf numFmtId="0" fontId="1" fillId="0" borderId="0" xfId="1" applyNumberFormat="1" applyAlignment="1">
      <alignment horizontal="center" vertical="center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0" fontId="17" fillId="2" borderId="1" xfId="1" applyNumberFormat="1" applyFont="1" applyFill="1" applyBorder="1" applyAlignment="1">
      <alignment horizontal="center" vertical="center" shrinkToFit="1" readingOrder="1"/>
    </xf>
    <xf numFmtId="178" fontId="19" fillId="6" borderId="1" xfId="1" quotePrefix="1" applyNumberFormat="1" applyFont="1" applyFill="1" applyBorder="1" applyAlignment="1">
      <alignment horizontal="center" vertical="center" shrinkToFi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0" fontId="5" fillId="0" borderId="1" xfId="1" applyNumberFormat="1" applyFont="1" applyBorder="1" applyAlignment="1">
      <alignment horizontal="center" vertical="center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5" fillId="0" borderId="2" xfId="1" quotePrefix="1" applyNumberFormat="1" applyFont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7" fillId="3" borderId="1" xfId="1" quotePrefix="1" applyNumberFormat="1" applyFont="1" applyFill="1" applyBorder="1" applyAlignment="1">
      <alignment vertical="center" wrapText="1" shrinkToFit="1" readingOrder="1"/>
    </xf>
    <xf numFmtId="176" fontId="5" fillId="0" borderId="2" xfId="1" quotePrefix="1" applyNumberFormat="1" applyFont="1" applyBorder="1" applyAlignment="1">
      <alignment horizontal="center" vertical="center" wrapText="1" readingOrder="1"/>
    </xf>
    <xf numFmtId="176" fontId="5" fillId="0" borderId="2" xfId="1" quotePrefix="1" applyNumberFormat="1" applyFont="1" applyBorder="1" applyAlignment="1">
      <alignment horizontal="center" vertical="center" wrapTex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7" fillId="3" borderId="2" xfId="1" quotePrefix="1" applyNumberFormat="1" applyFont="1" applyFill="1" applyBorder="1" applyAlignment="1">
      <alignment horizontal="center" vertical="center" wrapText="1" shrinkToFit="1" readingOrder="1"/>
    </xf>
    <xf numFmtId="0" fontId="21" fillId="0" borderId="0" xfId="1" applyNumberFormat="1" applyFont="1">
      <alignment vertical="center"/>
    </xf>
    <xf numFmtId="0" fontId="22" fillId="0" borderId="0" xfId="1" applyNumberFormat="1" applyFont="1">
      <alignment vertical="center"/>
    </xf>
    <xf numFmtId="0" fontId="21" fillId="0" borderId="0" xfId="1" applyNumberFormat="1" applyFont="1" applyAlignment="1">
      <alignment horizontal="center" vertical="center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7" fillId="3" borderId="2" xfId="1" quotePrefix="1" applyNumberFormat="1" applyFont="1" applyFill="1" applyBorder="1" applyAlignment="1">
      <alignment horizontal="center" vertical="center" wrapText="1" shrinkToFit="1" readingOrder="1"/>
    </xf>
    <xf numFmtId="176" fontId="5" fillId="0" borderId="2" xfId="1" quotePrefix="1" applyNumberFormat="1" applyFont="1" applyBorder="1" applyAlignment="1">
      <alignment horizontal="center" vertical="center" wrapText="1" readingOrder="1"/>
    </xf>
    <xf numFmtId="176" fontId="17" fillId="3" borderId="4" xfId="1" quotePrefix="1" applyNumberFormat="1" applyFont="1" applyFill="1" applyBorder="1" applyAlignment="1">
      <alignment horizontal="center" vertical="center" wrapText="1" shrinkToFi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7" fillId="3" borderId="2" xfId="1" quotePrefix="1" applyNumberFormat="1" applyFont="1" applyFill="1" applyBorder="1" applyAlignment="1">
      <alignment horizontal="center" vertical="center" wrapText="1" shrinkToFi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2" fillId="0" borderId="1" xfId="1" quotePrefix="1" applyNumberFormat="1" applyFont="1" applyBorder="1" applyAlignment="1">
      <alignment horizontal="center" vertical="center" wrapText="1" shrinkToFit="1" readingOrder="1"/>
    </xf>
    <xf numFmtId="176" fontId="2" fillId="0" borderId="1" xfId="1" quotePrefix="1" applyNumberFormat="1" applyFont="1" applyBorder="1" applyAlignment="1">
      <alignment horizontal="center" vertical="center" shrinkToFit="1" readingOrder="1"/>
    </xf>
    <xf numFmtId="176" fontId="15" fillId="3" borderId="2" xfId="1" quotePrefix="1" applyNumberFormat="1" applyFont="1" applyFill="1" applyBorder="1" applyAlignment="1">
      <alignment horizontal="center" vertical="center" wrapText="1" readingOrder="1"/>
    </xf>
    <xf numFmtId="176" fontId="15" fillId="3" borderId="3" xfId="1" quotePrefix="1" applyNumberFormat="1" applyFont="1" applyFill="1" applyBorder="1" applyAlignment="1">
      <alignment horizontal="center" vertical="center" wrapText="1" readingOrder="1"/>
    </xf>
    <xf numFmtId="176" fontId="15" fillId="3" borderId="4" xfId="1" quotePrefix="1" applyNumberFormat="1" applyFont="1" applyFill="1" applyBorder="1" applyAlignment="1">
      <alignment horizontal="center" vertical="center" wrapText="1" readingOrder="1"/>
    </xf>
    <xf numFmtId="176" fontId="15" fillId="0" borderId="2" xfId="1" quotePrefix="1" applyNumberFormat="1" applyFont="1" applyFill="1" applyBorder="1" applyAlignment="1">
      <alignment horizontal="center" vertical="center" wrapText="1" readingOrder="1"/>
    </xf>
    <xf numFmtId="176" fontId="15" fillId="0" borderId="3" xfId="1" quotePrefix="1" applyNumberFormat="1" applyFont="1" applyFill="1" applyBorder="1" applyAlignment="1">
      <alignment horizontal="center" vertical="center" wrapText="1" readingOrder="1"/>
    </xf>
    <xf numFmtId="176" fontId="15" fillId="0" borderId="4" xfId="1" quotePrefix="1" applyNumberFormat="1" applyFont="1" applyFill="1" applyBorder="1" applyAlignment="1">
      <alignment horizontal="center" vertical="center" wrapText="1" readingOrder="1"/>
    </xf>
    <xf numFmtId="176" fontId="5" fillId="0" borderId="2" xfId="1" quotePrefix="1" applyNumberFormat="1" applyFont="1" applyBorder="1" applyAlignment="1">
      <alignment horizontal="center" vertical="center" wrapText="1" readingOrder="1"/>
    </xf>
    <xf numFmtId="176" fontId="5" fillId="0" borderId="3" xfId="1" quotePrefix="1" applyNumberFormat="1" applyFont="1" applyBorder="1" applyAlignment="1">
      <alignment horizontal="center" vertical="center" wrapText="1" readingOrder="1"/>
    </xf>
    <xf numFmtId="176" fontId="17" fillId="3" borderId="2" xfId="1" quotePrefix="1" applyNumberFormat="1" applyFont="1" applyFill="1" applyBorder="1" applyAlignment="1">
      <alignment horizontal="center" vertical="center" wrapText="1" shrinkToFit="1" readingOrder="1"/>
    </xf>
    <xf numFmtId="176" fontId="17" fillId="3" borderId="3" xfId="1" quotePrefix="1" applyNumberFormat="1" applyFont="1" applyFill="1" applyBorder="1" applyAlignment="1">
      <alignment horizontal="center" vertical="center" wrapText="1" shrinkToFit="1" readingOrder="1"/>
    </xf>
    <xf numFmtId="0" fontId="5" fillId="0" borderId="0" xfId="1" applyNumberFormat="1" applyFont="1" applyAlignment="1">
      <alignment horizontal="center" vertical="center" wrapText="1"/>
    </xf>
  </cellXfs>
  <cellStyles count="3">
    <cellStyle name="쉼표 [0] 2 2" xfId="2"/>
    <cellStyle name="표준" xfId="0" builtinId="0"/>
    <cellStyle name="표준 2 2" xfId="1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3"/>
  <sheetViews>
    <sheetView view="pageBreakPreview" zoomScale="40" zoomScaleNormal="40" zoomScaleSheetLayoutView="40" workbookViewId="0">
      <pane xSplit="1" ySplit="4" topLeftCell="B5" activePane="bottomRight" state="frozen"/>
      <selection pane="topRight"/>
      <selection pane="bottomLeft"/>
      <selection pane="bottomRight" activeCell="G7" sqref="G7"/>
    </sheetView>
  </sheetViews>
  <sheetFormatPr defaultColWidth="9" defaultRowHeight="16.5" x14ac:dyDescent="0.3"/>
  <cols>
    <col min="1" max="1" width="50.875" style="4" customWidth="1"/>
    <col min="2" max="7" width="26.875" style="4" customWidth="1"/>
    <col min="8" max="9" width="24.5" style="4" customWidth="1"/>
    <col min="10" max="16384" width="9" style="4"/>
  </cols>
  <sheetData>
    <row r="1" spans="1:9" ht="265.5" customHeight="1" x14ac:dyDescent="0.3">
      <c r="A1" s="98" t="s">
        <v>21</v>
      </c>
      <c r="B1" s="1" t="s">
        <v>0</v>
      </c>
      <c r="C1" s="1" t="s">
        <v>1</v>
      </c>
      <c r="D1" s="1" t="s">
        <v>1</v>
      </c>
      <c r="E1" s="2" t="s">
        <v>2</v>
      </c>
      <c r="F1" s="1" t="s">
        <v>3</v>
      </c>
      <c r="G1" s="1" t="s">
        <v>4</v>
      </c>
      <c r="H1" s="3"/>
      <c r="I1" s="3"/>
    </row>
    <row r="2" spans="1:9" ht="68.25" customHeight="1" x14ac:dyDescent="0.3">
      <c r="A2" s="98"/>
      <c r="B2" s="5" t="s">
        <v>5</v>
      </c>
      <c r="C2" s="5" t="s">
        <v>6</v>
      </c>
      <c r="D2" s="5" t="s">
        <v>7</v>
      </c>
      <c r="E2" s="6" t="s">
        <v>6</v>
      </c>
      <c r="F2" s="5" t="s">
        <v>8</v>
      </c>
      <c r="G2" s="5" t="s">
        <v>9</v>
      </c>
      <c r="H2" s="3"/>
      <c r="I2" s="3"/>
    </row>
    <row r="3" spans="1:9" ht="68.25" customHeight="1" x14ac:dyDescent="0.3">
      <c r="A3" s="99"/>
      <c r="B3" s="5" t="s">
        <v>10</v>
      </c>
      <c r="C3" s="5" t="s">
        <v>10</v>
      </c>
      <c r="D3" s="5" t="s">
        <v>10</v>
      </c>
      <c r="E3" s="6" t="s">
        <v>10</v>
      </c>
      <c r="F3" s="5" t="s">
        <v>10</v>
      </c>
      <c r="G3" s="5" t="s">
        <v>10</v>
      </c>
      <c r="H3" s="3"/>
      <c r="I3" s="3"/>
    </row>
    <row r="4" spans="1:9" ht="110.25" customHeight="1" x14ac:dyDescent="0.3">
      <c r="A4" s="7"/>
      <c r="B4" s="8">
        <f t="shared" ref="B4:E4" si="0">SUM(B5:B7)</f>
        <v>0</v>
      </c>
      <c r="C4" s="8">
        <f t="shared" si="0"/>
        <v>48</v>
      </c>
      <c r="D4" s="8">
        <f t="shared" si="0"/>
        <v>176</v>
      </c>
      <c r="E4" s="8">
        <f t="shared" si="0"/>
        <v>68</v>
      </c>
      <c r="F4" s="8">
        <f>SUM(F5:F7)</f>
        <v>20</v>
      </c>
      <c r="G4" s="8">
        <f>SUM(G5:G7)</f>
        <v>0</v>
      </c>
      <c r="H4" s="9"/>
      <c r="I4" s="9"/>
    </row>
    <row r="5" spans="1:9" ht="92.25" customHeight="1" x14ac:dyDescent="0.3">
      <c r="A5" s="10" t="s">
        <v>11</v>
      </c>
      <c r="B5" s="11"/>
      <c r="C5" s="12">
        <v>28</v>
      </c>
      <c r="D5" s="12">
        <v>48</v>
      </c>
      <c r="E5" s="12">
        <v>36</v>
      </c>
      <c r="F5" s="12"/>
      <c r="G5" s="12"/>
      <c r="H5" s="9"/>
      <c r="I5" s="9"/>
    </row>
    <row r="6" spans="1:9" ht="92.25" customHeight="1" x14ac:dyDescent="0.3">
      <c r="A6" s="10" t="s">
        <v>12</v>
      </c>
      <c r="B6" s="11"/>
      <c r="C6" s="12">
        <v>12</v>
      </c>
      <c r="D6" s="12">
        <v>64</v>
      </c>
      <c r="E6" s="12">
        <v>20</v>
      </c>
      <c r="F6" s="12">
        <v>20</v>
      </c>
      <c r="G6" s="12"/>
      <c r="H6" s="9"/>
      <c r="I6" s="9"/>
    </row>
    <row r="7" spans="1:9" ht="92.25" customHeight="1" x14ac:dyDescent="0.3">
      <c r="A7" s="10" t="s">
        <v>13</v>
      </c>
      <c r="B7" s="11"/>
      <c r="C7" s="12">
        <v>8</v>
      </c>
      <c r="D7" s="12">
        <f>48+16</f>
        <v>64</v>
      </c>
      <c r="E7" s="12">
        <f>4+8</f>
        <v>12</v>
      </c>
      <c r="F7" s="12"/>
      <c r="G7" s="12"/>
      <c r="H7" s="13"/>
      <c r="I7" s="13"/>
    </row>
    <row r="8" spans="1:9" ht="27" customHeight="1" x14ac:dyDescent="0.3">
      <c r="B8" s="14"/>
      <c r="C8" s="14"/>
      <c r="D8" s="14"/>
      <c r="E8" s="14"/>
      <c r="F8" s="14"/>
      <c r="G8" s="14"/>
      <c r="H8" s="15"/>
      <c r="I8" s="15"/>
    </row>
    <row r="9" spans="1:9" ht="27" customHeight="1" x14ac:dyDescent="0.3">
      <c r="A9" s="16"/>
      <c r="H9" s="3"/>
      <c r="I9" s="3"/>
    </row>
    <row r="10" spans="1:9" ht="110.25" customHeight="1" x14ac:dyDescent="0.3">
      <c r="A10" s="17"/>
      <c r="B10" s="18" t="s">
        <v>14</v>
      </c>
      <c r="C10" s="18" t="s">
        <v>15</v>
      </c>
      <c r="D10" s="18" t="s">
        <v>16</v>
      </c>
      <c r="E10" s="18" t="s">
        <v>17</v>
      </c>
      <c r="F10" s="19" t="s">
        <v>18</v>
      </c>
      <c r="G10" s="18" t="s">
        <v>19</v>
      </c>
      <c r="H10" s="3"/>
      <c r="I10" s="3"/>
    </row>
    <row r="11" spans="1:9" ht="84" customHeight="1" x14ac:dyDescent="0.3">
      <c r="A11" s="10" t="s">
        <v>11</v>
      </c>
      <c r="B11" s="20"/>
      <c r="C11" s="20">
        <f t="shared" ref="C11:C12" si="1">C5/4</f>
        <v>7</v>
      </c>
      <c r="D11" s="20">
        <f>D5/16</f>
        <v>3</v>
      </c>
      <c r="E11" s="20">
        <f>E5/4</f>
        <v>9</v>
      </c>
      <c r="F11" s="20"/>
      <c r="G11" s="20"/>
      <c r="H11" s="21">
        <f>SUM(B11:G11)</f>
        <v>19</v>
      </c>
      <c r="I11" s="21" t="s">
        <v>20</v>
      </c>
    </row>
    <row r="12" spans="1:9" ht="84" customHeight="1" x14ac:dyDescent="0.3">
      <c r="A12" s="10" t="s">
        <v>12</v>
      </c>
      <c r="B12" s="20"/>
      <c r="C12" s="20">
        <f t="shared" si="1"/>
        <v>3</v>
      </c>
      <c r="D12" s="20">
        <f>D6/16</f>
        <v>4</v>
      </c>
      <c r="E12" s="20">
        <f>E6/4</f>
        <v>5</v>
      </c>
      <c r="F12" s="20">
        <f>F6/20</f>
        <v>1</v>
      </c>
      <c r="G12" s="20"/>
      <c r="H12" s="21">
        <f>SUM(B12:G12)</f>
        <v>13</v>
      </c>
      <c r="I12" s="21" t="s">
        <v>20</v>
      </c>
    </row>
    <row r="13" spans="1:9" ht="84" customHeight="1" x14ac:dyDescent="0.3">
      <c r="A13" s="10" t="s">
        <v>13</v>
      </c>
      <c r="B13" s="20"/>
      <c r="C13" s="20">
        <f>C7/4</f>
        <v>2</v>
      </c>
      <c r="D13" s="20">
        <f>D7/16</f>
        <v>4</v>
      </c>
      <c r="E13" s="20">
        <f>E7/4</f>
        <v>3</v>
      </c>
      <c r="F13" s="20"/>
      <c r="G13" s="20"/>
      <c r="H13" s="21">
        <f>SUM(B13:G13)</f>
        <v>9</v>
      </c>
      <c r="I13" s="21"/>
    </row>
  </sheetData>
  <mergeCells count="1">
    <mergeCell ref="A1:A3"/>
  </mergeCells>
  <phoneticPr fontId="3" type="noConversion"/>
  <conditionalFormatting sqref="A5">
    <cfRule type="duplicateValues" dxfId="48" priority="4"/>
  </conditionalFormatting>
  <conditionalFormatting sqref="A6">
    <cfRule type="duplicateValues" dxfId="47" priority="5"/>
  </conditionalFormatting>
  <conditionalFormatting sqref="A7">
    <cfRule type="duplicateValues" dxfId="46" priority="2"/>
  </conditionalFormatting>
  <conditionalFormatting sqref="A11">
    <cfRule type="duplicateValues" dxfId="45" priority="3"/>
  </conditionalFormatting>
  <conditionalFormatting sqref="A12">
    <cfRule type="duplicateValues" dxfId="44" priority="6"/>
  </conditionalFormatting>
  <conditionalFormatting sqref="A13">
    <cfRule type="duplicateValues" dxfId="43" priority="1"/>
  </conditionalFormatting>
  <pageMargins left="0.25" right="0.25" top="0.75" bottom="0.75" header="0.30000001192092896" footer="0.30000001192092896"/>
  <pageSetup paperSize="9" scale="3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T54"/>
  <sheetViews>
    <sheetView view="pageBreakPreview" zoomScale="55" zoomScaleNormal="55" zoomScaleSheetLayoutView="55" workbookViewId="0">
      <pane xSplit="1" ySplit="4" topLeftCell="B35" activePane="bottomRight" state="frozen"/>
      <selection pane="topRight" activeCell="B1" sqref="B1"/>
      <selection pane="bottomLeft" activeCell="A5" sqref="A5"/>
      <selection pane="bottomRight" activeCell="O51" sqref="O51"/>
    </sheetView>
  </sheetViews>
  <sheetFormatPr defaultColWidth="9" defaultRowHeight="16.5" x14ac:dyDescent="0.3"/>
  <cols>
    <col min="1" max="1" width="32.625" style="4" customWidth="1"/>
    <col min="2" max="3" width="9.875" style="39" customWidth="1"/>
    <col min="4" max="8" width="9.875" style="4" customWidth="1"/>
    <col min="9" max="9" width="20.375" style="4" customWidth="1"/>
    <col min="10" max="11" width="10.125" style="39" customWidth="1"/>
    <col min="12" max="12" width="19" style="4" customWidth="1"/>
    <col min="13" max="13" width="19" style="39" customWidth="1"/>
    <col min="14" max="14" width="19" style="4" customWidth="1"/>
    <col min="15" max="15" width="19" style="39" customWidth="1"/>
    <col min="16" max="16" width="19" style="4" customWidth="1"/>
    <col min="17" max="17" width="19" style="39" customWidth="1"/>
    <col min="18" max="18" width="19" style="4" customWidth="1"/>
    <col min="19" max="19" width="19" style="39" customWidth="1"/>
    <col min="20" max="20" width="19" style="4" customWidth="1"/>
    <col min="21" max="16384" width="9" style="4"/>
  </cols>
  <sheetData>
    <row r="1" spans="1:20" ht="144" customHeight="1" x14ac:dyDescent="0.3">
      <c r="A1" s="22" t="s">
        <v>38</v>
      </c>
      <c r="B1" s="100" t="s">
        <v>22</v>
      </c>
      <c r="C1" s="101"/>
      <c r="D1" s="103" t="s">
        <v>23</v>
      </c>
      <c r="E1" s="104"/>
      <c r="F1" s="100" t="s">
        <v>24</v>
      </c>
      <c r="G1" s="102"/>
      <c r="H1" s="102"/>
      <c r="I1" s="44" t="s">
        <v>25</v>
      </c>
      <c r="J1" s="100" t="s">
        <v>60</v>
      </c>
      <c r="K1" s="101"/>
      <c r="L1" s="41" t="s">
        <v>61</v>
      </c>
      <c r="M1" s="40" t="s">
        <v>26</v>
      </c>
      <c r="N1" s="23" t="s">
        <v>27</v>
      </c>
      <c r="O1" s="24" t="s">
        <v>28</v>
      </c>
      <c r="P1" s="41" t="s">
        <v>64</v>
      </c>
      <c r="Q1" s="42" t="s">
        <v>86</v>
      </c>
      <c r="R1" s="43" t="s">
        <v>88</v>
      </c>
      <c r="S1" s="42" t="s">
        <v>63</v>
      </c>
      <c r="T1" s="43" t="s">
        <v>87</v>
      </c>
    </row>
    <row r="2" spans="1:20" ht="45" customHeight="1" x14ac:dyDescent="0.3">
      <c r="A2" s="25" t="s">
        <v>29</v>
      </c>
      <c r="B2" s="26"/>
      <c r="C2" s="26"/>
      <c r="D2" s="27"/>
      <c r="E2" s="27"/>
      <c r="F2" s="28" t="s">
        <v>30</v>
      </c>
      <c r="G2" s="29"/>
      <c r="H2" s="29"/>
      <c r="I2" s="27"/>
      <c r="J2" s="26"/>
      <c r="K2" s="26"/>
      <c r="L2" s="27"/>
      <c r="M2" s="26"/>
      <c r="N2" s="27"/>
      <c r="O2" s="26"/>
      <c r="P2" s="27"/>
      <c r="Q2" s="26"/>
      <c r="R2" s="27"/>
      <c r="S2" s="26"/>
      <c r="T2" s="27"/>
    </row>
    <row r="3" spans="1:20" ht="38.25" customHeight="1" x14ac:dyDescent="0.3">
      <c r="A3" s="31" t="s">
        <v>31</v>
      </c>
      <c r="B3" s="32" t="s">
        <v>34</v>
      </c>
      <c r="C3" s="32" t="s">
        <v>32</v>
      </c>
      <c r="D3" s="33" t="s">
        <v>95</v>
      </c>
      <c r="E3" s="33" t="s">
        <v>33</v>
      </c>
      <c r="F3" s="32" t="s">
        <v>32</v>
      </c>
      <c r="G3" s="32" t="s">
        <v>32</v>
      </c>
      <c r="H3" s="32" t="s">
        <v>33</v>
      </c>
      <c r="I3" s="33" t="s">
        <v>34</v>
      </c>
      <c r="J3" s="32" t="s">
        <v>35</v>
      </c>
      <c r="K3" s="32" t="s">
        <v>96</v>
      </c>
      <c r="L3" s="33" t="s">
        <v>35</v>
      </c>
      <c r="M3" s="32" t="s">
        <v>35</v>
      </c>
      <c r="N3" s="33" t="s">
        <v>36</v>
      </c>
      <c r="O3" s="32" t="s">
        <v>95</v>
      </c>
      <c r="P3" s="33" t="s">
        <v>34</v>
      </c>
      <c r="Q3" s="32" t="s">
        <v>34</v>
      </c>
      <c r="R3" s="33" t="s">
        <v>34</v>
      </c>
      <c r="S3" s="32" t="s">
        <v>62</v>
      </c>
      <c r="T3" s="33" t="s">
        <v>34</v>
      </c>
    </row>
    <row r="4" spans="1:20" ht="38.25" customHeight="1" x14ac:dyDescent="0.3">
      <c r="A4" s="34" t="s">
        <v>37</v>
      </c>
      <c r="B4" s="35">
        <f t="shared" ref="B4:T4" si="0">SUM(B5:B54)</f>
        <v>6</v>
      </c>
      <c r="C4" s="35">
        <f t="shared" si="0"/>
        <v>1</v>
      </c>
      <c r="D4" s="35">
        <f t="shared" si="0"/>
        <v>10</v>
      </c>
      <c r="E4" s="35">
        <f t="shared" si="0"/>
        <v>16</v>
      </c>
      <c r="F4" s="35">
        <f t="shared" si="0"/>
        <v>8</v>
      </c>
      <c r="G4" s="35">
        <f t="shared" si="0"/>
        <v>2</v>
      </c>
      <c r="H4" s="35">
        <f t="shared" si="0"/>
        <v>18</v>
      </c>
      <c r="I4" s="35">
        <f t="shared" si="0"/>
        <v>1</v>
      </c>
      <c r="J4" s="35">
        <f t="shared" si="0"/>
        <v>1</v>
      </c>
      <c r="K4" s="35">
        <f t="shared" si="0"/>
        <v>2</v>
      </c>
      <c r="L4" s="35">
        <f t="shared" si="0"/>
        <v>7</v>
      </c>
      <c r="M4" s="35">
        <f t="shared" si="0"/>
        <v>2</v>
      </c>
      <c r="N4" s="35">
        <f t="shared" si="0"/>
        <v>11</v>
      </c>
      <c r="O4" s="35">
        <f t="shared" si="0"/>
        <v>5</v>
      </c>
      <c r="P4" s="35">
        <f t="shared" si="0"/>
        <v>1</v>
      </c>
      <c r="Q4" s="35">
        <f t="shared" si="0"/>
        <v>9</v>
      </c>
      <c r="R4" s="35">
        <f t="shared" si="0"/>
        <v>2</v>
      </c>
      <c r="S4" s="35">
        <f t="shared" si="0"/>
        <v>1</v>
      </c>
      <c r="T4" s="35">
        <f t="shared" si="0"/>
        <v>1</v>
      </c>
    </row>
    <row r="5" spans="1:20" ht="27" customHeight="1" x14ac:dyDescent="0.5">
      <c r="A5" s="36" t="s">
        <v>39</v>
      </c>
      <c r="B5" s="37"/>
      <c r="C5" s="37"/>
      <c r="D5" s="30"/>
      <c r="E5" s="30"/>
      <c r="F5" s="38"/>
      <c r="G5" s="38"/>
      <c r="H5" s="38">
        <v>1</v>
      </c>
      <c r="I5" s="30"/>
      <c r="J5" s="37"/>
      <c r="K5" s="37"/>
      <c r="L5" s="30"/>
      <c r="M5" s="37"/>
      <c r="N5" s="30"/>
      <c r="O5" s="37"/>
      <c r="P5" s="30"/>
      <c r="Q5" s="37"/>
      <c r="R5" s="30"/>
      <c r="S5" s="37"/>
      <c r="T5" s="30"/>
    </row>
    <row r="6" spans="1:20" ht="27" customHeight="1" x14ac:dyDescent="0.5">
      <c r="A6" s="36" t="s">
        <v>40</v>
      </c>
      <c r="B6" s="37"/>
      <c r="C6" s="37"/>
      <c r="D6" s="30"/>
      <c r="E6" s="30">
        <v>1</v>
      </c>
      <c r="F6" s="38"/>
      <c r="G6" s="38"/>
      <c r="H6" s="38"/>
      <c r="I6" s="30"/>
      <c r="J6" s="37"/>
      <c r="K6" s="37"/>
      <c r="L6" s="30"/>
      <c r="M6" s="37"/>
      <c r="N6" s="30"/>
      <c r="O6" s="37"/>
      <c r="P6" s="30"/>
      <c r="Q6" s="37"/>
      <c r="R6" s="30"/>
      <c r="S6" s="37"/>
      <c r="T6" s="30"/>
    </row>
    <row r="7" spans="1:20" ht="27" customHeight="1" x14ac:dyDescent="0.5">
      <c r="A7" s="36" t="s">
        <v>41</v>
      </c>
      <c r="B7" s="37"/>
      <c r="C7" s="37"/>
      <c r="D7" s="30"/>
      <c r="E7" s="30"/>
      <c r="F7" s="38"/>
      <c r="G7" s="38"/>
      <c r="H7" s="38"/>
      <c r="I7" s="30"/>
      <c r="J7" s="37"/>
      <c r="K7" s="37"/>
      <c r="L7" s="30"/>
      <c r="M7" s="37"/>
      <c r="N7" s="30">
        <v>5</v>
      </c>
      <c r="O7" s="37"/>
      <c r="P7" s="30"/>
      <c r="Q7" s="37"/>
      <c r="R7" s="30"/>
      <c r="S7" s="37"/>
      <c r="T7" s="30"/>
    </row>
    <row r="8" spans="1:20" ht="27" customHeight="1" x14ac:dyDescent="0.5">
      <c r="A8" s="36" t="s">
        <v>42</v>
      </c>
      <c r="B8" s="37"/>
      <c r="C8" s="37"/>
      <c r="D8" s="30"/>
      <c r="E8" s="30"/>
      <c r="F8" s="38"/>
      <c r="G8" s="38"/>
      <c r="H8" s="38"/>
      <c r="I8" s="30"/>
      <c r="J8" s="37"/>
      <c r="K8" s="37"/>
      <c r="L8" s="30"/>
      <c r="M8" s="37"/>
      <c r="N8" s="30">
        <v>5</v>
      </c>
      <c r="O8" s="37"/>
      <c r="P8" s="30"/>
      <c r="Q8" s="37"/>
      <c r="R8" s="30"/>
      <c r="S8" s="37"/>
      <c r="T8" s="30"/>
    </row>
    <row r="9" spans="1:20" ht="27" customHeight="1" x14ac:dyDescent="0.5">
      <c r="A9" s="36" t="s">
        <v>43</v>
      </c>
      <c r="B9" s="37"/>
      <c r="C9" s="37"/>
      <c r="D9" s="30"/>
      <c r="E9" s="30"/>
      <c r="F9" s="38"/>
      <c r="G9" s="38"/>
      <c r="H9" s="38"/>
      <c r="I9" s="30"/>
      <c r="J9" s="37"/>
      <c r="K9" s="37"/>
      <c r="L9" s="30"/>
      <c r="M9" s="37"/>
      <c r="N9" s="30"/>
      <c r="O9" s="37"/>
      <c r="P9" s="30"/>
      <c r="Q9" s="37"/>
      <c r="R9" s="30"/>
      <c r="S9" s="37"/>
      <c r="T9" s="30">
        <v>1</v>
      </c>
    </row>
    <row r="10" spans="1:20" ht="27" customHeight="1" x14ac:dyDescent="0.5">
      <c r="A10" s="36" t="s">
        <v>44</v>
      </c>
      <c r="B10" s="37"/>
      <c r="C10" s="37"/>
      <c r="D10" s="30"/>
      <c r="E10" s="30"/>
      <c r="F10" s="38"/>
      <c r="G10" s="38"/>
      <c r="H10" s="38">
        <v>1</v>
      </c>
      <c r="I10" s="30"/>
      <c r="J10" s="37"/>
      <c r="K10" s="37"/>
      <c r="L10" s="30"/>
      <c r="M10" s="37"/>
      <c r="N10" s="30"/>
      <c r="O10" s="37"/>
      <c r="P10" s="30"/>
      <c r="Q10" s="37"/>
      <c r="R10" s="30"/>
      <c r="S10" s="37"/>
      <c r="T10" s="30"/>
    </row>
    <row r="11" spans="1:20" ht="27" customHeight="1" x14ac:dyDescent="0.5">
      <c r="A11" s="36" t="s">
        <v>45</v>
      </c>
      <c r="B11" s="37"/>
      <c r="C11" s="37"/>
      <c r="D11" s="30"/>
      <c r="E11" s="30"/>
      <c r="F11" s="38"/>
      <c r="G11" s="38"/>
      <c r="H11" s="38">
        <v>1</v>
      </c>
      <c r="I11" s="30"/>
      <c r="J11" s="37"/>
      <c r="K11" s="37"/>
      <c r="L11" s="30"/>
      <c r="M11" s="37"/>
      <c r="N11" s="30"/>
      <c r="O11" s="37"/>
      <c r="P11" s="30"/>
      <c r="Q11" s="37"/>
      <c r="R11" s="30"/>
      <c r="S11" s="37"/>
      <c r="T11" s="30"/>
    </row>
    <row r="12" spans="1:20" ht="27" customHeight="1" x14ac:dyDescent="0.5">
      <c r="A12" s="36" t="s">
        <v>46</v>
      </c>
      <c r="B12" s="37"/>
      <c r="C12" s="37"/>
      <c r="D12" s="30"/>
      <c r="E12" s="30"/>
      <c r="F12" s="38"/>
      <c r="G12" s="38">
        <v>1</v>
      </c>
      <c r="H12" s="38"/>
      <c r="I12" s="30"/>
      <c r="J12" s="37">
        <v>1</v>
      </c>
      <c r="K12" s="37"/>
      <c r="L12" s="30"/>
      <c r="M12" s="37"/>
      <c r="N12" s="30"/>
      <c r="O12" s="37"/>
      <c r="P12" s="30"/>
      <c r="Q12" s="37"/>
      <c r="R12" s="30"/>
      <c r="S12" s="37"/>
      <c r="T12" s="30"/>
    </row>
    <row r="13" spans="1:20" ht="27" customHeight="1" x14ac:dyDescent="0.5">
      <c r="A13" s="36" t="s">
        <v>47</v>
      </c>
      <c r="B13" s="37"/>
      <c r="C13" s="37"/>
      <c r="D13" s="30"/>
      <c r="E13" s="30"/>
      <c r="F13" s="38"/>
      <c r="G13" s="38"/>
      <c r="H13" s="38"/>
      <c r="I13" s="30"/>
      <c r="J13" s="37"/>
      <c r="K13" s="37"/>
      <c r="L13" s="30">
        <v>3</v>
      </c>
      <c r="M13" s="37"/>
      <c r="N13" s="30"/>
      <c r="O13" s="37"/>
      <c r="P13" s="30"/>
      <c r="Q13" s="37"/>
      <c r="R13" s="30"/>
      <c r="S13" s="37"/>
      <c r="T13" s="30"/>
    </row>
    <row r="14" spans="1:20" ht="27" customHeight="1" x14ac:dyDescent="0.5">
      <c r="A14" s="36" t="s">
        <v>48</v>
      </c>
      <c r="B14" s="37"/>
      <c r="C14" s="37"/>
      <c r="D14" s="30"/>
      <c r="E14" s="30"/>
      <c r="F14" s="38"/>
      <c r="G14" s="38"/>
      <c r="H14" s="38"/>
      <c r="I14" s="30"/>
      <c r="J14" s="37"/>
      <c r="K14" s="37"/>
      <c r="L14" s="30"/>
      <c r="M14" s="37">
        <v>2</v>
      </c>
      <c r="N14" s="30"/>
      <c r="O14" s="37"/>
      <c r="P14" s="30"/>
      <c r="Q14" s="37"/>
      <c r="R14" s="30"/>
      <c r="S14" s="37"/>
      <c r="T14" s="30"/>
    </row>
    <row r="15" spans="1:20" ht="27" customHeight="1" x14ac:dyDescent="0.5">
      <c r="A15" s="36" t="s">
        <v>49</v>
      </c>
      <c r="B15" s="37">
        <v>4</v>
      </c>
      <c r="C15" s="37"/>
      <c r="D15" s="30"/>
      <c r="E15" s="30"/>
      <c r="F15" s="38"/>
      <c r="G15" s="38"/>
      <c r="H15" s="38"/>
      <c r="I15" s="30">
        <v>1</v>
      </c>
      <c r="J15" s="37"/>
      <c r="K15" s="37"/>
      <c r="L15" s="30"/>
      <c r="M15" s="37"/>
      <c r="N15" s="30"/>
      <c r="O15" s="37"/>
      <c r="P15" s="30"/>
      <c r="Q15" s="37"/>
      <c r="R15" s="30"/>
      <c r="S15" s="37"/>
      <c r="T15" s="30"/>
    </row>
    <row r="16" spans="1:20" ht="27" customHeight="1" x14ac:dyDescent="0.5">
      <c r="A16" s="36" t="s">
        <v>50</v>
      </c>
      <c r="B16" s="37"/>
      <c r="C16" s="37"/>
      <c r="D16" s="30"/>
      <c r="E16" s="30"/>
      <c r="F16" s="38"/>
      <c r="G16" s="38"/>
      <c r="H16" s="38"/>
      <c r="I16" s="30"/>
      <c r="J16" s="37"/>
      <c r="K16" s="37"/>
      <c r="L16" s="30"/>
      <c r="M16" s="37"/>
      <c r="N16" s="30"/>
      <c r="O16" s="37">
        <v>2</v>
      </c>
      <c r="P16" s="30"/>
      <c r="Q16" s="37"/>
      <c r="R16" s="30"/>
      <c r="S16" s="37"/>
      <c r="T16" s="30"/>
    </row>
    <row r="17" spans="1:20" ht="27" customHeight="1" x14ac:dyDescent="0.5">
      <c r="A17" s="36" t="s">
        <v>51</v>
      </c>
      <c r="B17" s="37"/>
      <c r="C17" s="37"/>
      <c r="D17" s="30"/>
      <c r="E17" s="30"/>
      <c r="F17" s="38"/>
      <c r="G17" s="38"/>
      <c r="H17" s="38"/>
      <c r="I17" s="30"/>
      <c r="J17" s="37"/>
      <c r="K17" s="37"/>
      <c r="L17" s="30">
        <v>1</v>
      </c>
      <c r="M17" s="37"/>
      <c r="N17" s="30"/>
      <c r="O17" s="37">
        <v>1</v>
      </c>
      <c r="P17" s="30"/>
      <c r="Q17" s="37"/>
      <c r="R17" s="30"/>
      <c r="S17" s="37">
        <v>1</v>
      </c>
      <c r="T17" s="30"/>
    </row>
    <row r="18" spans="1:20" ht="27" customHeight="1" x14ac:dyDescent="0.5">
      <c r="A18" s="36" t="s">
        <v>52</v>
      </c>
      <c r="B18" s="37"/>
      <c r="C18" s="37"/>
      <c r="D18" s="30"/>
      <c r="E18" s="30"/>
      <c r="F18" s="38"/>
      <c r="G18" s="38"/>
      <c r="H18" s="38">
        <v>1</v>
      </c>
      <c r="I18" s="30"/>
      <c r="J18" s="37"/>
      <c r="K18" s="37"/>
      <c r="L18" s="30"/>
      <c r="M18" s="37"/>
      <c r="N18" s="30"/>
      <c r="O18" s="37"/>
      <c r="P18" s="30"/>
      <c r="Q18" s="37"/>
      <c r="R18" s="30"/>
      <c r="S18" s="37"/>
      <c r="T18" s="30"/>
    </row>
    <row r="19" spans="1:20" ht="27" customHeight="1" x14ac:dyDescent="0.5">
      <c r="A19" s="36" t="s">
        <v>53</v>
      </c>
      <c r="B19" s="37"/>
      <c r="C19" s="37"/>
      <c r="D19" s="30"/>
      <c r="E19" s="30"/>
      <c r="F19" s="38"/>
      <c r="G19" s="38"/>
      <c r="H19" s="38">
        <v>1</v>
      </c>
      <c r="I19" s="30"/>
      <c r="J19" s="37"/>
      <c r="K19" s="37"/>
      <c r="L19" s="30"/>
      <c r="M19" s="37"/>
      <c r="N19" s="30"/>
      <c r="O19" s="37"/>
      <c r="P19" s="30"/>
      <c r="Q19" s="37"/>
      <c r="R19" s="30"/>
      <c r="S19" s="37"/>
      <c r="T19" s="30"/>
    </row>
    <row r="20" spans="1:20" ht="27" customHeight="1" x14ac:dyDescent="0.5">
      <c r="A20" s="36" t="s">
        <v>54</v>
      </c>
      <c r="B20" s="37"/>
      <c r="C20" s="37"/>
      <c r="D20" s="30"/>
      <c r="E20" s="30"/>
      <c r="F20" s="38"/>
      <c r="G20" s="38"/>
      <c r="H20" s="38"/>
      <c r="I20" s="30"/>
      <c r="J20" s="37"/>
      <c r="K20" s="37"/>
      <c r="L20" s="30">
        <v>3</v>
      </c>
      <c r="M20" s="37"/>
      <c r="N20" s="30"/>
      <c r="O20" s="37"/>
      <c r="P20" s="30">
        <v>1</v>
      </c>
      <c r="Q20" s="37"/>
      <c r="R20" s="30"/>
      <c r="S20" s="37"/>
      <c r="T20" s="30"/>
    </row>
    <row r="21" spans="1:20" ht="27" customHeight="1" x14ac:dyDescent="0.5">
      <c r="A21" s="36" t="s">
        <v>55</v>
      </c>
      <c r="B21" s="37"/>
      <c r="C21" s="37"/>
      <c r="D21" s="30"/>
      <c r="E21" s="30"/>
      <c r="F21" s="38"/>
      <c r="G21" s="38"/>
      <c r="H21" s="38">
        <v>1</v>
      </c>
      <c r="I21" s="30"/>
      <c r="J21" s="37"/>
      <c r="K21" s="37"/>
      <c r="L21" s="30"/>
      <c r="M21" s="37"/>
      <c r="N21" s="30"/>
      <c r="O21" s="37"/>
      <c r="P21" s="30"/>
      <c r="Q21" s="37"/>
      <c r="R21" s="30"/>
      <c r="S21" s="37"/>
      <c r="T21" s="30"/>
    </row>
    <row r="22" spans="1:20" ht="27" customHeight="1" x14ac:dyDescent="0.5">
      <c r="A22" s="36" t="s">
        <v>56</v>
      </c>
      <c r="B22" s="37"/>
      <c r="C22" s="37"/>
      <c r="D22" s="30"/>
      <c r="E22" s="30"/>
      <c r="F22" s="38"/>
      <c r="G22" s="38"/>
      <c r="H22" s="38">
        <v>1</v>
      </c>
      <c r="I22" s="30"/>
      <c r="J22" s="37"/>
      <c r="K22" s="37"/>
      <c r="L22" s="30"/>
      <c r="M22" s="37"/>
      <c r="N22" s="30"/>
      <c r="O22" s="37"/>
      <c r="P22" s="30"/>
      <c r="Q22" s="37"/>
      <c r="R22" s="30"/>
      <c r="S22" s="37"/>
      <c r="T22" s="30"/>
    </row>
    <row r="23" spans="1:20" ht="27" customHeight="1" x14ac:dyDescent="0.5">
      <c r="A23" s="36" t="s">
        <v>57</v>
      </c>
      <c r="B23" s="37"/>
      <c r="C23" s="37"/>
      <c r="D23" s="30"/>
      <c r="E23" s="30"/>
      <c r="F23" s="38"/>
      <c r="G23" s="38">
        <v>1</v>
      </c>
      <c r="H23" s="38"/>
      <c r="I23" s="30"/>
      <c r="J23" s="37"/>
      <c r="K23" s="37"/>
      <c r="L23" s="30"/>
      <c r="M23" s="37"/>
      <c r="N23" s="30"/>
      <c r="O23" s="37"/>
      <c r="P23" s="30"/>
      <c r="Q23" s="37"/>
      <c r="R23" s="30"/>
      <c r="S23" s="37"/>
      <c r="T23" s="30"/>
    </row>
    <row r="24" spans="1:20" ht="27" customHeight="1" x14ac:dyDescent="0.5">
      <c r="A24" s="36" t="s">
        <v>58</v>
      </c>
      <c r="B24" s="37"/>
      <c r="C24" s="37"/>
      <c r="D24" s="30"/>
      <c r="E24" s="30"/>
      <c r="F24" s="38"/>
      <c r="G24" s="38"/>
      <c r="H24" s="38">
        <v>1</v>
      </c>
      <c r="I24" s="30"/>
      <c r="J24" s="37"/>
      <c r="K24" s="37"/>
      <c r="L24" s="30"/>
      <c r="M24" s="37"/>
      <c r="N24" s="30"/>
      <c r="O24" s="37"/>
      <c r="P24" s="30"/>
      <c r="Q24" s="37"/>
      <c r="R24" s="30"/>
      <c r="S24" s="37"/>
      <c r="T24" s="30"/>
    </row>
    <row r="25" spans="1:20" ht="27" customHeight="1" x14ac:dyDescent="0.5">
      <c r="A25" s="36" t="s">
        <v>59</v>
      </c>
      <c r="B25" s="37"/>
      <c r="C25" s="37"/>
      <c r="D25" s="30"/>
      <c r="E25" s="30"/>
      <c r="F25" s="38"/>
      <c r="G25" s="38"/>
      <c r="H25" s="38">
        <v>1</v>
      </c>
      <c r="I25" s="30"/>
      <c r="J25" s="37"/>
      <c r="K25" s="37"/>
      <c r="L25" s="30"/>
      <c r="M25" s="37"/>
      <c r="N25" s="30"/>
      <c r="O25" s="37"/>
      <c r="P25" s="30"/>
      <c r="Q25" s="37"/>
      <c r="R25" s="30"/>
      <c r="S25" s="37"/>
      <c r="T25" s="30"/>
    </row>
    <row r="26" spans="1:20" ht="27" customHeight="1" x14ac:dyDescent="0.5">
      <c r="A26" s="36" t="s">
        <v>65</v>
      </c>
      <c r="B26" s="37"/>
      <c r="C26" s="37"/>
      <c r="D26" s="30"/>
      <c r="E26" s="30"/>
      <c r="F26" s="38"/>
      <c r="G26" s="38"/>
      <c r="H26" s="38">
        <v>1</v>
      </c>
      <c r="I26" s="30"/>
      <c r="J26" s="37"/>
      <c r="K26" s="37"/>
      <c r="L26" s="30"/>
      <c r="M26" s="37"/>
      <c r="N26" s="30"/>
      <c r="O26" s="37"/>
      <c r="P26" s="30"/>
      <c r="Q26" s="37"/>
      <c r="R26" s="30"/>
      <c r="S26" s="37"/>
      <c r="T26" s="30"/>
    </row>
    <row r="27" spans="1:20" ht="27" customHeight="1" x14ac:dyDescent="0.5">
      <c r="A27" s="36" t="s">
        <v>66</v>
      </c>
      <c r="B27" s="37"/>
      <c r="C27" s="37"/>
      <c r="D27" s="30"/>
      <c r="E27" s="30"/>
      <c r="F27" s="38"/>
      <c r="G27" s="38"/>
      <c r="H27" s="38"/>
      <c r="I27" s="30"/>
      <c r="J27" s="37"/>
      <c r="K27" s="37"/>
      <c r="L27" s="30"/>
      <c r="M27" s="37"/>
      <c r="N27" s="30"/>
      <c r="O27" s="37"/>
      <c r="P27" s="30"/>
      <c r="Q27" s="37">
        <v>4</v>
      </c>
      <c r="R27" s="30"/>
      <c r="S27" s="37"/>
      <c r="T27" s="30"/>
    </row>
    <row r="28" spans="1:20" ht="27" customHeight="1" x14ac:dyDescent="0.5">
      <c r="A28" s="36" t="s">
        <v>67</v>
      </c>
      <c r="B28" s="37"/>
      <c r="C28" s="37"/>
      <c r="D28" s="30"/>
      <c r="E28" s="30"/>
      <c r="F28" s="38"/>
      <c r="G28" s="38"/>
      <c r="H28" s="38"/>
      <c r="I28" s="30"/>
      <c r="J28" s="37"/>
      <c r="K28" s="37"/>
      <c r="L28" s="30"/>
      <c r="M28" s="37"/>
      <c r="N28" s="30"/>
      <c r="O28" s="37"/>
      <c r="P28" s="30"/>
      <c r="Q28" s="37">
        <v>5</v>
      </c>
      <c r="R28" s="30"/>
      <c r="S28" s="37"/>
      <c r="T28" s="30"/>
    </row>
    <row r="29" spans="1:20" ht="27" customHeight="1" x14ac:dyDescent="0.5">
      <c r="A29" s="36" t="s">
        <v>68</v>
      </c>
      <c r="B29" s="37"/>
      <c r="C29" s="37"/>
      <c r="D29" s="30"/>
      <c r="E29" s="30"/>
      <c r="F29" s="38"/>
      <c r="G29" s="38"/>
      <c r="H29" s="38">
        <v>1</v>
      </c>
      <c r="I29" s="30"/>
      <c r="J29" s="37"/>
      <c r="K29" s="37"/>
      <c r="L29" s="30"/>
      <c r="M29" s="37"/>
      <c r="N29" s="30"/>
      <c r="O29" s="37"/>
      <c r="P29" s="30"/>
      <c r="Q29" s="37"/>
      <c r="R29" s="30"/>
      <c r="S29" s="37"/>
      <c r="T29" s="30"/>
    </row>
    <row r="30" spans="1:20" ht="27" customHeight="1" x14ac:dyDescent="0.5">
      <c r="A30" s="36" t="s">
        <v>69</v>
      </c>
      <c r="B30" s="37"/>
      <c r="C30" s="37"/>
      <c r="D30" s="30"/>
      <c r="E30" s="30"/>
      <c r="F30" s="38"/>
      <c r="G30" s="38"/>
      <c r="H30" s="38">
        <v>2</v>
      </c>
      <c r="I30" s="30"/>
      <c r="J30" s="37"/>
      <c r="K30" s="37"/>
      <c r="L30" s="30"/>
      <c r="M30" s="37"/>
      <c r="N30" s="30"/>
      <c r="O30" s="37"/>
      <c r="P30" s="30"/>
      <c r="Q30" s="37"/>
      <c r="R30" s="30"/>
      <c r="S30" s="37"/>
      <c r="T30" s="30"/>
    </row>
    <row r="31" spans="1:20" ht="27" customHeight="1" x14ac:dyDescent="0.5">
      <c r="A31" s="36" t="s">
        <v>70</v>
      </c>
      <c r="B31" s="37"/>
      <c r="C31" s="37"/>
      <c r="D31" s="30"/>
      <c r="E31" s="30"/>
      <c r="F31" s="38"/>
      <c r="G31" s="38"/>
      <c r="H31" s="38"/>
      <c r="I31" s="30"/>
      <c r="J31" s="37"/>
      <c r="K31" s="37"/>
      <c r="L31" s="30"/>
      <c r="M31" s="37"/>
      <c r="N31" s="30"/>
      <c r="O31" s="37"/>
      <c r="P31" s="30"/>
      <c r="Q31" s="37"/>
      <c r="R31" s="30">
        <v>1</v>
      </c>
      <c r="S31" s="37"/>
      <c r="T31" s="30"/>
    </row>
    <row r="32" spans="1:20" ht="27" customHeight="1" x14ac:dyDescent="0.5">
      <c r="A32" s="36" t="s">
        <v>71</v>
      </c>
      <c r="B32" s="37"/>
      <c r="C32" s="37"/>
      <c r="D32" s="30"/>
      <c r="E32" s="30"/>
      <c r="F32" s="38"/>
      <c r="G32" s="38"/>
      <c r="H32" s="38">
        <v>1</v>
      </c>
      <c r="I32" s="30"/>
      <c r="J32" s="37"/>
      <c r="K32" s="37"/>
      <c r="L32" s="30"/>
      <c r="M32" s="37"/>
      <c r="N32" s="30"/>
      <c r="O32" s="37"/>
      <c r="P32" s="30"/>
      <c r="Q32" s="37"/>
      <c r="R32" s="30"/>
      <c r="S32" s="37"/>
      <c r="T32" s="30"/>
    </row>
    <row r="33" spans="1:20" ht="27" customHeight="1" x14ac:dyDescent="0.5">
      <c r="A33" s="36" t="s">
        <v>72</v>
      </c>
      <c r="B33" s="37"/>
      <c r="C33" s="37"/>
      <c r="D33" s="30"/>
      <c r="E33" s="30">
        <v>1</v>
      </c>
      <c r="F33" s="38"/>
      <c r="G33" s="38"/>
      <c r="H33" s="38"/>
      <c r="I33" s="30"/>
      <c r="J33" s="37"/>
      <c r="K33" s="37"/>
      <c r="L33" s="30"/>
      <c r="M33" s="37"/>
      <c r="N33" s="30"/>
      <c r="O33" s="37"/>
      <c r="P33" s="30"/>
      <c r="Q33" s="37"/>
      <c r="R33" s="30"/>
      <c r="S33" s="37"/>
      <c r="T33" s="30"/>
    </row>
    <row r="34" spans="1:20" ht="27" customHeight="1" x14ac:dyDescent="0.5">
      <c r="A34" s="36" t="s">
        <v>73</v>
      </c>
      <c r="B34" s="37"/>
      <c r="C34" s="37"/>
      <c r="D34" s="30"/>
      <c r="E34" s="30">
        <v>3</v>
      </c>
      <c r="F34" s="38"/>
      <c r="G34" s="38"/>
      <c r="H34" s="38"/>
      <c r="I34" s="30"/>
      <c r="J34" s="37"/>
      <c r="K34" s="37"/>
      <c r="L34" s="30"/>
      <c r="M34" s="37"/>
      <c r="N34" s="30"/>
      <c r="O34" s="37"/>
      <c r="P34" s="30"/>
      <c r="Q34" s="37"/>
      <c r="R34" s="30"/>
      <c r="S34" s="37"/>
      <c r="T34" s="30"/>
    </row>
    <row r="35" spans="1:20" ht="27" customHeight="1" x14ac:dyDescent="0.5">
      <c r="A35" s="36" t="s">
        <v>74</v>
      </c>
      <c r="B35" s="37"/>
      <c r="C35" s="37"/>
      <c r="D35" s="30"/>
      <c r="E35" s="30"/>
      <c r="F35" s="38"/>
      <c r="G35" s="38"/>
      <c r="H35" s="38">
        <v>1</v>
      </c>
      <c r="I35" s="30"/>
      <c r="J35" s="37"/>
      <c r="K35" s="37"/>
      <c r="L35" s="30"/>
      <c r="M35" s="37"/>
      <c r="N35" s="30"/>
      <c r="O35" s="37"/>
      <c r="P35" s="30"/>
      <c r="Q35" s="37"/>
      <c r="R35" s="30"/>
      <c r="S35" s="37"/>
      <c r="T35" s="30"/>
    </row>
    <row r="36" spans="1:20" ht="27" customHeight="1" x14ac:dyDescent="0.5">
      <c r="A36" s="36" t="s">
        <v>75</v>
      </c>
      <c r="B36" s="37"/>
      <c r="C36" s="37"/>
      <c r="D36" s="30"/>
      <c r="E36" s="30"/>
      <c r="F36" s="38"/>
      <c r="G36" s="38"/>
      <c r="H36" s="38">
        <v>1</v>
      </c>
      <c r="I36" s="30"/>
      <c r="J36" s="37"/>
      <c r="K36" s="37"/>
      <c r="L36" s="30"/>
      <c r="M36" s="37"/>
      <c r="N36" s="30"/>
      <c r="O36" s="37"/>
      <c r="P36" s="30"/>
      <c r="Q36" s="37"/>
      <c r="R36" s="30"/>
      <c r="S36" s="37"/>
      <c r="T36" s="30"/>
    </row>
    <row r="37" spans="1:20" ht="27" customHeight="1" x14ac:dyDescent="0.5">
      <c r="A37" s="36" t="s">
        <v>76</v>
      </c>
      <c r="B37" s="37"/>
      <c r="C37" s="37"/>
      <c r="D37" s="30"/>
      <c r="E37" s="30">
        <v>1</v>
      </c>
      <c r="F37" s="38"/>
      <c r="G37" s="38"/>
      <c r="H37" s="38"/>
      <c r="I37" s="30"/>
      <c r="J37" s="37"/>
      <c r="K37" s="37"/>
      <c r="L37" s="30"/>
      <c r="M37" s="37"/>
      <c r="N37" s="30"/>
      <c r="O37" s="37"/>
      <c r="P37" s="30"/>
      <c r="Q37" s="37"/>
      <c r="R37" s="30"/>
      <c r="S37" s="37"/>
      <c r="T37" s="30"/>
    </row>
    <row r="38" spans="1:20" ht="27" customHeight="1" x14ac:dyDescent="0.5">
      <c r="A38" s="36" t="s">
        <v>77</v>
      </c>
      <c r="B38" s="37"/>
      <c r="C38" s="37"/>
      <c r="D38" s="30"/>
      <c r="E38" s="30"/>
      <c r="F38" s="38"/>
      <c r="G38" s="38"/>
      <c r="H38" s="38"/>
      <c r="I38" s="30"/>
      <c r="J38" s="37"/>
      <c r="K38" s="37"/>
      <c r="L38" s="30"/>
      <c r="M38" s="37"/>
      <c r="N38" s="30"/>
      <c r="O38" s="37"/>
      <c r="P38" s="30"/>
      <c r="Q38" s="37"/>
      <c r="R38" s="30">
        <v>1</v>
      </c>
      <c r="S38" s="37"/>
      <c r="T38" s="30"/>
    </row>
    <row r="39" spans="1:20" ht="27" customHeight="1" x14ac:dyDescent="0.5">
      <c r="A39" s="36" t="s">
        <v>78</v>
      </c>
      <c r="B39" s="37"/>
      <c r="C39" s="37"/>
      <c r="D39" s="30"/>
      <c r="E39" s="30">
        <v>1</v>
      </c>
      <c r="F39" s="38"/>
      <c r="G39" s="38"/>
      <c r="H39" s="38"/>
      <c r="I39" s="30"/>
      <c r="J39" s="37"/>
      <c r="K39" s="37"/>
      <c r="L39" s="30"/>
      <c r="M39" s="37"/>
      <c r="N39" s="30"/>
      <c r="O39" s="37"/>
      <c r="P39" s="30"/>
      <c r="Q39" s="37"/>
      <c r="R39" s="30"/>
      <c r="S39" s="37"/>
      <c r="T39" s="30"/>
    </row>
    <row r="40" spans="1:20" ht="27" customHeight="1" x14ac:dyDescent="0.5">
      <c r="A40" s="36" t="s">
        <v>79</v>
      </c>
      <c r="B40" s="37"/>
      <c r="C40" s="37"/>
      <c r="D40" s="30"/>
      <c r="E40" s="30">
        <v>1</v>
      </c>
      <c r="F40" s="38"/>
      <c r="G40" s="38"/>
      <c r="H40" s="38"/>
      <c r="I40" s="30"/>
      <c r="J40" s="37"/>
      <c r="K40" s="37"/>
      <c r="L40" s="30"/>
      <c r="M40" s="37"/>
      <c r="N40" s="30"/>
      <c r="O40" s="37"/>
      <c r="P40" s="30"/>
      <c r="Q40" s="37"/>
      <c r="R40" s="30"/>
      <c r="S40" s="37"/>
      <c r="T40" s="30"/>
    </row>
    <row r="41" spans="1:20" ht="27" customHeight="1" x14ac:dyDescent="0.5">
      <c r="A41" s="36" t="s">
        <v>80</v>
      </c>
      <c r="B41" s="37"/>
      <c r="C41" s="37"/>
      <c r="D41" s="30"/>
      <c r="E41" s="30">
        <v>1</v>
      </c>
      <c r="F41" s="38"/>
      <c r="G41" s="38"/>
      <c r="H41" s="38"/>
      <c r="I41" s="30"/>
      <c r="J41" s="37"/>
      <c r="K41" s="37"/>
      <c r="L41" s="30"/>
      <c r="M41" s="37"/>
      <c r="N41" s="30"/>
      <c r="O41" s="37"/>
      <c r="P41" s="30"/>
      <c r="Q41" s="37"/>
      <c r="R41" s="30"/>
      <c r="S41" s="37"/>
      <c r="T41" s="30"/>
    </row>
    <row r="42" spans="1:20" ht="27" customHeight="1" x14ac:dyDescent="0.5">
      <c r="A42" s="36" t="s">
        <v>81</v>
      </c>
      <c r="B42" s="37"/>
      <c r="C42" s="37"/>
      <c r="D42" s="30"/>
      <c r="E42" s="30">
        <v>1</v>
      </c>
      <c r="F42" s="38"/>
      <c r="G42" s="38"/>
      <c r="H42" s="38"/>
      <c r="I42" s="30"/>
      <c r="J42" s="37"/>
      <c r="K42" s="37"/>
      <c r="L42" s="30"/>
      <c r="M42" s="37"/>
      <c r="N42" s="30"/>
      <c r="O42" s="37"/>
      <c r="P42" s="30"/>
      <c r="Q42" s="37"/>
      <c r="R42" s="30"/>
      <c r="S42" s="37"/>
      <c r="T42" s="30"/>
    </row>
    <row r="43" spans="1:20" ht="27" customHeight="1" x14ac:dyDescent="0.5">
      <c r="A43" s="36" t="s">
        <v>82</v>
      </c>
      <c r="B43" s="37"/>
      <c r="C43" s="37"/>
      <c r="D43" s="30"/>
      <c r="E43" s="30"/>
      <c r="F43" s="38"/>
      <c r="G43" s="38"/>
      <c r="H43" s="38"/>
      <c r="I43" s="30"/>
      <c r="J43" s="37"/>
      <c r="K43" s="37"/>
      <c r="L43" s="30"/>
      <c r="M43" s="37"/>
      <c r="N43" s="30">
        <v>1</v>
      </c>
      <c r="O43" s="37"/>
      <c r="P43" s="30"/>
      <c r="Q43" s="37"/>
      <c r="R43" s="30"/>
      <c r="S43" s="37"/>
      <c r="T43" s="30"/>
    </row>
    <row r="44" spans="1:20" ht="27" customHeight="1" x14ac:dyDescent="0.5">
      <c r="A44" s="36" t="s">
        <v>83</v>
      </c>
      <c r="B44" s="37"/>
      <c r="C44" s="37"/>
      <c r="D44" s="30"/>
      <c r="E44" s="30"/>
      <c r="F44" s="38"/>
      <c r="G44" s="38"/>
      <c r="H44" s="38">
        <v>1</v>
      </c>
      <c r="I44" s="30"/>
      <c r="J44" s="37"/>
      <c r="K44" s="37"/>
      <c r="L44" s="30"/>
      <c r="M44" s="37"/>
      <c r="N44" s="30"/>
      <c r="O44" s="37"/>
      <c r="P44" s="30"/>
      <c r="Q44" s="37"/>
      <c r="R44" s="30"/>
      <c r="S44" s="37"/>
      <c r="T44" s="30"/>
    </row>
    <row r="45" spans="1:20" ht="27" customHeight="1" x14ac:dyDescent="0.5">
      <c r="A45" s="36" t="s">
        <v>84</v>
      </c>
      <c r="B45" s="37"/>
      <c r="C45" s="37"/>
      <c r="D45" s="30"/>
      <c r="E45" s="30">
        <v>1</v>
      </c>
      <c r="F45" s="38"/>
      <c r="G45" s="38"/>
      <c r="H45" s="38"/>
      <c r="I45" s="30"/>
      <c r="J45" s="37"/>
      <c r="K45" s="37"/>
      <c r="L45" s="30"/>
      <c r="M45" s="37"/>
      <c r="N45" s="30"/>
      <c r="O45" s="37"/>
      <c r="P45" s="30"/>
      <c r="Q45" s="37"/>
      <c r="R45" s="30"/>
      <c r="S45" s="37"/>
      <c r="T45" s="30"/>
    </row>
    <row r="46" spans="1:20" ht="27" customHeight="1" x14ac:dyDescent="0.5">
      <c r="A46" s="36" t="s">
        <v>85</v>
      </c>
      <c r="B46" s="37"/>
      <c r="C46" s="37"/>
      <c r="D46" s="30"/>
      <c r="E46" s="30"/>
      <c r="F46" s="38"/>
      <c r="G46" s="38"/>
      <c r="H46" s="38">
        <v>1</v>
      </c>
      <c r="I46" s="30"/>
      <c r="J46" s="37"/>
      <c r="K46" s="37"/>
      <c r="L46" s="30"/>
      <c r="M46" s="37"/>
      <c r="N46" s="30"/>
      <c r="O46" s="37"/>
      <c r="P46" s="30"/>
      <c r="Q46" s="37"/>
      <c r="R46" s="30"/>
      <c r="S46" s="37"/>
      <c r="T46" s="30"/>
    </row>
    <row r="47" spans="1:20" ht="27" customHeight="1" x14ac:dyDescent="0.5">
      <c r="A47" s="36" t="s">
        <v>89</v>
      </c>
      <c r="B47" s="37">
        <v>1</v>
      </c>
      <c r="C47" s="37"/>
      <c r="D47" s="30">
        <v>5</v>
      </c>
      <c r="E47" s="30"/>
      <c r="F47" s="38"/>
      <c r="G47" s="38"/>
      <c r="H47" s="38"/>
      <c r="I47" s="30"/>
      <c r="J47" s="37"/>
      <c r="K47" s="37">
        <v>1</v>
      </c>
      <c r="L47" s="30"/>
      <c r="M47" s="37"/>
      <c r="N47" s="30"/>
      <c r="O47" s="37">
        <v>1</v>
      </c>
      <c r="P47" s="30"/>
      <c r="Q47" s="37"/>
      <c r="R47" s="30"/>
      <c r="S47" s="37"/>
      <c r="T47" s="30"/>
    </row>
    <row r="48" spans="1:20" ht="27" customHeight="1" x14ac:dyDescent="0.5">
      <c r="A48" s="36" t="s">
        <v>90</v>
      </c>
      <c r="B48" s="37">
        <v>1</v>
      </c>
      <c r="C48" s="37"/>
      <c r="D48" s="30">
        <v>5</v>
      </c>
      <c r="E48" s="30"/>
      <c r="F48" s="38"/>
      <c r="G48" s="38"/>
      <c r="H48" s="38"/>
      <c r="I48" s="30"/>
      <c r="J48" s="37"/>
      <c r="K48" s="37">
        <v>1</v>
      </c>
      <c r="L48" s="30"/>
      <c r="M48" s="37"/>
      <c r="N48" s="30"/>
      <c r="O48" s="37">
        <v>1</v>
      </c>
      <c r="P48" s="30"/>
      <c r="Q48" s="37"/>
      <c r="R48" s="30"/>
      <c r="S48" s="37"/>
      <c r="T48" s="30"/>
    </row>
    <row r="49" spans="1:20" ht="27" customHeight="1" x14ac:dyDescent="0.5">
      <c r="A49" s="36" t="s">
        <v>91</v>
      </c>
      <c r="B49" s="37"/>
      <c r="C49" s="37"/>
      <c r="D49" s="30"/>
      <c r="E49" s="30">
        <v>1</v>
      </c>
      <c r="F49" s="38"/>
      <c r="G49" s="38"/>
      <c r="H49" s="38"/>
      <c r="I49" s="30"/>
      <c r="J49" s="37"/>
      <c r="K49" s="37"/>
      <c r="L49" s="30"/>
      <c r="M49" s="37"/>
      <c r="N49" s="30"/>
      <c r="O49" s="37"/>
      <c r="P49" s="30"/>
      <c r="Q49" s="37"/>
      <c r="R49" s="30"/>
      <c r="S49" s="37"/>
      <c r="T49" s="30"/>
    </row>
    <row r="50" spans="1:20" ht="27" customHeight="1" x14ac:dyDescent="0.5">
      <c r="A50" s="36" t="s">
        <v>92</v>
      </c>
      <c r="B50" s="37"/>
      <c r="C50" s="37"/>
      <c r="D50" s="30"/>
      <c r="E50" s="30">
        <v>1</v>
      </c>
      <c r="F50" s="38"/>
      <c r="G50" s="38"/>
      <c r="H50" s="38"/>
      <c r="I50" s="30"/>
      <c r="J50" s="37"/>
      <c r="K50" s="37"/>
      <c r="L50" s="30"/>
      <c r="M50" s="37"/>
      <c r="N50" s="30"/>
      <c r="O50" s="37"/>
      <c r="P50" s="30"/>
      <c r="Q50" s="37"/>
      <c r="R50" s="30"/>
      <c r="S50" s="37"/>
      <c r="T50" s="30"/>
    </row>
    <row r="51" spans="1:20" ht="27" customHeight="1" x14ac:dyDescent="0.5">
      <c r="A51" s="36" t="s">
        <v>93</v>
      </c>
      <c r="B51" s="37"/>
      <c r="C51" s="37"/>
      <c r="D51" s="30"/>
      <c r="E51" s="30">
        <v>1</v>
      </c>
      <c r="F51" s="38"/>
      <c r="G51" s="38"/>
      <c r="H51" s="38"/>
      <c r="I51" s="30"/>
      <c r="J51" s="37"/>
      <c r="K51" s="37"/>
      <c r="L51" s="30"/>
      <c r="M51" s="37"/>
      <c r="N51" s="30"/>
      <c r="O51" s="37"/>
      <c r="P51" s="30"/>
      <c r="Q51" s="37"/>
      <c r="R51" s="30"/>
      <c r="S51" s="37"/>
      <c r="T51" s="30"/>
    </row>
    <row r="52" spans="1:20" ht="27" customHeight="1" x14ac:dyDescent="0.5">
      <c r="A52" s="36" t="s">
        <v>94</v>
      </c>
      <c r="B52" s="37"/>
      <c r="C52" s="37"/>
      <c r="D52" s="30"/>
      <c r="E52" s="30">
        <v>2</v>
      </c>
      <c r="F52" s="38"/>
      <c r="G52" s="38"/>
      <c r="H52" s="38"/>
      <c r="I52" s="30"/>
      <c r="J52" s="37"/>
      <c r="K52" s="37"/>
      <c r="L52" s="30"/>
      <c r="M52" s="37"/>
      <c r="N52" s="30"/>
      <c r="O52" s="37"/>
      <c r="P52" s="30"/>
      <c r="Q52" s="37"/>
      <c r="R52" s="30"/>
      <c r="S52" s="37"/>
      <c r="T52" s="30"/>
    </row>
    <row r="53" spans="1:20" ht="27" customHeight="1" x14ac:dyDescent="0.5">
      <c r="A53" s="36" t="s">
        <v>97</v>
      </c>
      <c r="B53" s="37"/>
      <c r="C53" s="37">
        <v>1</v>
      </c>
      <c r="D53" s="30"/>
      <c r="E53" s="30"/>
      <c r="F53" s="38"/>
      <c r="G53" s="38"/>
      <c r="H53" s="38"/>
      <c r="I53" s="30"/>
      <c r="J53" s="37"/>
      <c r="K53" s="37"/>
      <c r="L53" s="30"/>
      <c r="M53" s="37"/>
      <c r="N53" s="30"/>
      <c r="O53" s="37"/>
      <c r="P53" s="30"/>
      <c r="Q53" s="37"/>
      <c r="R53" s="30"/>
      <c r="S53" s="37"/>
      <c r="T53" s="30"/>
    </row>
    <row r="54" spans="1:20" ht="27" customHeight="1" x14ac:dyDescent="0.5">
      <c r="A54" s="36" t="s">
        <v>98</v>
      </c>
      <c r="B54" s="37"/>
      <c r="C54" s="37"/>
      <c r="D54" s="30"/>
      <c r="E54" s="30"/>
      <c r="F54" s="38">
        <v>8</v>
      </c>
      <c r="G54" s="38"/>
      <c r="H54" s="38"/>
      <c r="I54" s="30"/>
      <c r="J54" s="37"/>
      <c r="K54" s="37"/>
      <c r="L54" s="30"/>
      <c r="M54" s="37"/>
      <c r="N54" s="30"/>
      <c r="O54" s="37"/>
      <c r="P54" s="30"/>
      <c r="Q54" s="37"/>
      <c r="R54" s="30"/>
      <c r="S54" s="37"/>
      <c r="T54" s="30"/>
    </row>
  </sheetData>
  <mergeCells count="4">
    <mergeCell ref="B1:C1"/>
    <mergeCell ref="F1:H1"/>
    <mergeCell ref="D1:E1"/>
    <mergeCell ref="J1:K1"/>
  </mergeCells>
  <phoneticPr fontId="3" type="noConversion"/>
  <pageMargins left="0.25" right="0.25" top="0.75" bottom="0.75" header="0.3" footer="0.3"/>
  <pageSetup paperSize="9" scale="4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25"/>
  <sheetViews>
    <sheetView view="pageBreakPreview" zoomScale="55" zoomScaleNormal="55" zoomScaleSheetLayoutView="5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10" sqref="E10"/>
    </sheetView>
  </sheetViews>
  <sheetFormatPr defaultColWidth="9" defaultRowHeight="16.5" x14ac:dyDescent="0.3"/>
  <cols>
    <col min="1" max="1" width="32.625" style="4" customWidth="1"/>
    <col min="2" max="2" width="19.875" style="4" customWidth="1"/>
    <col min="3" max="4" width="9.875" style="4" customWidth="1"/>
    <col min="5" max="5" width="20.375" style="4" customWidth="1"/>
    <col min="6" max="6" width="19" style="39" customWidth="1"/>
    <col min="7" max="7" width="19" style="4" customWidth="1"/>
    <col min="8" max="8" width="19" style="39" customWidth="1"/>
    <col min="9" max="9" width="19" style="4" customWidth="1"/>
    <col min="10" max="16384" width="9" style="4"/>
  </cols>
  <sheetData>
    <row r="1" spans="1:9" ht="144" customHeight="1" x14ac:dyDescent="0.3">
      <c r="A1" s="22" t="s">
        <v>99</v>
      </c>
      <c r="B1" s="48" t="s">
        <v>23</v>
      </c>
      <c r="C1" s="100" t="s">
        <v>24</v>
      </c>
      <c r="D1" s="102"/>
      <c r="E1" s="46" t="s">
        <v>25</v>
      </c>
      <c r="F1" s="45" t="s">
        <v>26</v>
      </c>
      <c r="G1" s="46" t="s">
        <v>64</v>
      </c>
      <c r="H1" s="47" t="s">
        <v>88</v>
      </c>
      <c r="I1" s="46" t="s">
        <v>87</v>
      </c>
    </row>
    <row r="2" spans="1:9" ht="45" customHeight="1" x14ac:dyDescent="0.3">
      <c r="A2" s="25" t="s">
        <v>29</v>
      </c>
      <c r="B2" s="27"/>
      <c r="C2" s="29"/>
      <c r="D2" s="29"/>
      <c r="E2" s="27"/>
      <c r="F2" s="26"/>
      <c r="G2" s="27"/>
      <c r="H2" s="26"/>
      <c r="I2" s="27"/>
    </row>
    <row r="3" spans="1:9" ht="38.25" customHeight="1" x14ac:dyDescent="0.3">
      <c r="A3" s="31" t="s">
        <v>31</v>
      </c>
      <c r="B3" s="33" t="s">
        <v>33</v>
      </c>
      <c r="C3" s="32" t="s">
        <v>32</v>
      </c>
      <c r="D3" s="32" t="s">
        <v>33</v>
      </c>
      <c r="E3" s="33" t="s">
        <v>34</v>
      </c>
      <c r="F3" s="32" t="s">
        <v>35</v>
      </c>
      <c r="G3" s="33" t="s">
        <v>34</v>
      </c>
      <c r="H3" s="32" t="s">
        <v>121</v>
      </c>
      <c r="I3" s="33" t="s">
        <v>34</v>
      </c>
    </row>
    <row r="4" spans="1:9" ht="38.25" customHeight="1" x14ac:dyDescent="0.3">
      <c r="A4" s="34" t="s">
        <v>37</v>
      </c>
      <c r="B4" s="35">
        <f t="shared" ref="B4:I4" si="0">SUM(B5:B25)</f>
        <v>12</v>
      </c>
      <c r="C4" s="35">
        <f t="shared" si="0"/>
        <v>1</v>
      </c>
      <c r="D4" s="35">
        <f t="shared" si="0"/>
        <v>6</v>
      </c>
      <c r="E4" s="35">
        <f t="shared" si="0"/>
        <v>4</v>
      </c>
      <c r="F4" s="35">
        <f t="shared" si="0"/>
        <v>4</v>
      </c>
      <c r="G4" s="35">
        <f t="shared" si="0"/>
        <v>1</v>
      </c>
      <c r="H4" s="35">
        <f t="shared" si="0"/>
        <v>1</v>
      </c>
      <c r="I4" s="35">
        <f t="shared" si="0"/>
        <v>2</v>
      </c>
    </row>
    <row r="5" spans="1:9" ht="27" customHeight="1" x14ac:dyDescent="0.5">
      <c r="A5" s="36" t="s">
        <v>100</v>
      </c>
      <c r="B5" s="30"/>
      <c r="C5" s="38"/>
      <c r="D5" s="38">
        <v>1</v>
      </c>
      <c r="E5" s="30"/>
      <c r="F5" s="37"/>
      <c r="G5" s="30"/>
      <c r="H5" s="37"/>
      <c r="I5" s="30"/>
    </row>
    <row r="6" spans="1:9" ht="27" customHeight="1" x14ac:dyDescent="0.5">
      <c r="A6" s="36" t="s">
        <v>101</v>
      </c>
      <c r="B6" s="30">
        <v>2</v>
      </c>
      <c r="C6" s="38"/>
      <c r="D6" s="38"/>
      <c r="E6" s="30"/>
      <c r="F6" s="37"/>
      <c r="G6" s="30"/>
      <c r="H6" s="37"/>
      <c r="I6" s="30"/>
    </row>
    <row r="7" spans="1:9" ht="27" customHeight="1" x14ac:dyDescent="0.5">
      <c r="A7" s="36" t="s">
        <v>102</v>
      </c>
      <c r="B7" s="30">
        <v>2</v>
      </c>
      <c r="C7" s="38"/>
      <c r="D7" s="38"/>
      <c r="E7" s="30"/>
      <c r="F7" s="37"/>
      <c r="G7" s="30"/>
      <c r="H7" s="37"/>
      <c r="I7" s="30"/>
    </row>
    <row r="8" spans="1:9" ht="27" customHeight="1" x14ac:dyDescent="0.5">
      <c r="A8" s="36" t="s">
        <v>103</v>
      </c>
      <c r="B8" s="30">
        <v>1</v>
      </c>
      <c r="C8" s="38"/>
      <c r="D8" s="38"/>
      <c r="E8" s="30"/>
      <c r="F8" s="37"/>
      <c r="G8" s="30"/>
      <c r="H8" s="37"/>
      <c r="I8" s="30"/>
    </row>
    <row r="9" spans="1:9" ht="27" customHeight="1" x14ac:dyDescent="0.5">
      <c r="A9" s="36" t="s">
        <v>104</v>
      </c>
      <c r="B9" s="30">
        <v>1</v>
      </c>
      <c r="C9" s="38"/>
      <c r="D9" s="38"/>
      <c r="E9" s="30"/>
      <c r="F9" s="37"/>
      <c r="G9" s="30"/>
      <c r="H9" s="37"/>
      <c r="I9" s="30"/>
    </row>
    <row r="10" spans="1:9" ht="27" customHeight="1" x14ac:dyDescent="0.5">
      <c r="A10" s="36" t="s">
        <v>105</v>
      </c>
      <c r="B10" s="30"/>
      <c r="C10" s="38"/>
      <c r="D10" s="38"/>
      <c r="E10" s="30"/>
      <c r="F10" s="37"/>
      <c r="G10" s="30"/>
      <c r="H10" s="37">
        <v>1</v>
      </c>
      <c r="I10" s="30"/>
    </row>
    <row r="11" spans="1:9" ht="27" customHeight="1" x14ac:dyDescent="0.5">
      <c r="A11" s="36" t="s">
        <v>106</v>
      </c>
      <c r="B11" s="30">
        <v>1</v>
      </c>
      <c r="C11" s="38"/>
      <c r="D11" s="38"/>
      <c r="E11" s="30"/>
      <c r="F11" s="37"/>
      <c r="G11" s="30"/>
      <c r="H11" s="37"/>
      <c r="I11" s="30"/>
    </row>
    <row r="12" spans="1:9" ht="27" customHeight="1" x14ac:dyDescent="0.5">
      <c r="A12" s="36" t="s">
        <v>107</v>
      </c>
      <c r="B12" s="30"/>
      <c r="C12" s="38"/>
      <c r="D12" s="38">
        <v>1</v>
      </c>
      <c r="E12" s="30"/>
      <c r="F12" s="37"/>
      <c r="G12" s="30"/>
      <c r="H12" s="37"/>
      <c r="I12" s="30"/>
    </row>
    <row r="13" spans="1:9" ht="27" customHeight="1" x14ac:dyDescent="0.5">
      <c r="A13" s="36" t="s">
        <v>108</v>
      </c>
      <c r="B13" s="30">
        <v>1</v>
      </c>
      <c r="C13" s="38"/>
      <c r="D13" s="38"/>
      <c r="E13" s="30"/>
      <c r="F13" s="37"/>
      <c r="G13" s="30"/>
      <c r="H13" s="37"/>
      <c r="I13" s="30"/>
    </row>
    <row r="14" spans="1:9" ht="27" customHeight="1" x14ac:dyDescent="0.5">
      <c r="A14" s="36" t="s">
        <v>109</v>
      </c>
      <c r="B14" s="30">
        <v>1</v>
      </c>
      <c r="C14" s="38"/>
      <c r="D14" s="38"/>
      <c r="E14" s="30"/>
      <c r="F14" s="37"/>
      <c r="G14" s="30"/>
      <c r="H14" s="37"/>
      <c r="I14" s="30"/>
    </row>
    <row r="15" spans="1:9" ht="27" customHeight="1" x14ac:dyDescent="0.5">
      <c r="A15" s="36" t="s">
        <v>110</v>
      </c>
      <c r="B15" s="30">
        <v>1</v>
      </c>
      <c r="C15" s="38"/>
      <c r="D15" s="38"/>
      <c r="E15" s="30"/>
      <c r="F15" s="37"/>
      <c r="G15" s="30"/>
      <c r="H15" s="37"/>
      <c r="I15" s="30"/>
    </row>
    <row r="16" spans="1:9" ht="27" customHeight="1" x14ac:dyDescent="0.5">
      <c r="A16" s="36" t="s">
        <v>111</v>
      </c>
      <c r="B16" s="30">
        <v>1</v>
      </c>
      <c r="C16" s="38"/>
      <c r="D16" s="38"/>
      <c r="E16" s="30"/>
      <c r="F16" s="37"/>
      <c r="G16" s="30"/>
      <c r="H16" s="37"/>
      <c r="I16" s="30"/>
    </row>
    <row r="17" spans="1:9" ht="27" customHeight="1" x14ac:dyDescent="0.5">
      <c r="A17" s="36" t="s">
        <v>112</v>
      </c>
      <c r="B17" s="30"/>
      <c r="C17" s="38"/>
      <c r="D17" s="38">
        <v>1</v>
      </c>
      <c r="E17" s="30"/>
      <c r="F17" s="37"/>
      <c r="G17" s="30"/>
      <c r="H17" s="37"/>
      <c r="I17" s="30"/>
    </row>
    <row r="18" spans="1:9" ht="27" customHeight="1" x14ac:dyDescent="0.5">
      <c r="A18" s="36" t="s">
        <v>113</v>
      </c>
      <c r="B18" s="30"/>
      <c r="C18" s="38"/>
      <c r="D18" s="38"/>
      <c r="E18" s="30"/>
      <c r="F18" s="37">
        <v>4</v>
      </c>
      <c r="G18" s="30">
        <v>1</v>
      </c>
      <c r="H18" s="37"/>
      <c r="I18" s="30"/>
    </row>
    <row r="19" spans="1:9" ht="27" customHeight="1" x14ac:dyDescent="0.5">
      <c r="A19" s="36" t="s">
        <v>114</v>
      </c>
      <c r="B19" s="30"/>
      <c r="C19" s="38"/>
      <c r="D19" s="38">
        <v>1</v>
      </c>
      <c r="E19" s="30"/>
      <c r="F19" s="37"/>
      <c r="G19" s="30"/>
      <c r="H19" s="37"/>
      <c r="I19" s="30"/>
    </row>
    <row r="20" spans="1:9" ht="27" customHeight="1" x14ac:dyDescent="0.5">
      <c r="A20" s="36" t="s">
        <v>115</v>
      </c>
      <c r="B20" s="30"/>
      <c r="C20" s="38"/>
      <c r="D20" s="38">
        <v>1</v>
      </c>
      <c r="E20" s="30"/>
      <c r="F20" s="37"/>
      <c r="G20" s="30"/>
      <c r="H20" s="37"/>
      <c r="I20" s="30"/>
    </row>
    <row r="21" spans="1:9" ht="27" customHeight="1" x14ac:dyDescent="0.5">
      <c r="A21" s="36" t="s">
        <v>116</v>
      </c>
      <c r="B21" s="30"/>
      <c r="C21" s="38"/>
      <c r="D21" s="38">
        <v>1</v>
      </c>
      <c r="E21" s="30"/>
      <c r="F21" s="37"/>
      <c r="G21" s="30"/>
      <c r="H21" s="37"/>
      <c r="I21" s="30"/>
    </row>
    <row r="22" spans="1:9" ht="27" customHeight="1" x14ac:dyDescent="0.5">
      <c r="A22" s="36" t="s">
        <v>117</v>
      </c>
      <c r="B22" s="30">
        <v>1</v>
      </c>
      <c r="C22" s="38"/>
      <c r="D22" s="38"/>
      <c r="E22" s="30"/>
      <c r="F22" s="37"/>
      <c r="G22" s="30"/>
      <c r="H22" s="37"/>
      <c r="I22" s="30"/>
    </row>
    <row r="23" spans="1:9" ht="27" customHeight="1" x14ac:dyDescent="0.5">
      <c r="A23" s="36" t="s">
        <v>118</v>
      </c>
      <c r="B23" s="30"/>
      <c r="C23" s="38">
        <v>1</v>
      </c>
      <c r="D23" s="38"/>
      <c r="E23" s="30"/>
      <c r="F23" s="37"/>
      <c r="G23" s="30"/>
      <c r="H23" s="37"/>
      <c r="I23" s="30"/>
    </row>
    <row r="24" spans="1:9" ht="27" customHeight="1" x14ac:dyDescent="0.5">
      <c r="A24" s="36" t="s">
        <v>119</v>
      </c>
      <c r="B24" s="30"/>
      <c r="C24" s="38"/>
      <c r="D24" s="38"/>
      <c r="E24" s="30"/>
      <c r="F24" s="37"/>
      <c r="G24" s="30"/>
      <c r="H24" s="37"/>
      <c r="I24" s="30">
        <v>2</v>
      </c>
    </row>
    <row r="25" spans="1:9" ht="27" customHeight="1" x14ac:dyDescent="0.5">
      <c r="A25" s="36" t="s">
        <v>120</v>
      </c>
      <c r="B25" s="30"/>
      <c r="C25" s="38"/>
      <c r="D25" s="38"/>
      <c r="E25" s="30">
        <v>4</v>
      </c>
      <c r="F25" s="37"/>
      <c r="G25" s="30"/>
      <c r="H25" s="37"/>
      <c r="I25" s="30"/>
    </row>
  </sheetData>
  <mergeCells count="1">
    <mergeCell ref="C1:D1"/>
  </mergeCells>
  <phoneticPr fontId="3" type="noConversion"/>
  <pageMargins left="0.25" right="0.25" top="0.75" bottom="0.75" header="0.3" footer="0.3"/>
  <pageSetup paperSize="9" scale="4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13"/>
  <sheetViews>
    <sheetView view="pageBreakPreview" zoomScale="40" zoomScaleNormal="40" zoomScaleSheetLayoutView="40" workbookViewId="0">
      <pane xSplit="1" ySplit="4" topLeftCell="B5" activePane="bottomRight" state="frozen"/>
      <selection pane="topRight"/>
      <selection pane="bottomLeft"/>
      <selection pane="bottomRight" activeCell="G6" sqref="G6"/>
    </sheetView>
  </sheetViews>
  <sheetFormatPr defaultColWidth="9" defaultRowHeight="16.5" x14ac:dyDescent="0.3"/>
  <cols>
    <col min="1" max="1" width="50.875" style="4" customWidth="1"/>
    <col min="2" max="7" width="26.875" style="4" customWidth="1"/>
    <col min="8" max="9" width="24.5" style="4" customWidth="1"/>
    <col min="10" max="16384" width="9" style="4"/>
  </cols>
  <sheetData>
    <row r="1" spans="1:9" ht="265.5" customHeight="1" x14ac:dyDescent="0.3">
      <c r="A1" s="98" t="s">
        <v>122</v>
      </c>
      <c r="B1" s="1" t="s">
        <v>0</v>
      </c>
      <c r="C1" s="1" t="s">
        <v>1</v>
      </c>
      <c r="D1" s="1" t="s">
        <v>1</v>
      </c>
      <c r="E1" s="2" t="s">
        <v>2</v>
      </c>
      <c r="F1" s="1" t="s">
        <v>3</v>
      </c>
      <c r="G1" s="1" t="s">
        <v>4</v>
      </c>
      <c r="H1" s="3"/>
      <c r="I1" s="3"/>
    </row>
    <row r="2" spans="1:9" ht="68.25" customHeight="1" x14ac:dyDescent="0.3">
      <c r="A2" s="98"/>
      <c r="B2" s="5" t="s">
        <v>5</v>
      </c>
      <c r="C2" s="5" t="s">
        <v>6</v>
      </c>
      <c r="D2" s="5" t="s">
        <v>7</v>
      </c>
      <c r="E2" s="6" t="s">
        <v>6</v>
      </c>
      <c r="F2" s="5" t="s">
        <v>8</v>
      </c>
      <c r="G2" s="5" t="s">
        <v>9</v>
      </c>
      <c r="H2" s="3"/>
      <c r="I2" s="3"/>
    </row>
    <row r="3" spans="1:9" ht="68.25" customHeight="1" x14ac:dyDescent="0.3">
      <c r="A3" s="99"/>
      <c r="B3" s="5" t="s">
        <v>10</v>
      </c>
      <c r="C3" s="5" t="s">
        <v>10</v>
      </c>
      <c r="D3" s="5" t="s">
        <v>10</v>
      </c>
      <c r="E3" s="6" t="s">
        <v>10</v>
      </c>
      <c r="F3" s="5" t="s">
        <v>10</v>
      </c>
      <c r="G3" s="5" t="s">
        <v>10</v>
      </c>
      <c r="H3" s="3"/>
      <c r="I3" s="3"/>
    </row>
    <row r="4" spans="1:9" ht="110.25" customHeight="1" x14ac:dyDescent="0.3">
      <c r="A4" s="7"/>
      <c r="B4" s="8">
        <f t="shared" ref="B4:E4" si="0">SUM(B5:B7)</f>
        <v>10</v>
      </c>
      <c r="C4" s="8">
        <f t="shared" si="0"/>
        <v>36</v>
      </c>
      <c r="D4" s="8">
        <f t="shared" si="0"/>
        <v>144</v>
      </c>
      <c r="E4" s="8">
        <f t="shared" si="0"/>
        <v>156</v>
      </c>
      <c r="F4" s="8">
        <f>SUM(F5:F7)</f>
        <v>60</v>
      </c>
      <c r="G4" s="8">
        <f>SUM(G5:G7)</f>
        <v>0</v>
      </c>
      <c r="H4" s="9"/>
      <c r="I4" s="9"/>
    </row>
    <row r="5" spans="1:9" ht="92.25" customHeight="1" x14ac:dyDescent="0.3">
      <c r="A5" s="10" t="s">
        <v>11</v>
      </c>
      <c r="B5" s="11"/>
      <c r="C5" s="12">
        <v>16</v>
      </c>
      <c r="D5" s="12">
        <v>112</v>
      </c>
      <c r="E5" s="12">
        <v>68</v>
      </c>
      <c r="F5" s="12"/>
      <c r="G5" s="12"/>
      <c r="H5" s="9"/>
      <c r="I5" s="9"/>
    </row>
    <row r="6" spans="1:9" ht="92.25" customHeight="1" x14ac:dyDescent="0.3">
      <c r="A6" s="10" t="s">
        <v>12</v>
      </c>
      <c r="B6" s="11">
        <v>10</v>
      </c>
      <c r="C6" s="12">
        <v>16</v>
      </c>
      <c r="D6" s="12">
        <v>16</v>
      </c>
      <c r="E6" s="12">
        <v>52</v>
      </c>
      <c r="F6" s="12">
        <v>40</v>
      </c>
      <c r="G6" s="12"/>
      <c r="H6" s="9"/>
      <c r="I6" s="9"/>
    </row>
    <row r="7" spans="1:9" ht="92.25" customHeight="1" x14ac:dyDescent="0.3">
      <c r="A7" s="10" t="s">
        <v>13</v>
      </c>
      <c r="B7" s="11"/>
      <c r="C7" s="12">
        <v>4</v>
      </c>
      <c r="D7" s="12">
        <v>16</v>
      </c>
      <c r="E7" s="12">
        <v>36</v>
      </c>
      <c r="F7" s="12">
        <v>20</v>
      </c>
      <c r="G7" s="12"/>
      <c r="H7" s="13"/>
      <c r="I7" s="13"/>
    </row>
    <row r="8" spans="1:9" ht="27" customHeight="1" x14ac:dyDescent="0.3">
      <c r="B8" s="14"/>
      <c r="C8" s="14"/>
      <c r="D8" s="14"/>
      <c r="E8" s="14"/>
      <c r="F8" s="14"/>
      <c r="G8" s="14"/>
      <c r="H8" s="15"/>
      <c r="I8" s="15"/>
    </row>
    <row r="9" spans="1:9" ht="27" customHeight="1" x14ac:dyDescent="0.3">
      <c r="A9" s="16"/>
      <c r="H9" s="3"/>
      <c r="I9" s="3"/>
    </row>
    <row r="10" spans="1:9" ht="110.25" customHeight="1" x14ac:dyDescent="0.3">
      <c r="A10" s="17"/>
      <c r="B10" s="18" t="s">
        <v>14</v>
      </c>
      <c r="C10" s="18" t="s">
        <v>15</v>
      </c>
      <c r="D10" s="18" t="s">
        <v>16</v>
      </c>
      <c r="E10" s="18" t="s">
        <v>17</v>
      </c>
      <c r="F10" s="19" t="s">
        <v>18</v>
      </c>
      <c r="G10" s="18" t="s">
        <v>19</v>
      </c>
      <c r="H10" s="3"/>
      <c r="I10" s="3"/>
    </row>
    <row r="11" spans="1:9" ht="84" customHeight="1" x14ac:dyDescent="0.3">
      <c r="A11" s="10" t="s">
        <v>11</v>
      </c>
      <c r="B11" s="20"/>
      <c r="C11" s="20">
        <f t="shared" ref="C11:C13" si="1">C5/4</f>
        <v>4</v>
      </c>
      <c r="D11" s="20">
        <f>D5/16</f>
        <v>7</v>
      </c>
      <c r="E11" s="20">
        <f>E5/4</f>
        <v>17</v>
      </c>
      <c r="F11" s="20"/>
      <c r="G11" s="20"/>
      <c r="H11" s="21">
        <f>SUM(B11:G11)</f>
        <v>28</v>
      </c>
      <c r="I11" s="21" t="s">
        <v>20</v>
      </c>
    </row>
    <row r="12" spans="1:9" ht="84" customHeight="1" x14ac:dyDescent="0.3">
      <c r="A12" s="10" t="s">
        <v>12</v>
      </c>
      <c r="B12" s="20">
        <f>B6/10</f>
        <v>1</v>
      </c>
      <c r="C12" s="20">
        <f t="shared" si="1"/>
        <v>4</v>
      </c>
      <c r="D12" s="20">
        <f>D6/16</f>
        <v>1</v>
      </c>
      <c r="E12" s="20">
        <f>E6/4</f>
        <v>13</v>
      </c>
      <c r="F12" s="20">
        <f>F6/20</f>
        <v>2</v>
      </c>
      <c r="G12" s="20"/>
      <c r="H12" s="21">
        <f>SUM(B12:G12)</f>
        <v>21</v>
      </c>
      <c r="I12" s="21" t="s">
        <v>20</v>
      </c>
    </row>
    <row r="13" spans="1:9" ht="84" customHeight="1" x14ac:dyDescent="0.3">
      <c r="A13" s="10" t="s">
        <v>13</v>
      </c>
      <c r="B13" s="20"/>
      <c r="C13" s="20">
        <f t="shared" si="1"/>
        <v>1</v>
      </c>
      <c r="D13" s="20">
        <f>D7/16</f>
        <v>1</v>
      </c>
      <c r="E13" s="20">
        <f>E7/4</f>
        <v>9</v>
      </c>
      <c r="F13" s="20">
        <f>F7/20</f>
        <v>1</v>
      </c>
      <c r="G13" s="20"/>
      <c r="H13" s="21">
        <f>SUM(B13:G13)</f>
        <v>12</v>
      </c>
      <c r="I13" s="21" t="s">
        <v>20</v>
      </c>
    </row>
  </sheetData>
  <mergeCells count="1">
    <mergeCell ref="A1:A3"/>
  </mergeCells>
  <phoneticPr fontId="3" type="noConversion"/>
  <conditionalFormatting sqref="A5">
    <cfRule type="duplicateValues" dxfId="42" priority="4"/>
  </conditionalFormatting>
  <conditionalFormatting sqref="A6">
    <cfRule type="duplicateValues" dxfId="41" priority="5"/>
  </conditionalFormatting>
  <conditionalFormatting sqref="A7">
    <cfRule type="duplicateValues" dxfId="40" priority="2"/>
  </conditionalFormatting>
  <conditionalFormatting sqref="A11">
    <cfRule type="duplicateValues" dxfId="39" priority="3"/>
  </conditionalFormatting>
  <conditionalFormatting sqref="A12">
    <cfRule type="duplicateValues" dxfId="38" priority="6"/>
  </conditionalFormatting>
  <conditionalFormatting sqref="A13">
    <cfRule type="duplicateValues" dxfId="37" priority="1"/>
  </conditionalFormatting>
  <pageMargins left="0.25" right="0.25" top="0.75" bottom="0.75" header="0.30000001192092896" footer="0.30000001192092896"/>
  <pageSetup paperSize="9" scale="3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16"/>
  <sheetViews>
    <sheetView view="pageBreakPreview" zoomScale="55" zoomScaleNormal="55" zoomScaleSheetLayoutView="5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12" sqref="I12"/>
    </sheetView>
  </sheetViews>
  <sheetFormatPr defaultColWidth="9" defaultRowHeight="16.5" x14ac:dyDescent="0.3"/>
  <cols>
    <col min="1" max="1" width="32.625" style="4" customWidth="1"/>
    <col min="2" max="3" width="9.625" style="4" customWidth="1"/>
    <col min="4" max="5" width="9.875" style="4" customWidth="1"/>
    <col min="6" max="6" width="19" style="4" customWidth="1"/>
    <col min="7" max="7" width="19" style="39" customWidth="1"/>
    <col min="8" max="8" width="19" style="4" customWidth="1"/>
    <col min="9" max="9" width="19" style="39" customWidth="1"/>
    <col min="10" max="16384" width="9" style="4"/>
  </cols>
  <sheetData>
    <row r="1" spans="1:9" ht="144" customHeight="1" x14ac:dyDescent="0.3">
      <c r="A1" s="22" t="s">
        <v>123</v>
      </c>
      <c r="B1" s="103" t="s">
        <v>23</v>
      </c>
      <c r="C1" s="104"/>
      <c r="D1" s="100" t="s">
        <v>24</v>
      </c>
      <c r="E1" s="102"/>
      <c r="F1" s="50" t="s">
        <v>138</v>
      </c>
      <c r="G1" s="49" t="s">
        <v>139</v>
      </c>
      <c r="H1" s="50" t="s">
        <v>140</v>
      </c>
      <c r="I1" s="49" t="s">
        <v>143</v>
      </c>
    </row>
    <row r="2" spans="1:9" ht="45" customHeight="1" x14ac:dyDescent="0.3">
      <c r="A2" s="25" t="s">
        <v>29</v>
      </c>
      <c r="B2" s="27"/>
      <c r="C2" s="27"/>
      <c r="D2" s="29"/>
      <c r="E2" s="29"/>
      <c r="F2" s="27"/>
      <c r="G2" s="26"/>
      <c r="H2" s="27"/>
      <c r="I2" s="26"/>
    </row>
    <row r="3" spans="1:9" ht="38.25" customHeight="1" x14ac:dyDescent="0.3">
      <c r="A3" s="31" t="s">
        <v>31</v>
      </c>
      <c r="B3" s="33" t="s">
        <v>128</v>
      </c>
      <c r="C3" s="33" t="s">
        <v>33</v>
      </c>
      <c r="D3" s="32" t="s">
        <v>32</v>
      </c>
      <c r="E3" s="32" t="s">
        <v>33</v>
      </c>
      <c r="F3" s="33" t="s">
        <v>141</v>
      </c>
      <c r="G3" s="32" t="s">
        <v>142</v>
      </c>
      <c r="H3" s="33" t="s">
        <v>142</v>
      </c>
      <c r="I3" s="32" t="s">
        <v>137</v>
      </c>
    </row>
    <row r="4" spans="1:9" ht="38.25" customHeight="1" x14ac:dyDescent="0.3">
      <c r="A4" s="34" t="s">
        <v>37</v>
      </c>
      <c r="B4" s="35">
        <f t="shared" ref="B4:I4" si="0">SUM(B5:B16)</f>
        <v>1</v>
      </c>
      <c r="C4" s="35">
        <f t="shared" si="0"/>
        <v>8</v>
      </c>
      <c r="D4" s="35">
        <f t="shared" si="0"/>
        <v>1</v>
      </c>
      <c r="E4" s="35">
        <f t="shared" si="0"/>
        <v>4</v>
      </c>
      <c r="F4" s="35">
        <f t="shared" si="0"/>
        <v>1</v>
      </c>
      <c r="G4" s="35">
        <f t="shared" si="0"/>
        <v>2</v>
      </c>
      <c r="H4" s="35">
        <f t="shared" si="0"/>
        <v>2</v>
      </c>
      <c r="I4" s="35">
        <f t="shared" si="0"/>
        <v>3</v>
      </c>
    </row>
    <row r="5" spans="1:9" ht="27" customHeight="1" x14ac:dyDescent="0.5">
      <c r="A5" s="36" t="s">
        <v>124</v>
      </c>
      <c r="B5" s="30"/>
      <c r="C5" s="30">
        <v>4</v>
      </c>
      <c r="D5" s="38"/>
      <c r="E5" s="38"/>
      <c r="F5" s="30"/>
      <c r="G5" s="37"/>
      <c r="H5" s="30"/>
      <c r="I5" s="37"/>
    </row>
    <row r="6" spans="1:9" ht="27" customHeight="1" x14ac:dyDescent="0.5">
      <c r="A6" s="36" t="s">
        <v>125</v>
      </c>
      <c r="B6" s="30"/>
      <c r="C6" s="30">
        <v>2</v>
      </c>
      <c r="D6" s="38"/>
      <c r="E6" s="38"/>
      <c r="F6" s="30"/>
      <c r="G6" s="37"/>
      <c r="H6" s="30"/>
      <c r="I6" s="37"/>
    </row>
    <row r="7" spans="1:9" ht="27" customHeight="1" x14ac:dyDescent="0.5">
      <c r="A7" s="36" t="s">
        <v>126</v>
      </c>
      <c r="B7" s="30"/>
      <c r="C7" s="30">
        <v>1</v>
      </c>
      <c r="D7" s="38"/>
      <c r="E7" s="38"/>
      <c r="F7" s="30"/>
      <c r="G7" s="37"/>
      <c r="H7" s="30"/>
      <c r="I7" s="37"/>
    </row>
    <row r="8" spans="1:9" ht="27" customHeight="1" x14ac:dyDescent="0.5">
      <c r="A8" s="36" t="s">
        <v>127</v>
      </c>
      <c r="B8" s="30">
        <v>1</v>
      </c>
      <c r="C8" s="30"/>
      <c r="D8" s="38"/>
      <c r="E8" s="38"/>
      <c r="F8" s="30"/>
      <c r="G8" s="37"/>
      <c r="H8" s="30"/>
      <c r="I8" s="37"/>
    </row>
    <row r="9" spans="1:9" ht="27" customHeight="1" x14ac:dyDescent="0.5">
      <c r="A9" s="36" t="s">
        <v>129</v>
      </c>
      <c r="B9" s="30"/>
      <c r="C9" s="30"/>
      <c r="D9" s="38"/>
      <c r="E9" s="38">
        <v>1</v>
      </c>
      <c r="F9" s="30"/>
      <c r="G9" s="37"/>
      <c r="H9" s="30"/>
      <c r="I9" s="37"/>
    </row>
    <row r="10" spans="1:9" ht="27" customHeight="1" x14ac:dyDescent="0.5">
      <c r="A10" s="36" t="s">
        <v>130</v>
      </c>
      <c r="B10" s="30"/>
      <c r="C10" s="30"/>
      <c r="D10" s="38">
        <v>1</v>
      </c>
      <c r="E10" s="38"/>
      <c r="F10" s="30"/>
      <c r="G10" s="37"/>
      <c r="H10" s="30"/>
      <c r="I10" s="37"/>
    </row>
    <row r="11" spans="1:9" ht="27" customHeight="1" x14ac:dyDescent="0.5">
      <c r="A11" s="36" t="s">
        <v>131</v>
      </c>
      <c r="B11" s="30"/>
      <c r="C11" s="30"/>
      <c r="D11" s="38"/>
      <c r="E11" s="38">
        <v>1</v>
      </c>
      <c r="F11" s="30"/>
      <c r="G11" s="37"/>
      <c r="H11" s="30"/>
      <c r="I11" s="37"/>
    </row>
    <row r="12" spans="1:9" ht="27" customHeight="1" x14ac:dyDescent="0.5">
      <c r="A12" s="36" t="s">
        <v>132</v>
      </c>
      <c r="B12" s="30"/>
      <c r="C12" s="30"/>
      <c r="D12" s="38"/>
      <c r="E12" s="38">
        <v>1</v>
      </c>
      <c r="F12" s="30">
        <v>1</v>
      </c>
      <c r="G12" s="37">
        <v>2</v>
      </c>
      <c r="H12" s="30">
        <v>1</v>
      </c>
      <c r="I12" s="37"/>
    </row>
    <row r="13" spans="1:9" ht="27" customHeight="1" x14ac:dyDescent="0.5">
      <c r="A13" s="36" t="s">
        <v>133</v>
      </c>
      <c r="B13" s="30"/>
      <c r="C13" s="30"/>
      <c r="D13" s="38"/>
      <c r="E13" s="38"/>
      <c r="F13" s="30"/>
      <c r="G13" s="37"/>
      <c r="H13" s="30">
        <v>1</v>
      </c>
      <c r="I13" s="37"/>
    </row>
    <row r="14" spans="1:9" ht="27" customHeight="1" x14ac:dyDescent="0.5">
      <c r="A14" s="36" t="s">
        <v>134</v>
      </c>
      <c r="B14" s="30"/>
      <c r="C14" s="30"/>
      <c r="D14" s="38"/>
      <c r="E14" s="38">
        <v>1</v>
      </c>
      <c r="F14" s="30"/>
      <c r="G14" s="37"/>
      <c r="H14" s="30"/>
      <c r="I14" s="37"/>
    </row>
    <row r="15" spans="1:9" ht="27" customHeight="1" x14ac:dyDescent="0.5">
      <c r="A15" s="36" t="s">
        <v>135</v>
      </c>
      <c r="B15" s="30"/>
      <c r="C15" s="30">
        <v>1</v>
      </c>
      <c r="D15" s="38"/>
      <c r="E15" s="38"/>
      <c r="F15" s="30"/>
      <c r="G15" s="37"/>
      <c r="H15" s="30"/>
      <c r="I15" s="37"/>
    </row>
    <row r="16" spans="1:9" ht="27" customHeight="1" x14ac:dyDescent="0.5">
      <c r="A16" s="36" t="s">
        <v>136</v>
      </c>
      <c r="B16" s="30"/>
      <c r="C16" s="30"/>
      <c r="D16" s="38"/>
      <c r="E16" s="38"/>
      <c r="F16" s="30"/>
      <c r="G16" s="37"/>
      <c r="H16" s="30"/>
      <c r="I16" s="37">
        <v>3</v>
      </c>
    </row>
  </sheetData>
  <mergeCells count="2">
    <mergeCell ref="D1:E1"/>
    <mergeCell ref="B1:C1"/>
  </mergeCells>
  <phoneticPr fontId="3" type="noConversion"/>
  <pageMargins left="0.25" right="0.25" top="0.75" bottom="0.75" header="0.3" footer="0.3"/>
  <pageSetup paperSize="9" scale="4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N19"/>
  <sheetViews>
    <sheetView view="pageBreakPreview" zoomScale="55" zoomScaleNormal="55" zoomScaleSheetLayoutView="5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9" sqref="H9"/>
    </sheetView>
  </sheetViews>
  <sheetFormatPr defaultColWidth="9" defaultRowHeight="16.5" x14ac:dyDescent="0.3"/>
  <cols>
    <col min="1" max="1" width="32.625" style="4" customWidth="1"/>
    <col min="2" max="3" width="9.625" style="4" customWidth="1"/>
    <col min="4" max="6" width="9.875" style="4" customWidth="1"/>
    <col min="7" max="7" width="19" style="4" customWidth="1"/>
    <col min="8" max="8" width="19" style="39" customWidth="1"/>
    <col min="9" max="9" width="19" style="4" customWidth="1"/>
    <col min="10" max="10" width="19" style="39" customWidth="1"/>
    <col min="11" max="11" width="19" style="4" customWidth="1"/>
    <col min="12" max="12" width="19" style="39" customWidth="1"/>
    <col min="13" max="13" width="19" style="4" customWidth="1"/>
    <col min="14" max="14" width="19" style="39" customWidth="1"/>
    <col min="15" max="16384" width="9" style="4"/>
  </cols>
  <sheetData>
    <row r="1" spans="1:14" ht="144" customHeight="1" x14ac:dyDescent="0.3">
      <c r="A1" s="22" t="s">
        <v>144</v>
      </c>
      <c r="B1" s="103" t="s">
        <v>23</v>
      </c>
      <c r="C1" s="104"/>
      <c r="D1" s="100" t="s">
        <v>24</v>
      </c>
      <c r="E1" s="102"/>
      <c r="F1" s="102"/>
      <c r="G1" s="51" t="s">
        <v>158</v>
      </c>
      <c r="H1" s="52" t="s">
        <v>170</v>
      </c>
      <c r="I1" s="53" t="s">
        <v>64</v>
      </c>
      <c r="J1" s="52" t="s">
        <v>163</v>
      </c>
      <c r="K1" s="53" t="s">
        <v>164</v>
      </c>
      <c r="L1" s="52" t="s">
        <v>165</v>
      </c>
      <c r="M1" s="53" t="s">
        <v>166</v>
      </c>
      <c r="N1" s="52" t="s">
        <v>169</v>
      </c>
    </row>
    <row r="2" spans="1:14" ht="45" customHeight="1" x14ac:dyDescent="0.3">
      <c r="A2" s="25" t="s">
        <v>29</v>
      </c>
      <c r="B2" s="27"/>
      <c r="C2" s="27"/>
      <c r="D2" s="28" t="s">
        <v>152</v>
      </c>
      <c r="E2" s="29"/>
      <c r="F2" s="29"/>
      <c r="G2" s="27"/>
      <c r="H2" s="26"/>
      <c r="I2" s="27"/>
      <c r="J2" s="26"/>
      <c r="K2" s="27"/>
      <c r="L2" s="26"/>
      <c r="M2" s="27"/>
      <c r="N2" s="26"/>
    </row>
    <row r="3" spans="1:14" ht="38.25" customHeight="1" x14ac:dyDescent="0.3">
      <c r="A3" s="31" t="s">
        <v>31</v>
      </c>
      <c r="B3" s="33" t="s">
        <v>32</v>
      </c>
      <c r="C3" s="33" t="s">
        <v>33</v>
      </c>
      <c r="D3" s="32" t="s">
        <v>32</v>
      </c>
      <c r="E3" s="32" t="s">
        <v>32</v>
      </c>
      <c r="F3" s="32" t="s">
        <v>33</v>
      </c>
      <c r="G3" s="33" t="s">
        <v>157</v>
      </c>
      <c r="H3" s="32" t="s">
        <v>35</v>
      </c>
      <c r="I3" s="33" t="s">
        <v>167</v>
      </c>
      <c r="J3" s="32" t="s">
        <v>167</v>
      </c>
      <c r="K3" s="33" t="s">
        <v>167</v>
      </c>
      <c r="L3" s="32" t="s">
        <v>168</v>
      </c>
      <c r="M3" s="33" t="s">
        <v>168</v>
      </c>
      <c r="N3" s="32" t="s">
        <v>32</v>
      </c>
    </row>
    <row r="4" spans="1:14" ht="38.25" customHeight="1" x14ac:dyDescent="0.3">
      <c r="A4" s="34" t="s">
        <v>37</v>
      </c>
      <c r="B4" s="35">
        <f t="shared" ref="B4:N4" si="0">SUM(B5:B19)</f>
        <v>0</v>
      </c>
      <c r="C4" s="35">
        <f t="shared" si="0"/>
        <v>1</v>
      </c>
      <c r="D4" s="35">
        <f t="shared" si="0"/>
        <v>8</v>
      </c>
      <c r="E4" s="35">
        <f t="shared" si="0"/>
        <v>2</v>
      </c>
      <c r="F4" s="35">
        <f t="shared" si="0"/>
        <v>5</v>
      </c>
      <c r="G4" s="35">
        <f t="shared" si="0"/>
        <v>1</v>
      </c>
      <c r="H4" s="35">
        <f t="shared" si="0"/>
        <v>1</v>
      </c>
      <c r="I4" s="35">
        <f t="shared" si="0"/>
        <v>1</v>
      </c>
      <c r="J4" s="35">
        <f t="shared" si="0"/>
        <v>1</v>
      </c>
      <c r="K4" s="35">
        <f t="shared" si="0"/>
        <v>4</v>
      </c>
      <c r="L4" s="35">
        <f t="shared" si="0"/>
        <v>1</v>
      </c>
      <c r="M4" s="35">
        <f t="shared" si="0"/>
        <v>1</v>
      </c>
      <c r="N4" s="35">
        <f t="shared" si="0"/>
        <v>1</v>
      </c>
    </row>
    <row r="5" spans="1:14" ht="27" customHeight="1" x14ac:dyDescent="0.5">
      <c r="A5" s="36" t="s">
        <v>145</v>
      </c>
      <c r="B5" s="30"/>
      <c r="C5" s="30"/>
      <c r="D5" s="38"/>
      <c r="E5" s="38"/>
      <c r="F5" s="38"/>
      <c r="G5" s="30"/>
      <c r="H5" s="37"/>
      <c r="I5" s="30"/>
      <c r="J5" s="37"/>
      <c r="K5" s="30"/>
      <c r="L5" s="37">
        <v>1</v>
      </c>
      <c r="M5" s="30">
        <v>1</v>
      </c>
      <c r="N5" s="37">
        <v>1</v>
      </c>
    </row>
    <row r="6" spans="1:14" ht="27" customHeight="1" x14ac:dyDescent="0.5">
      <c r="A6" s="36" t="s">
        <v>146</v>
      </c>
      <c r="B6" s="30"/>
      <c r="C6" s="30">
        <v>1</v>
      </c>
      <c r="D6" s="38"/>
      <c r="E6" s="38"/>
      <c r="F6" s="38"/>
      <c r="G6" s="30"/>
      <c r="H6" s="37"/>
      <c r="I6" s="30"/>
      <c r="J6" s="37"/>
      <c r="K6" s="30"/>
      <c r="L6" s="37"/>
      <c r="M6" s="30"/>
      <c r="N6" s="37"/>
    </row>
    <row r="7" spans="1:14" ht="27" customHeight="1" x14ac:dyDescent="0.5">
      <c r="A7" s="36" t="s">
        <v>147</v>
      </c>
      <c r="B7" s="30"/>
      <c r="C7" s="30"/>
      <c r="D7" s="38"/>
      <c r="E7" s="38"/>
      <c r="F7" s="38"/>
      <c r="G7" s="30"/>
      <c r="H7" s="37"/>
      <c r="I7" s="30"/>
      <c r="J7" s="37">
        <v>1</v>
      </c>
      <c r="K7" s="30"/>
      <c r="L7" s="37"/>
      <c r="M7" s="30"/>
      <c r="N7" s="37"/>
    </row>
    <row r="8" spans="1:14" ht="27" customHeight="1" x14ac:dyDescent="0.5">
      <c r="A8" s="36" t="s">
        <v>148</v>
      </c>
      <c r="B8" s="30"/>
      <c r="C8" s="30"/>
      <c r="D8" s="38"/>
      <c r="E8" s="38"/>
      <c r="F8" s="38">
        <v>1</v>
      </c>
      <c r="G8" s="30"/>
      <c r="H8" s="37"/>
      <c r="I8" s="30"/>
      <c r="J8" s="37"/>
      <c r="K8" s="30"/>
      <c r="L8" s="37"/>
      <c r="M8" s="30"/>
      <c r="N8" s="37"/>
    </row>
    <row r="9" spans="1:14" ht="27" customHeight="1" x14ac:dyDescent="0.5">
      <c r="A9" s="36" t="s">
        <v>149</v>
      </c>
      <c r="B9" s="30"/>
      <c r="C9" s="30"/>
      <c r="D9" s="38"/>
      <c r="E9" s="38"/>
      <c r="F9" s="38">
        <v>1</v>
      </c>
      <c r="G9" s="30"/>
      <c r="H9" s="37"/>
      <c r="I9" s="30"/>
      <c r="J9" s="37"/>
      <c r="K9" s="30"/>
      <c r="L9" s="37"/>
      <c r="M9" s="30"/>
      <c r="N9" s="37"/>
    </row>
    <row r="10" spans="1:14" ht="27" customHeight="1" x14ac:dyDescent="0.5">
      <c r="A10" s="36" t="s">
        <v>150</v>
      </c>
      <c r="B10" s="30"/>
      <c r="C10" s="30"/>
      <c r="D10" s="38"/>
      <c r="E10" s="38">
        <v>1</v>
      </c>
      <c r="F10" s="38"/>
      <c r="G10" s="30"/>
      <c r="H10" s="37"/>
      <c r="I10" s="30"/>
      <c r="J10" s="37"/>
      <c r="K10" s="30"/>
      <c r="L10" s="37"/>
      <c r="M10" s="30"/>
      <c r="N10" s="37"/>
    </row>
    <row r="11" spans="1:14" ht="27" customHeight="1" x14ac:dyDescent="0.5">
      <c r="A11" s="36" t="s">
        <v>151</v>
      </c>
      <c r="B11" s="30"/>
      <c r="C11" s="30"/>
      <c r="D11" s="38">
        <v>8</v>
      </c>
      <c r="E11" s="38"/>
      <c r="F11" s="38"/>
      <c r="G11" s="30"/>
      <c r="H11" s="37"/>
      <c r="I11" s="30"/>
      <c r="J11" s="37"/>
      <c r="K11" s="30"/>
      <c r="L11" s="37"/>
      <c r="M11" s="30"/>
      <c r="N11" s="37"/>
    </row>
    <row r="12" spans="1:14" ht="27" customHeight="1" x14ac:dyDescent="0.5">
      <c r="A12" s="36" t="s">
        <v>153</v>
      </c>
      <c r="B12" s="30"/>
      <c r="C12" s="30"/>
      <c r="D12" s="38"/>
      <c r="E12" s="38"/>
      <c r="F12" s="38">
        <v>1</v>
      </c>
      <c r="G12" s="30"/>
      <c r="H12" s="37"/>
      <c r="I12" s="30"/>
      <c r="J12" s="37"/>
      <c r="K12" s="30"/>
      <c r="L12" s="37"/>
      <c r="M12" s="30"/>
      <c r="N12" s="37"/>
    </row>
    <row r="13" spans="1:14" ht="27" customHeight="1" x14ac:dyDescent="0.5">
      <c r="A13" s="36" t="s">
        <v>154</v>
      </c>
      <c r="B13" s="30"/>
      <c r="C13" s="30"/>
      <c r="D13" s="38"/>
      <c r="E13" s="38">
        <v>1</v>
      </c>
      <c r="F13" s="38"/>
      <c r="G13" s="30"/>
      <c r="H13" s="37"/>
      <c r="I13" s="30"/>
      <c r="J13" s="37"/>
      <c r="K13" s="30"/>
      <c r="L13" s="37"/>
      <c r="M13" s="30"/>
      <c r="N13" s="37"/>
    </row>
    <row r="14" spans="1:14" ht="27" customHeight="1" x14ac:dyDescent="0.5">
      <c r="A14" s="36" t="s">
        <v>155</v>
      </c>
      <c r="B14" s="30"/>
      <c r="C14" s="30"/>
      <c r="D14" s="38"/>
      <c r="E14" s="38"/>
      <c r="F14" s="38">
        <v>1</v>
      </c>
      <c r="G14" s="30"/>
      <c r="H14" s="37"/>
      <c r="I14" s="30"/>
      <c r="J14" s="37"/>
      <c r="K14" s="30"/>
      <c r="L14" s="37"/>
      <c r="M14" s="30"/>
      <c r="N14" s="37"/>
    </row>
    <row r="15" spans="1:14" ht="27" customHeight="1" x14ac:dyDescent="0.5">
      <c r="A15" s="36" t="s">
        <v>156</v>
      </c>
      <c r="B15" s="30"/>
      <c r="C15" s="30"/>
      <c r="D15" s="38"/>
      <c r="E15" s="38"/>
      <c r="F15" s="38"/>
      <c r="G15" s="30">
        <v>1</v>
      </c>
      <c r="H15" s="37"/>
      <c r="I15" s="30"/>
      <c r="J15" s="37"/>
      <c r="K15" s="30"/>
      <c r="L15" s="37"/>
      <c r="M15" s="30"/>
      <c r="N15" s="37"/>
    </row>
    <row r="16" spans="1:14" ht="27" customHeight="1" x14ac:dyDescent="0.5">
      <c r="A16" s="36" t="s">
        <v>159</v>
      </c>
      <c r="B16" s="30"/>
      <c r="C16" s="30"/>
      <c r="D16" s="38"/>
      <c r="E16" s="38"/>
      <c r="F16" s="38">
        <v>1</v>
      </c>
      <c r="G16" s="30"/>
      <c r="H16" s="37"/>
      <c r="I16" s="30"/>
      <c r="J16" s="37"/>
      <c r="K16" s="30"/>
      <c r="L16" s="37"/>
      <c r="M16" s="30"/>
      <c r="N16" s="37"/>
    </row>
    <row r="17" spans="1:14" ht="27" customHeight="1" x14ac:dyDescent="0.5">
      <c r="A17" s="36" t="s">
        <v>160</v>
      </c>
      <c r="B17" s="30"/>
      <c r="C17" s="30"/>
      <c r="D17" s="38"/>
      <c r="E17" s="38"/>
      <c r="F17" s="38"/>
      <c r="G17" s="30"/>
      <c r="H17" s="37"/>
      <c r="I17" s="30"/>
      <c r="J17" s="37"/>
      <c r="K17" s="30">
        <v>4</v>
      </c>
      <c r="L17" s="37"/>
      <c r="M17" s="30"/>
      <c r="N17" s="37"/>
    </row>
    <row r="18" spans="1:14" ht="27" customHeight="1" x14ac:dyDescent="0.5">
      <c r="A18" s="36" t="s">
        <v>161</v>
      </c>
      <c r="B18" s="30"/>
      <c r="C18" s="30"/>
      <c r="D18" s="38"/>
      <c r="E18" s="38"/>
      <c r="F18" s="38"/>
      <c r="G18" s="30"/>
      <c r="H18" s="37"/>
      <c r="I18" s="30">
        <v>1</v>
      </c>
      <c r="J18" s="37"/>
      <c r="K18" s="30"/>
      <c r="L18" s="37"/>
      <c r="M18" s="30"/>
      <c r="N18" s="37"/>
    </row>
    <row r="19" spans="1:14" ht="27" customHeight="1" x14ac:dyDescent="0.5">
      <c r="A19" s="36" t="s">
        <v>162</v>
      </c>
      <c r="B19" s="30"/>
      <c r="C19" s="30"/>
      <c r="D19" s="38"/>
      <c r="E19" s="38"/>
      <c r="F19" s="38"/>
      <c r="G19" s="30"/>
      <c r="H19" s="37">
        <v>1</v>
      </c>
      <c r="I19" s="30"/>
      <c r="J19" s="37"/>
      <c r="K19" s="30"/>
      <c r="L19" s="37"/>
      <c r="M19" s="30"/>
      <c r="N19" s="37"/>
    </row>
  </sheetData>
  <mergeCells count="2">
    <mergeCell ref="B1:C1"/>
    <mergeCell ref="D1:F1"/>
  </mergeCells>
  <phoneticPr fontId="3" type="noConversion"/>
  <pageMargins left="0.25" right="0.25" top="0.75" bottom="0.75" header="0.3" footer="0.3"/>
  <pageSetup paperSize="9" scale="4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13"/>
  <sheetViews>
    <sheetView view="pageBreakPreview" zoomScale="40" zoomScaleNormal="40" zoomScaleSheetLayoutView="40" workbookViewId="0">
      <pane xSplit="1" ySplit="4" topLeftCell="B5" activePane="bottomRight" state="frozen"/>
      <selection pane="topRight"/>
      <selection pane="bottomLeft"/>
      <selection pane="bottomRight" activeCell="F12" sqref="F12"/>
    </sheetView>
  </sheetViews>
  <sheetFormatPr defaultColWidth="9" defaultRowHeight="16.5" x14ac:dyDescent="0.3"/>
  <cols>
    <col min="1" max="1" width="50.875" style="4" customWidth="1"/>
    <col min="2" max="7" width="26.875" style="4" customWidth="1"/>
    <col min="8" max="9" width="24.5" style="4" customWidth="1"/>
    <col min="10" max="16384" width="9" style="4"/>
  </cols>
  <sheetData>
    <row r="1" spans="1:9" ht="265.5" customHeight="1" x14ac:dyDescent="0.3">
      <c r="A1" s="98" t="s">
        <v>175</v>
      </c>
      <c r="B1" s="1" t="s">
        <v>0</v>
      </c>
      <c r="C1" s="1" t="s">
        <v>1</v>
      </c>
      <c r="D1" s="1" t="s">
        <v>1</v>
      </c>
      <c r="E1" s="2" t="s">
        <v>2</v>
      </c>
      <c r="F1" s="1" t="s">
        <v>3</v>
      </c>
      <c r="G1" s="1" t="s">
        <v>4</v>
      </c>
      <c r="H1" s="3"/>
      <c r="I1" s="3"/>
    </row>
    <row r="2" spans="1:9" ht="68.25" customHeight="1" x14ac:dyDescent="0.3">
      <c r="A2" s="98"/>
      <c r="B2" s="5" t="s">
        <v>5</v>
      </c>
      <c r="C2" s="5" t="s">
        <v>6</v>
      </c>
      <c r="D2" s="5" t="s">
        <v>7</v>
      </c>
      <c r="E2" s="6" t="s">
        <v>6</v>
      </c>
      <c r="F2" s="5" t="s">
        <v>8</v>
      </c>
      <c r="G2" s="5" t="s">
        <v>9</v>
      </c>
      <c r="H2" s="3"/>
      <c r="I2" s="3"/>
    </row>
    <row r="3" spans="1:9" ht="68.25" customHeight="1" x14ac:dyDescent="0.3">
      <c r="A3" s="99"/>
      <c r="B3" s="5" t="s">
        <v>10</v>
      </c>
      <c r="C3" s="5" t="s">
        <v>10</v>
      </c>
      <c r="D3" s="5" t="s">
        <v>10</v>
      </c>
      <c r="E3" s="6" t="s">
        <v>10</v>
      </c>
      <c r="F3" s="5" t="s">
        <v>10</v>
      </c>
      <c r="G3" s="5" t="s">
        <v>10</v>
      </c>
      <c r="H3" s="3"/>
      <c r="I3" s="3"/>
    </row>
    <row r="4" spans="1:9" ht="110.25" customHeight="1" x14ac:dyDescent="0.3">
      <c r="A4" s="7"/>
      <c r="B4" s="8">
        <f t="shared" ref="B4:E4" si="0">SUM(B5:B7)</f>
        <v>20</v>
      </c>
      <c r="C4" s="8">
        <f t="shared" si="0"/>
        <v>64</v>
      </c>
      <c r="D4" s="8">
        <f t="shared" si="0"/>
        <v>80</v>
      </c>
      <c r="E4" s="8">
        <f t="shared" si="0"/>
        <v>56</v>
      </c>
      <c r="F4" s="8">
        <f>SUM(F5:F7)</f>
        <v>0</v>
      </c>
      <c r="G4" s="8">
        <f>SUM(G5:G7)</f>
        <v>0</v>
      </c>
      <c r="H4" s="9"/>
      <c r="I4" s="9"/>
    </row>
    <row r="5" spans="1:9" ht="92.25" customHeight="1" x14ac:dyDescent="0.3">
      <c r="A5" s="10" t="s">
        <v>11</v>
      </c>
      <c r="B5" s="11">
        <v>10</v>
      </c>
      <c r="C5" s="12">
        <v>32</v>
      </c>
      <c r="D5" s="12">
        <v>16</v>
      </c>
      <c r="E5" s="12">
        <v>36</v>
      </c>
      <c r="F5" s="12"/>
      <c r="G5" s="12"/>
      <c r="H5" s="9"/>
      <c r="I5" s="9"/>
    </row>
    <row r="6" spans="1:9" ht="92.25" customHeight="1" x14ac:dyDescent="0.3">
      <c r="A6" s="10" t="s">
        <v>12</v>
      </c>
      <c r="B6" s="11">
        <v>10</v>
      </c>
      <c r="C6" s="12">
        <v>20</v>
      </c>
      <c r="D6" s="12">
        <v>16</v>
      </c>
      <c r="E6" s="12">
        <v>8</v>
      </c>
      <c r="F6" s="12"/>
      <c r="G6" s="12"/>
      <c r="H6" s="9"/>
      <c r="I6" s="9"/>
    </row>
    <row r="7" spans="1:9" ht="92.25" customHeight="1" x14ac:dyDescent="0.3">
      <c r="A7" s="10" t="s">
        <v>13</v>
      </c>
      <c r="B7" s="11"/>
      <c r="C7" s="12">
        <f>8+4</f>
        <v>12</v>
      </c>
      <c r="D7" s="12">
        <f>16+32</f>
        <v>48</v>
      </c>
      <c r="E7" s="12">
        <f>8+4</f>
        <v>12</v>
      </c>
      <c r="F7" s="12"/>
      <c r="G7" s="12"/>
      <c r="H7" s="13"/>
      <c r="I7" s="13"/>
    </row>
    <row r="8" spans="1:9" ht="27" customHeight="1" x14ac:dyDescent="0.3">
      <c r="B8" s="14"/>
      <c r="C8" s="14"/>
      <c r="D8" s="14"/>
      <c r="E8" s="14"/>
      <c r="F8" s="14"/>
      <c r="G8" s="14"/>
      <c r="H8" s="15"/>
      <c r="I8" s="15"/>
    </row>
    <row r="9" spans="1:9" ht="27" customHeight="1" x14ac:dyDescent="0.3">
      <c r="A9" s="16"/>
      <c r="H9" s="3"/>
      <c r="I9" s="3"/>
    </row>
    <row r="10" spans="1:9" ht="110.25" customHeight="1" x14ac:dyDescent="0.3">
      <c r="A10" s="17"/>
      <c r="B10" s="18" t="s">
        <v>14</v>
      </c>
      <c r="C10" s="18" t="s">
        <v>15</v>
      </c>
      <c r="D10" s="18" t="s">
        <v>16</v>
      </c>
      <c r="E10" s="18" t="s">
        <v>17</v>
      </c>
      <c r="F10" s="19" t="s">
        <v>18</v>
      </c>
      <c r="G10" s="18" t="s">
        <v>19</v>
      </c>
      <c r="H10" s="3"/>
      <c r="I10" s="3"/>
    </row>
    <row r="11" spans="1:9" ht="84" customHeight="1" x14ac:dyDescent="0.3">
      <c r="A11" s="10" t="s">
        <v>11</v>
      </c>
      <c r="B11" s="20">
        <f>B5/10</f>
        <v>1</v>
      </c>
      <c r="C11" s="20">
        <f>C5/4</f>
        <v>8</v>
      </c>
      <c r="D11" s="20">
        <f>D5/16</f>
        <v>1</v>
      </c>
      <c r="E11" s="20">
        <f>E5/4</f>
        <v>9</v>
      </c>
      <c r="F11" s="20"/>
      <c r="G11" s="20"/>
      <c r="H11" s="21">
        <f>SUM(B11:G11)</f>
        <v>19</v>
      </c>
      <c r="I11" s="21" t="s">
        <v>176</v>
      </c>
    </row>
    <row r="12" spans="1:9" ht="84" customHeight="1" x14ac:dyDescent="0.3">
      <c r="A12" s="10" t="s">
        <v>12</v>
      </c>
      <c r="B12" s="20">
        <f>B6/10</f>
        <v>1</v>
      </c>
      <c r="C12" s="20">
        <f>C6/4</f>
        <v>5</v>
      </c>
      <c r="D12" s="20">
        <f>D6/16</f>
        <v>1</v>
      </c>
      <c r="E12" s="20">
        <f>E6/4</f>
        <v>2</v>
      </c>
      <c r="F12" s="20"/>
      <c r="G12" s="20"/>
      <c r="H12" s="21">
        <f t="shared" ref="H12:H13" si="1">SUM(B12:G12)</f>
        <v>9</v>
      </c>
      <c r="I12" s="21"/>
    </row>
    <row r="13" spans="1:9" ht="84" customHeight="1" x14ac:dyDescent="0.3">
      <c r="A13" s="10" t="s">
        <v>13</v>
      </c>
      <c r="B13" s="20"/>
      <c r="C13" s="20">
        <f>C7/4</f>
        <v>3</v>
      </c>
      <c r="D13" s="20">
        <f>D7/16</f>
        <v>3</v>
      </c>
      <c r="E13" s="20">
        <f>E7/4</f>
        <v>3</v>
      </c>
      <c r="F13" s="20"/>
      <c r="G13" s="20"/>
      <c r="H13" s="21">
        <f t="shared" si="1"/>
        <v>9</v>
      </c>
      <c r="I13" s="21"/>
    </row>
  </sheetData>
  <mergeCells count="1">
    <mergeCell ref="A1:A3"/>
  </mergeCells>
  <phoneticPr fontId="3" type="noConversion"/>
  <conditionalFormatting sqref="A5">
    <cfRule type="duplicateValues" dxfId="36" priority="4"/>
  </conditionalFormatting>
  <conditionalFormatting sqref="A6">
    <cfRule type="duplicateValues" dxfId="35" priority="5"/>
  </conditionalFormatting>
  <conditionalFormatting sqref="A7">
    <cfRule type="duplicateValues" dxfId="34" priority="2"/>
  </conditionalFormatting>
  <conditionalFormatting sqref="A11">
    <cfRule type="duplicateValues" dxfId="33" priority="3"/>
  </conditionalFormatting>
  <conditionalFormatting sqref="A12">
    <cfRule type="duplicateValues" dxfId="32" priority="6"/>
  </conditionalFormatting>
  <conditionalFormatting sqref="A13">
    <cfRule type="duplicateValues" dxfId="31" priority="1"/>
  </conditionalFormatting>
  <pageMargins left="0.25" right="0.25" top="0.75" bottom="0.75" header="0.30000001192092896" footer="0.30000001192092896"/>
  <pageSetup paperSize="9" scale="3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P22"/>
  <sheetViews>
    <sheetView view="pageBreakPreview" zoomScale="55" zoomScaleNormal="55" zoomScaleSheetLayoutView="5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17" sqref="K17"/>
    </sheetView>
  </sheetViews>
  <sheetFormatPr defaultColWidth="9" defaultRowHeight="16.5" x14ac:dyDescent="0.3"/>
  <cols>
    <col min="1" max="1" width="32.625" style="4" customWidth="1"/>
    <col min="2" max="2" width="19" style="39" customWidth="1"/>
    <col min="3" max="5" width="9.625" style="4" customWidth="1"/>
    <col min="6" max="8" width="9.875" style="4" customWidth="1"/>
    <col min="9" max="11" width="11.25" style="4" customWidth="1"/>
    <col min="12" max="12" width="19" style="39" customWidth="1"/>
    <col min="13" max="13" width="19" style="4" customWidth="1"/>
    <col min="14" max="14" width="19" style="39" customWidth="1"/>
    <col min="15" max="15" width="19" style="4" customWidth="1"/>
    <col min="16" max="16" width="19" style="39" customWidth="1"/>
    <col min="17" max="16384" width="9" style="4"/>
  </cols>
  <sheetData>
    <row r="1" spans="1:16" ht="144" customHeight="1" x14ac:dyDescent="0.3">
      <c r="A1" s="22" t="s">
        <v>171</v>
      </c>
      <c r="B1" s="60" t="s">
        <v>22</v>
      </c>
      <c r="C1" s="103" t="s">
        <v>23</v>
      </c>
      <c r="D1" s="105"/>
      <c r="E1" s="104"/>
      <c r="F1" s="100" t="s">
        <v>24</v>
      </c>
      <c r="G1" s="102"/>
      <c r="H1" s="102"/>
      <c r="I1" s="103" t="s">
        <v>25</v>
      </c>
      <c r="J1" s="105"/>
      <c r="K1" s="104"/>
      <c r="L1" s="61" t="s">
        <v>195</v>
      </c>
      <c r="M1" s="58" t="s">
        <v>88</v>
      </c>
      <c r="N1" s="59" t="s">
        <v>189</v>
      </c>
      <c r="O1" s="55" t="s">
        <v>190</v>
      </c>
      <c r="P1" s="54" t="s">
        <v>192</v>
      </c>
    </row>
    <row r="2" spans="1:16" ht="45" customHeight="1" x14ac:dyDescent="0.3">
      <c r="A2" s="25" t="s">
        <v>29</v>
      </c>
      <c r="B2" s="26"/>
      <c r="C2" s="27"/>
      <c r="D2" s="27"/>
      <c r="E2" s="27"/>
      <c r="F2" s="28" t="s">
        <v>30</v>
      </c>
      <c r="G2" s="29"/>
      <c r="H2" s="29"/>
      <c r="I2" s="27"/>
      <c r="J2" s="27"/>
      <c r="K2" s="27" t="s">
        <v>178</v>
      </c>
      <c r="L2" s="26" t="s">
        <v>194</v>
      </c>
      <c r="M2" s="27"/>
      <c r="N2" s="26"/>
      <c r="O2" s="27"/>
      <c r="P2" s="26"/>
    </row>
    <row r="3" spans="1:16" ht="38.25" customHeight="1" x14ac:dyDescent="0.3">
      <c r="A3" s="31" t="s">
        <v>31</v>
      </c>
      <c r="B3" s="32" t="s">
        <v>34</v>
      </c>
      <c r="C3" s="33" t="s">
        <v>34</v>
      </c>
      <c r="D3" s="33" t="s">
        <v>32</v>
      </c>
      <c r="E3" s="33" t="s">
        <v>33</v>
      </c>
      <c r="F3" s="32" t="s">
        <v>32</v>
      </c>
      <c r="G3" s="32" t="s">
        <v>32</v>
      </c>
      <c r="H3" s="32" t="s">
        <v>33</v>
      </c>
      <c r="I3" s="33" t="s">
        <v>34</v>
      </c>
      <c r="J3" s="33" t="s">
        <v>188</v>
      </c>
      <c r="K3" s="33" t="s">
        <v>9</v>
      </c>
      <c r="L3" s="32" t="s">
        <v>34</v>
      </c>
      <c r="M3" s="33" t="s">
        <v>34</v>
      </c>
      <c r="N3" s="32" t="s">
        <v>34</v>
      </c>
      <c r="O3" s="33" t="s">
        <v>34</v>
      </c>
      <c r="P3" s="32" t="s">
        <v>34</v>
      </c>
    </row>
    <row r="4" spans="1:16" ht="38.25" customHeight="1" x14ac:dyDescent="0.3">
      <c r="A4" s="34" t="s">
        <v>37</v>
      </c>
      <c r="B4" s="35">
        <f t="shared" ref="B4" si="0">SUM(B5:B7)</f>
        <v>0</v>
      </c>
      <c r="C4" s="35">
        <f>SUM(C5:C7)</f>
        <v>0</v>
      </c>
      <c r="D4" s="35">
        <f>SUM(D5:D7)</f>
        <v>0</v>
      </c>
      <c r="E4" s="35">
        <f t="shared" ref="E4:P4" si="1">SUM(E5:E7)</f>
        <v>0</v>
      </c>
      <c r="F4" s="35">
        <f t="shared" si="1"/>
        <v>0</v>
      </c>
      <c r="G4" s="35">
        <f t="shared" si="1"/>
        <v>0</v>
      </c>
      <c r="H4" s="35">
        <f t="shared" si="1"/>
        <v>0</v>
      </c>
      <c r="I4" s="35">
        <f t="shared" si="1"/>
        <v>112</v>
      </c>
      <c r="J4" s="35">
        <f t="shared" ref="J4" si="2">SUM(J5:J7)</f>
        <v>0</v>
      </c>
      <c r="K4" s="35">
        <f t="shared" si="1"/>
        <v>0</v>
      </c>
      <c r="L4" s="35">
        <f t="shared" si="1"/>
        <v>0</v>
      </c>
      <c r="M4" s="35">
        <f t="shared" si="1"/>
        <v>0</v>
      </c>
      <c r="N4" s="35">
        <f t="shared" si="1"/>
        <v>0</v>
      </c>
      <c r="O4" s="35">
        <f t="shared" si="1"/>
        <v>0</v>
      </c>
      <c r="P4" s="35">
        <f t="shared" si="1"/>
        <v>0</v>
      </c>
    </row>
    <row r="5" spans="1:16" ht="27" customHeight="1" x14ac:dyDescent="0.5">
      <c r="A5" s="36" t="s">
        <v>172</v>
      </c>
      <c r="B5" s="37"/>
      <c r="C5" s="30"/>
      <c r="D5" s="30"/>
      <c r="E5" s="30"/>
      <c r="F5" s="38"/>
      <c r="G5" s="38"/>
      <c r="H5" s="38"/>
      <c r="I5" s="30">
        <v>64</v>
      </c>
      <c r="J5" s="30"/>
      <c r="K5" s="30"/>
      <c r="L5" s="37"/>
      <c r="M5" s="30"/>
      <c r="N5" s="37"/>
      <c r="O5" s="30"/>
      <c r="P5" s="37"/>
    </row>
    <row r="6" spans="1:16" ht="27" customHeight="1" x14ac:dyDescent="0.5">
      <c r="A6" s="36" t="s">
        <v>173</v>
      </c>
      <c r="B6" s="37"/>
      <c r="C6" s="30"/>
      <c r="D6" s="30"/>
      <c r="E6" s="30"/>
      <c r="F6" s="38"/>
      <c r="G6" s="38"/>
      <c r="H6" s="38"/>
      <c r="I6" s="30">
        <v>16</v>
      </c>
      <c r="J6" s="30"/>
      <c r="K6" s="30"/>
      <c r="L6" s="37"/>
      <c r="M6" s="30"/>
      <c r="N6" s="37"/>
      <c r="O6" s="30"/>
      <c r="P6" s="37"/>
    </row>
    <row r="7" spans="1:16" ht="27" customHeight="1" x14ac:dyDescent="0.5">
      <c r="A7" s="36" t="s">
        <v>174</v>
      </c>
      <c r="B7" s="37"/>
      <c r="C7" s="30"/>
      <c r="D7" s="30"/>
      <c r="E7" s="30"/>
      <c r="F7" s="38"/>
      <c r="G7" s="38"/>
      <c r="H7" s="38"/>
      <c r="I7" s="30">
        <v>32</v>
      </c>
      <c r="J7" s="30"/>
      <c r="K7" s="30"/>
      <c r="L7" s="37"/>
      <c r="M7" s="30"/>
      <c r="N7" s="37"/>
      <c r="O7" s="30"/>
      <c r="P7" s="37"/>
    </row>
    <row r="8" spans="1:16" ht="38.25" customHeight="1" x14ac:dyDescent="0.3">
      <c r="A8" s="56" t="s">
        <v>37</v>
      </c>
      <c r="B8" s="57">
        <f t="shared" ref="B8:P8" si="3">SUM(B9:B23)</f>
        <v>2</v>
      </c>
      <c r="C8" s="57">
        <f t="shared" si="3"/>
        <v>15</v>
      </c>
      <c r="D8" s="57">
        <f t="shared" si="3"/>
        <v>8</v>
      </c>
      <c r="E8" s="57">
        <f t="shared" si="3"/>
        <v>8</v>
      </c>
      <c r="F8" s="57">
        <f t="shared" si="3"/>
        <v>0</v>
      </c>
      <c r="G8" s="57">
        <f t="shared" si="3"/>
        <v>4</v>
      </c>
      <c r="H8" s="57">
        <f t="shared" si="3"/>
        <v>3</v>
      </c>
      <c r="I8" s="57">
        <f t="shared" si="3"/>
        <v>0</v>
      </c>
      <c r="J8" s="57">
        <f t="shared" si="3"/>
        <v>1</v>
      </c>
      <c r="K8" s="57">
        <f t="shared" si="3"/>
        <v>2</v>
      </c>
      <c r="L8" s="57">
        <f t="shared" si="3"/>
        <v>2</v>
      </c>
      <c r="M8" s="57">
        <f t="shared" si="3"/>
        <v>1</v>
      </c>
      <c r="N8" s="57">
        <f t="shared" si="3"/>
        <v>1</v>
      </c>
      <c r="O8" s="57">
        <f t="shared" si="3"/>
        <v>1</v>
      </c>
      <c r="P8" s="57">
        <f t="shared" si="3"/>
        <v>2</v>
      </c>
    </row>
    <row r="9" spans="1:16" ht="27" customHeight="1" x14ac:dyDescent="0.5">
      <c r="A9" s="36" t="s">
        <v>177</v>
      </c>
      <c r="B9" s="37"/>
      <c r="C9" s="30"/>
      <c r="D9" s="30"/>
      <c r="E9" s="30"/>
      <c r="F9" s="38"/>
      <c r="G9" s="38"/>
      <c r="H9" s="38"/>
      <c r="I9" s="30"/>
      <c r="J9" s="30"/>
      <c r="K9" s="30">
        <v>2</v>
      </c>
      <c r="L9" s="37">
        <v>2</v>
      </c>
      <c r="M9" s="30"/>
      <c r="N9" s="37"/>
      <c r="O9" s="30"/>
      <c r="P9" s="37"/>
    </row>
    <row r="10" spans="1:16" ht="27" customHeight="1" x14ac:dyDescent="0.5">
      <c r="A10" s="36" t="s">
        <v>179</v>
      </c>
      <c r="B10" s="37"/>
      <c r="C10" s="30"/>
      <c r="D10" s="30"/>
      <c r="E10" s="30">
        <v>2</v>
      </c>
      <c r="F10" s="38"/>
      <c r="G10" s="38"/>
      <c r="H10" s="38"/>
      <c r="I10" s="30"/>
      <c r="J10" s="30"/>
      <c r="K10" s="30"/>
      <c r="L10" s="37"/>
      <c r="M10" s="30"/>
      <c r="N10" s="37"/>
      <c r="O10" s="30"/>
      <c r="P10" s="37"/>
    </row>
    <row r="11" spans="1:16" ht="27" customHeight="1" x14ac:dyDescent="0.5">
      <c r="A11" s="36" t="s">
        <v>180</v>
      </c>
      <c r="B11" s="37"/>
      <c r="C11" s="30"/>
      <c r="D11" s="30">
        <v>8</v>
      </c>
      <c r="E11" s="30"/>
      <c r="F11" s="38"/>
      <c r="G11" s="38"/>
      <c r="H11" s="38"/>
      <c r="I11" s="30"/>
      <c r="J11" s="30"/>
      <c r="K11" s="30"/>
      <c r="L11" s="37"/>
      <c r="M11" s="30"/>
      <c r="N11" s="37"/>
      <c r="O11" s="30"/>
      <c r="P11" s="37"/>
    </row>
    <row r="12" spans="1:16" ht="27" customHeight="1" x14ac:dyDescent="0.5">
      <c r="A12" s="36" t="s">
        <v>181</v>
      </c>
      <c r="B12" s="37"/>
      <c r="C12" s="30"/>
      <c r="D12" s="30"/>
      <c r="E12" s="30"/>
      <c r="F12" s="38"/>
      <c r="G12" s="38"/>
      <c r="H12" s="38">
        <v>1</v>
      </c>
      <c r="I12" s="30"/>
      <c r="J12" s="30"/>
      <c r="K12" s="30"/>
      <c r="L12" s="37"/>
      <c r="M12" s="30"/>
      <c r="N12" s="37"/>
      <c r="O12" s="30"/>
      <c r="P12" s="37"/>
    </row>
    <row r="13" spans="1:16" ht="27" customHeight="1" x14ac:dyDescent="0.5">
      <c r="A13" s="36" t="s">
        <v>182</v>
      </c>
      <c r="B13" s="37"/>
      <c r="C13" s="30"/>
      <c r="D13" s="30"/>
      <c r="E13" s="30"/>
      <c r="F13" s="38"/>
      <c r="G13" s="38"/>
      <c r="H13" s="38">
        <v>1</v>
      </c>
      <c r="I13" s="30"/>
      <c r="J13" s="30"/>
      <c r="K13" s="30"/>
      <c r="L13" s="37"/>
      <c r="M13" s="30"/>
      <c r="N13" s="37"/>
      <c r="O13" s="30"/>
      <c r="P13" s="37"/>
    </row>
    <row r="14" spans="1:16" ht="27" customHeight="1" x14ac:dyDescent="0.5">
      <c r="A14" s="36" t="s">
        <v>183</v>
      </c>
      <c r="B14" s="37"/>
      <c r="C14" s="30"/>
      <c r="D14" s="30"/>
      <c r="E14" s="30"/>
      <c r="F14" s="38"/>
      <c r="G14" s="38"/>
      <c r="H14" s="38"/>
      <c r="I14" s="30"/>
      <c r="J14" s="30"/>
      <c r="K14" s="30"/>
      <c r="L14" s="37"/>
      <c r="M14" s="30">
        <v>1</v>
      </c>
      <c r="N14" s="37"/>
      <c r="O14" s="30"/>
      <c r="P14" s="37"/>
    </row>
    <row r="15" spans="1:16" ht="27" customHeight="1" x14ac:dyDescent="0.5">
      <c r="A15" s="36" t="s">
        <v>184</v>
      </c>
      <c r="B15" s="37"/>
      <c r="C15" s="30"/>
      <c r="D15" s="30"/>
      <c r="E15" s="30"/>
      <c r="F15" s="38"/>
      <c r="G15" s="38"/>
      <c r="H15" s="38"/>
      <c r="I15" s="30"/>
      <c r="J15" s="30">
        <v>1</v>
      </c>
      <c r="K15" s="30"/>
      <c r="L15" s="37"/>
      <c r="M15" s="30"/>
      <c r="N15" s="37"/>
      <c r="O15" s="30"/>
      <c r="P15" s="37"/>
    </row>
    <row r="16" spans="1:16" ht="27" customHeight="1" x14ac:dyDescent="0.5">
      <c r="A16" s="36" t="s">
        <v>185</v>
      </c>
      <c r="B16" s="37"/>
      <c r="C16" s="30"/>
      <c r="D16" s="30"/>
      <c r="E16" s="30"/>
      <c r="F16" s="38"/>
      <c r="G16" s="38"/>
      <c r="H16" s="38"/>
      <c r="I16" s="30"/>
      <c r="J16" s="30"/>
      <c r="K16" s="30"/>
      <c r="L16" s="37"/>
      <c r="M16" s="30"/>
      <c r="N16" s="37">
        <v>1</v>
      </c>
      <c r="O16" s="30">
        <v>1</v>
      </c>
      <c r="P16" s="37"/>
    </row>
    <row r="17" spans="1:16" ht="27" customHeight="1" x14ac:dyDescent="0.5">
      <c r="A17" s="36" t="s">
        <v>186</v>
      </c>
      <c r="B17" s="37"/>
      <c r="C17" s="30"/>
      <c r="D17" s="30"/>
      <c r="E17" s="30"/>
      <c r="F17" s="38"/>
      <c r="G17" s="38">
        <v>2</v>
      </c>
      <c r="H17" s="38"/>
      <c r="I17" s="30"/>
      <c r="J17" s="30"/>
      <c r="K17" s="30"/>
      <c r="L17" s="37"/>
      <c r="M17" s="30"/>
      <c r="N17" s="37"/>
      <c r="O17" s="30"/>
      <c r="P17" s="37"/>
    </row>
    <row r="18" spans="1:16" ht="27" customHeight="1" x14ac:dyDescent="0.5">
      <c r="A18" s="36" t="s">
        <v>187</v>
      </c>
      <c r="B18" s="37"/>
      <c r="C18" s="30"/>
      <c r="D18" s="30"/>
      <c r="E18" s="30"/>
      <c r="F18" s="38"/>
      <c r="G18" s="38"/>
      <c r="H18" s="38">
        <v>1</v>
      </c>
      <c r="I18" s="30"/>
      <c r="J18" s="30"/>
      <c r="K18" s="30"/>
      <c r="L18" s="37"/>
      <c r="M18" s="30"/>
      <c r="N18" s="37"/>
      <c r="O18" s="30"/>
      <c r="P18" s="37"/>
    </row>
    <row r="19" spans="1:16" ht="27" customHeight="1" x14ac:dyDescent="0.5">
      <c r="A19" s="36" t="s">
        <v>191</v>
      </c>
      <c r="B19" s="37">
        <v>2</v>
      </c>
      <c r="C19" s="30">
        <v>15</v>
      </c>
      <c r="D19" s="30"/>
      <c r="E19" s="30"/>
      <c r="F19" s="38"/>
      <c r="G19" s="38"/>
      <c r="H19" s="38"/>
      <c r="I19" s="30"/>
      <c r="J19" s="30"/>
      <c r="K19" s="30"/>
      <c r="L19" s="37"/>
      <c r="M19" s="30"/>
      <c r="N19" s="37"/>
      <c r="O19" s="30"/>
      <c r="P19" s="37">
        <v>2</v>
      </c>
    </row>
    <row r="20" spans="1:16" ht="27" customHeight="1" x14ac:dyDescent="0.5">
      <c r="A20" s="36" t="s">
        <v>193</v>
      </c>
      <c r="B20" s="37"/>
      <c r="C20" s="30"/>
      <c r="D20" s="30"/>
      <c r="E20" s="30"/>
      <c r="F20" s="38"/>
      <c r="G20" s="38">
        <v>1</v>
      </c>
      <c r="H20" s="38"/>
      <c r="I20" s="30"/>
      <c r="J20" s="30"/>
      <c r="K20" s="30"/>
      <c r="L20" s="37"/>
      <c r="M20" s="30"/>
      <c r="N20" s="37"/>
      <c r="O20" s="30"/>
      <c r="P20" s="37"/>
    </row>
    <row r="21" spans="1:16" ht="27" customHeight="1" x14ac:dyDescent="0.5">
      <c r="A21" s="36" t="s">
        <v>197</v>
      </c>
      <c r="B21" s="37"/>
      <c r="C21" s="30"/>
      <c r="D21" s="30"/>
      <c r="E21" s="30">
        <v>6</v>
      </c>
      <c r="F21" s="38"/>
      <c r="G21" s="38"/>
      <c r="H21" s="38"/>
      <c r="I21" s="30"/>
      <c r="J21" s="30"/>
      <c r="K21" s="30"/>
      <c r="L21" s="37"/>
      <c r="M21" s="30"/>
      <c r="N21" s="37"/>
      <c r="O21" s="30"/>
      <c r="P21" s="37"/>
    </row>
    <row r="22" spans="1:16" ht="27" customHeight="1" x14ac:dyDescent="0.5">
      <c r="A22" s="36" t="s">
        <v>196</v>
      </c>
      <c r="B22" s="37"/>
      <c r="C22" s="30"/>
      <c r="D22" s="30"/>
      <c r="E22" s="30"/>
      <c r="F22" s="38"/>
      <c r="G22" s="38">
        <v>1</v>
      </c>
      <c r="H22" s="38"/>
      <c r="I22" s="30"/>
      <c r="J22" s="30"/>
      <c r="K22" s="30"/>
      <c r="L22" s="37"/>
      <c r="M22" s="30"/>
      <c r="N22" s="37"/>
      <c r="O22" s="30"/>
      <c r="P22" s="37"/>
    </row>
  </sheetData>
  <mergeCells count="3">
    <mergeCell ref="C1:E1"/>
    <mergeCell ref="F1:H1"/>
    <mergeCell ref="I1:K1"/>
  </mergeCells>
  <phoneticPr fontId="3" type="noConversion"/>
  <pageMargins left="0.25" right="0.25" top="0.75" bottom="0.75" header="0.3" footer="0.3"/>
  <pageSetup paperSize="9" scale="4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5"/>
  <sheetViews>
    <sheetView view="pageBreakPreview" zoomScale="40" zoomScaleNormal="40" zoomScaleSheetLayoutView="4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ColWidth="9" defaultRowHeight="16.5" x14ac:dyDescent="0.3"/>
  <cols>
    <col min="1" max="1" width="50.875" style="4" customWidth="1"/>
    <col min="2" max="5" width="34.75" style="4" customWidth="1"/>
    <col min="6" max="16384" width="9" style="4"/>
  </cols>
  <sheetData>
    <row r="1" spans="1:5" ht="188.25" customHeight="1" x14ac:dyDescent="0.3">
      <c r="A1" s="98" t="s">
        <v>205</v>
      </c>
      <c r="B1" s="106" t="s">
        <v>202</v>
      </c>
      <c r="C1" s="107"/>
      <c r="D1" s="106" t="s">
        <v>203</v>
      </c>
      <c r="E1" s="107"/>
    </row>
    <row r="2" spans="1:5" ht="68.25" customHeight="1" x14ac:dyDescent="0.3">
      <c r="A2" s="98"/>
      <c r="B2" s="5" t="s">
        <v>201</v>
      </c>
      <c r="C2" s="5" t="s">
        <v>204</v>
      </c>
      <c r="D2" s="5" t="s">
        <v>201</v>
      </c>
      <c r="E2" s="5" t="s">
        <v>204</v>
      </c>
    </row>
    <row r="3" spans="1:5" ht="68.25" customHeight="1" x14ac:dyDescent="0.3">
      <c r="A3" s="99"/>
      <c r="B3" s="5" t="s">
        <v>199</v>
      </c>
      <c r="C3" s="5" t="s">
        <v>199</v>
      </c>
      <c r="D3" s="5" t="s">
        <v>199</v>
      </c>
      <c r="E3" s="5" t="s">
        <v>199</v>
      </c>
    </row>
    <row r="4" spans="1:5" ht="110.25" customHeight="1" x14ac:dyDescent="0.3">
      <c r="A4" s="7"/>
      <c r="B4" s="8">
        <f>SUM(B5:B5)</f>
        <v>1</v>
      </c>
      <c r="C4" s="8">
        <f>SUM(C5:C5)</f>
        <v>1</v>
      </c>
      <c r="D4" s="8">
        <f>SUM(D5:D5)</f>
        <v>1</v>
      </c>
      <c r="E4" s="8">
        <f>SUM(E5:E5)</f>
        <v>1</v>
      </c>
    </row>
    <row r="5" spans="1:5" ht="92.25" customHeight="1" x14ac:dyDescent="0.3">
      <c r="A5" s="10" t="s">
        <v>200</v>
      </c>
      <c r="B5" s="63">
        <v>1</v>
      </c>
      <c r="C5" s="63">
        <v>1</v>
      </c>
      <c r="D5" s="63">
        <v>1</v>
      </c>
      <c r="E5" s="63">
        <v>1</v>
      </c>
    </row>
  </sheetData>
  <mergeCells count="3">
    <mergeCell ref="A1:A3"/>
    <mergeCell ref="B1:C1"/>
    <mergeCell ref="D1:E1"/>
  </mergeCells>
  <phoneticPr fontId="3" type="noConversion"/>
  <conditionalFormatting sqref="A5">
    <cfRule type="duplicateValues" dxfId="30" priority="1"/>
  </conditionalFormatting>
  <pageMargins left="1" right="1" top="1" bottom="1" header="0.5" footer="0.5"/>
  <pageSetup paperSize="9" scale="3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13"/>
  <sheetViews>
    <sheetView view="pageBreakPreview" zoomScale="40" zoomScaleNormal="40" zoomScaleSheetLayoutView="40" workbookViewId="0">
      <pane xSplit="1" ySplit="4" topLeftCell="B5" activePane="bottomRight" state="frozen"/>
      <selection pane="topRight"/>
      <selection pane="bottomLeft"/>
      <selection pane="bottomRight" activeCell="G5" sqref="G5"/>
    </sheetView>
  </sheetViews>
  <sheetFormatPr defaultColWidth="9" defaultRowHeight="16.5" x14ac:dyDescent="0.3"/>
  <cols>
    <col min="1" max="1" width="50.875" style="4" customWidth="1"/>
    <col min="2" max="7" width="26.875" style="4" customWidth="1"/>
    <col min="8" max="9" width="24.5" style="4" customWidth="1"/>
    <col min="10" max="16384" width="9" style="4"/>
  </cols>
  <sheetData>
    <row r="1" spans="1:9" ht="265.5" customHeight="1" x14ac:dyDescent="0.3">
      <c r="A1" s="98" t="s">
        <v>206</v>
      </c>
      <c r="B1" s="1" t="s">
        <v>0</v>
      </c>
      <c r="C1" s="1" t="s">
        <v>1</v>
      </c>
      <c r="D1" s="1" t="s">
        <v>1</v>
      </c>
      <c r="E1" s="2" t="s">
        <v>2</v>
      </c>
      <c r="F1" s="1" t="s">
        <v>3</v>
      </c>
      <c r="G1" s="1" t="s">
        <v>4</v>
      </c>
      <c r="H1" s="3"/>
      <c r="I1" s="3"/>
    </row>
    <row r="2" spans="1:9" ht="68.25" customHeight="1" x14ac:dyDescent="0.3">
      <c r="A2" s="98"/>
      <c r="B2" s="5" t="s">
        <v>5</v>
      </c>
      <c r="C2" s="5" t="s">
        <v>6</v>
      </c>
      <c r="D2" s="5" t="s">
        <v>7</v>
      </c>
      <c r="E2" s="6" t="s">
        <v>6</v>
      </c>
      <c r="F2" s="5" t="s">
        <v>8</v>
      </c>
      <c r="G2" s="5" t="s">
        <v>9</v>
      </c>
      <c r="H2" s="3"/>
      <c r="I2" s="3"/>
    </row>
    <row r="3" spans="1:9" ht="68.25" customHeight="1" x14ac:dyDescent="0.3">
      <c r="A3" s="99"/>
      <c r="B3" s="5" t="s">
        <v>10</v>
      </c>
      <c r="C3" s="5" t="s">
        <v>10</v>
      </c>
      <c r="D3" s="5" t="s">
        <v>10</v>
      </c>
      <c r="E3" s="6" t="s">
        <v>10</v>
      </c>
      <c r="F3" s="5" t="s">
        <v>10</v>
      </c>
      <c r="G3" s="5" t="s">
        <v>10</v>
      </c>
      <c r="H3" s="3"/>
      <c r="I3" s="3"/>
    </row>
    <row r="4" spans="1:9" ht="110.25" customHeight="1" x14ac:dyDescent="0.3">
      <c r="A4" s="7"/>
      <c r="B4" s="8">
        <f t="shared" ref="B4:E4" si="0">SUM(B5:B7)</f>
        <v>110</v>
      </c>
      <c r="C4" s="8">
        <f t="shared" si="0"/>
        <v>56</v>
      </c>
      <c r="D4" s="8">
        <f t="shared" si="0"/>
        <v>176</v>
      </c>
      <c r="E4" s="8">
        <f t="shared" si="0"/>
        <v>68</v>
      </c>
      <c r="F4" s="8">
        <f>SUM(F5:F7)</f>
        <v>60</v>
      </c>
      <c r="G4" s="8">
        <f>SUM(G5:G7)</f>
        <v>0</v>
      </c>
      <c r="H4" s="9"/>
      <c r="I4" s="9"/>
    </row>
    <row r="5" spans="1:9" ht="92.25" customHeight="1" x14ac:dyDescent="0.3">
      <c r="A5" s="10" t="s">
        <v>11</v>
      </c>
      <c r="B5" s="11">
        <v>60</v>
      </c>
      <c r="C5" s="12">
        <v>8</v>
      </c>
      <c r="D5" s="12">
        <v>96</v>
      </c>
      <c r="E5" s="12">
        <v>16</v>
      </c>
      <c r="F5" s="12">
        <v>20</v>
      </c>
      <c r="G5" s="12"/>
      <c r="H5" s="9"/>
      <c r="I5" s="9"/>
    </row>
    <row r="6" spans="1:9" ht="92.25" customHeight="1" x14ac:dyDescent="0.3">
      <c r="A6" s="10" t="s">
        <v>12</v>
      </c>
      <c r="B6" s="11">
        <v>30</v>
      </c>
      <c r="C6" s="12">
        <v>28</v>
      </c>
      <c r="D6" s="12">
        <v>16</v>
      </c>
      <c r="E6" s="12">
        <v>20</v>
      </c>
      <c r="F6" s="12">
        <v>20</v>
      </c>
      <c r="G6" s="12"/>
      <c r="H6" s="9"/>
      <c r="I6" s="9"/>
    </row>
    <row r="7" spans="1:9" ht="92.25" customHeight="1" x14ac:dyDescent="0.3">
      <c r="A7" s="10" t="s">
        <v>13</v>
      </c>
      <c r="B7" s="11">
        <v>20</v>
      </c>
      <c r="C7" s="12">
        <f>12+8</f>
        <v>20</v>
      </c>
      <c r="D7" s="12">
        <v>64</v>
      </c>
      <c r="E7" s="12">
        <f>24+8</f>
        <v>32</v>
      </c>
      <c r="F7" s="12">
        <v>20</v>
      </c>
      <c r="G7" s="12"/>
      <c r="H7" s="13"/>
      <c r="I7" s="13"/>
    </row>
    <row r="8" spans="1:9" ht="27" customHeight="1" x14ac:dyDescent="0.3">
      <c r="B8" s="14"/>
      <c r="C8" s="14"/>
      <c r="D8" s="14"/>
      <c r="E8" s="14"/>
      <c r="F8" s="14"/>
      <c r="G8" s="14"/>
      <c r="H8" s="15"/>
      <c r="I8" s="15"/>
    </row>
    <row r="9" spans="1:9" ht="27" customHeight="1" x14ac:dyDescent="0.3">
      <c r="A9" s="16"/>
      <c r="H9" s="3"/>
      <c r="I9" s="3"/>
    </row>
    <row r="10" spans="1:9" ht="110.25" customHeight="1" x14ac:dyDescent="0.3">
      <c r="A10" s="17"/>
      <c r="B10" s="18" t="s">
        <v>14</v>
      </c>
      <c r="C10" s="18" t="s">
        <v>15</v>
      </c>
      <c r="D10" s="18" t="s">
        <v>16</v>
      </c>
      <c r="E10" s="18" t="s">
        <v>17</v>
      </c>
      <c r="F10" s="19" t="s">
        <v>18</v>
      </c>
      <c r="G10" s="18" t="s">
        <v>19</v>
      </c>
      <c r="H10" s="3"/>
      <c r="I10" s="3"/>
    </row>
    <row r="11" spans="1:9" ht="84" customHeight="1" x14ac:dyDescent="0.3">
      <c r="A11" s="10" t="s">
        <v>11</v>
      </c>
      <c r="B11" s="20">
        <f>B5/10</f>
        <v>6</v>
      </c>
      <c r="C11" s="20">
        <f>C5/4</f>
        <v>2</v>
      </c>
      <c r="D11" s="20">
        <f>D5/16</f>
        <v>6</v>
      </c>
      <c r="E11" s="20">
        <f>E5/4</f>
        <v>4</v>
      </c>
      <c r="F11" s="20">
        <f>F5/20</f>
        <v>1</v>
      </c>
      <c r="G11" s="20"/>
      <c r="H11" s="21">
        <f>SUM(B11:G11)</f>
        <v>19</v>
      </c>
      <c r="I11" s="21" t="s">
        <v>176</v>
      </c>
    </row>
    <row r="12" spans="1:9" ht="84" customHeight="1" x14ac:dyDescent="0.3">
      <c r="A12" s="10" t="s">
        <v>12</v>
      </c>
      <c r="B12" s="20">
        <f>B6/10</f>
        <v>3</v>
      </c>
      <c r="C12" s="20">
        <f>C6/4</f>
        <v>7</v>
      </c>
      <c r="D12" s="20">
        <f>D6/16</f>
        <v>1</v>
      </c>
      <c r="E12" s="20">
        <f>E6/4</f>
        <v>5</v>
      </c>
      <c r="F12" s="20">
        <f>F6/20</f>
        <v>1</v>
      </c>
      <c r="G12" s="20"/>
      <c r="H12" s="21">
        <f t="shared" ref="H12:H13" si="1">SUM(B12:G12)</f>
        <v>17</v>
      </c>
      <c r="I12" s="21" t="s">
        <v>176</v>
      </c>
    </row>
    <row r="13" spans="1:9" ht="84" customHeight="1" x14ac:dyDescent="0.3">
      <c r="A13" s="10" t="s">
        <v>13</v>
      </c>
      <c r="B13" s="20">
        <f>B7/10</f>
        <v>2</v>
      </c>
      <c r="C13" s="20">
        <f>C7/4</f>
        <v>5</v>
      </c>
      <c r="D13" s="20">
        <f>D7/16</f>
        <v>4</v>
      </c>
      <c r="E13" s="20">
        <f>E7/4</f>
        <v>8</v>
      </c>
      <c r="F13" s="20">
        <f>F7/20</f>
        <v>1</v>
      </c>
      <c r="G13" s="20"/>
      <c r="H13" s="21">
        <f t="shared" si="1"/>
        <v>20</v>
      </c>
      <c r="I13" s="21" t="s">
        <v>176</v>
      </c>
    </row>
  </sheetData>
  <mergeCells count="1">
    <mergeCell ref="A1:A3"/>
  </mergeCells>
  <phoneticPr fontId="3" type="noConversion"/>
  <conditionalFormatting sqref="A5">
    <cfRule type="duplicateValues" dxfId="29" priority="4"/>
  </conditionalFormatting>
  <conditionalFormatting sqref="A6">
    <cfRule type="duplicateValues" dxfId="28" priority="5"/>
  </conditionalFormatting>
  <conditionalFormatting sqref="A7">
    <cfRule type="duplicateValues" dxfId="27" priority="2"/>
  </conditionalFormatting>
  <conditionalFormatting sqref="A11">
    <cfRule type="duplicateValues" dxfId="26" priority="3"/>
  </conditionalFormatting>
  <conditionalFormatting sqref="A12">
    <cfRule type="duplicateValues" dxfId="25" priority="6"/>
  </conditionalFormatting>
  <conditionalFormatting sqref="A13">
    <cfRule type="duplicateValues" dxfId="24" priority="1"/>
  </conditionalFormatting>
  <pageMargins left="0.25" right="0.25" top="0.75" bottom="0.75" header="0.30000001192092896" footer="0.30000001192092896"/>
  <pageSetup paperSize="9" scale="3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R34"/>
  <sheetViews>
    <sheetView view="pageBreakPreview" zoomScale="55" zoomScaleNormal="55" zoomScaleSheetLayoutView="5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19" sqref="I19"/>
    </sheetView>
  </sheetViews>
  <sheetFormatPr defaultColWidth="9" defaultRowHeight="16.5" x14ac:dyDescent="0.3"/>
  <cols>
    <col min="1" max="1" width="32.625" style="4" customWidth="1"/>
    <col min="2" max="2" width="16.25" style="4" customWidth="1"/>
    <col min="3" max="3" width="16.25" style="39" customWidth="1"/>
    <col min="4" max="4" width="17.5" style="4" customWidth="1"/>
    <col min="5" max="6" width="9.875" style="4" customWidth="1"/>
    <col min="7" max="7" width="16.625" style="4" customWidth="1"/>
    <col min="8" max="8" width="16.625" style="39" customWidth="1"/>
    <col min="9" max="9" width="16.625" style="4" customWidth="1"/>
    <col min="10" max="10" width="16.625" style="39" customWidth="1"/>
    <col min="11" max="11" width="16.625" style="4" customWidth="1"/>
    <col min="12" max="12" width="16.625" style="39" customWidth="1"/>
    <col min="13" max="13" width="16.625" style="4" customWidth="1"/>
    <col min="14" max="14" width="16.625" style="39" customWidth="1"/>
    <col min="15" max="15" width="16.625" style="4" customWidth="1"/>
    <col min="16" max="16" width="16.625" style="39" customWidth="1"/>
    <col min="17" max="17" width="16.625" style="4" customWidth="1"/>
    <col min="18" max="18" width="16.625" style="39" customWidth="1"/>
    <col min="19" max="16384" width="9" style="4"/>
  </cols>
  <sheetData>
    <row r="1" spans="1:18" ht="144" customHeight="1" x14ac:dyDescent="0.3">
      <c r="A1" s="22" t="s">
        <v>198</v>
      </c>
      <c r="B1" s="65" t="s">
        <v>231</v>
      </c>
      <c r="C1" s="62" t="s">
        <v>22</v>
      </c>
      <c r="D1" s="67" t="s">
        <v>23</v>
      </c>
      <c r="E1" s="100" t="s">
        <v>24</v>
      </c>
      <c r="F1" s="102"/>
      <c r="G1" s="67" t="s">
        <v>25</v>
      </c>
      <c r="H1" s="64" t="s">
        <v>60</v>
      </c>
      <c r="I1" s="65" t="s">
        <v>234</v>
      </c>
      <c r="J1" s="64" t="s">
        <v>235</v>
      </c>
      <c r="K1" s="65" t="s">
        <v>236</v>
      </c>
      <c r="L1" s="64" t="s">
        <v>237</v>
      </c>
      <c r="M1" s="65" t="s">
        <v>238</v>
      </c>
      <c r="N1" s="64" t="s">
        <v>239</v>
      </c>
      <c r="O1" s="65" t="s">
        <v>233</v>
      </c>
      <c r="P1" s="66" t="s">
        <v>243</v>
      </c>
      <c r="Q1" s="67" t="s">
        <v>247</v>
      </c>
      <c r="R1" s="66" t="s">
        <v>244</v>
      </c>
    </row>
    <row r="2" spans="1:18" ht="45" customHeight="1" x14ac:dyDescent="0.3">
      <c r="A2" s="25" t="s">
        <v>29</v>
      </c>
      <c r="B2" s="27"/>
      <c r="C2" s="26"/>
      <c r="D2" s="27"/>
      <c r="E2" s="29"/>
      <c r="F2" s="29"/>
      <c r="G2" s="27"/>
      <c r="H2" s="26"/>
      <c r="I2" s="27"/>
      <c r="J2" s="26"/>
      <c r="K2" s="27"/>
      <c r="L2" s="26"/>
      <c r="M2" s="27"/>
      <c r="N2" s="26"/>
      <c r="O2" s="27"/>
      <c r="P2" s="26"/>
      <c r="Q2" s="27"/>
      <c r="R2" s="26"/>
    </row>
    <row r="3" spans="1:18" ht="38.25" customHeight="1" x14ac:dyDescent="0.3">
      <c r="A3" s="31" t="s">
        <v>31</v>
      </c>
      <c r="B3" s="33" t="s">
        <v>232</v>
      </c>
      <c r="C3" s="32" t="s">
        <v>232</v>
      </c>
      <c r="D3" s="33" t="s">
        <v>33</v>
      </c>
      <c r="E3" s="32" t="s">
        <v>32</v>
      </c>
      <c r="F3" s="32" t="s">
        <v>33</v>
      </c>
      <c r="G3" s="33" t="s">
        <v>34</v>
      </c>
      <c r="H3" s="32" t="s">
        <v>35</v>
      </c>
      <c r="I3" s="33" t="s">
        <v>240</v>
      </c>
      <c r="J3" s="32" t="s">
        <v>241</v>
      </c>
      <c r="K3" s="33" t="s">
        <v>241</v>
      </c>
      <c r="L3" s="32" t="s">
        <v>241</v>
      </c>
      <c r="M3" s="33" t="s">
        <v>241</v>
      </c>
      <c r="N3" s="32" t="s">
        <v>241</v>
      </c>
      <c r="O3" s="33" t="s">
        <v>241</v>
      </c>
      <c r="P3" s="32" t="s">
        <v>242</v>
      </c>
      <c r="Q3" s="33" t="s">
        <v>246</v>
      </c>
      <c r="R3" s="32" t="s">
        <v>245</v>
      </c>
    </row>
    <row r="4" spans="1:18" ht="38.25" customHeight="1" x14ac:dyDescent="0.3">
      <c r="A4" s="34" t="s">
        <v>37</v>
      </c>
      <c r="B4" s="35">
        <f t="shared" ref="B4:R4" si="0">SUM(B5:B34)</f>
        <v>1</v>
      </c>
      <c r="C4" s="35">
        <f t="shared" si="0"/>
        <v>2</v>
      </c>
      <c r="D4" s="35">
        <f t="shared" si="0"/>
        <v>5</v>
      </c>
      <c r="E4" s="35">
        <f t="shared" si="0"/>
        <v>1</v>
      </c>
      <c r="F4" s="35">
        <f t="shared" si="0"/>
        <v>30</v>
      </c>
      <c r="G4" s="35">
        <f t="shared" si="0"/>
        <v>3</v>
      </c>
      <c r="H4" s="35">
        <f t="shared" si="0"/>
        <v>2</v>
      </c>
      <c r="I4" s="35">
        <f t="shared" si="0"/>
        <v>4</v>
      </c>
      <c r="J4" s="35">
        <f t="shared" si="0"/>
        <v>3</v>
      </c>
      <c r="K4" s="35">
        <f t="shared" si="0"/>
        <v>7</v>
      </c>
      <c r="L4" s="35">
        <f t="shared" si="0"/>
        <v>6</v>
      </c>
      <c r="M4" s="35">
        <f t="shared" si="0"/>
        <v>1</v>
      </c>
      <c r="N4" s="35">
        <f t="shared" si="0"/>
        <v>1</v>
      </c>
      <c r="O4" s="35">
        <f t="shared" si="0"/>
        <v>1</v>
      </c>
      <c r="P4" s="35">
        <f t="shared" si="0"/>
        <v>2</v>
      </c>
      <c r="Q4" s="35">
        <f t="shared" si="0"/>
        <v>1</v>
      </c>
      <c r="R4" s="35">
        <f t="shared" si="0"/>
        <v>7</v>
      </c>
    </row>
    <row r="5" spans="1:18" ht="27" customHeight="1" x14ac:dyDescent="0.5">
      <c r="A5" s="36" t="s">
        <v>207</v>
      </c>
      <c r="B5" s="30"/>
      <c r="C5" s="37"/>
      <c r="D5" s="30"/>
      <c r="E5" s="38"/>
      <c r="F5" s="38"/>
      <c r="G5" s="30"/>
      <c r="H5" s="37"/>
      <c r="I5" s="30"/>
      <c r="J5" s="37"/>
      <c r="K5" s="30"/>
      <c r="L5" s="37"/>
      <c r="M5" s="30"/>
      <c r="N5" s="37"/>
      <c r="O5" s="30"/>
      <c r="P5" s="37"/>
      <c r="Q5" s="30"/>
      <c r="R5" s="37">
        <v>3</v>
      </c>
    </row>
    <row r="6" spans="1:18" ht="27" customHeight="1" x14ac:dyDescent="0.5">
      <c r="A6" s="36" t="s">
        <v>208</v>
      </c>
      <c r="B6" s="30"/>
      <c r="C6" s="37"/>
      <c r="D6" s="30">
        <v>1</v>
      </c>
      <c r="E6" s="38"/>
      <c r="F6" s="38"/>
      <c r="G6" s="30"/>
      <c r="H6" s="37"/>
      <c r="I6" s="30"/>
      <c r="J6" s="37"/>
      <c r="K6" s="30"/>
      <c r="L6" s="37"/>
      <c r="M6" s="30"/>
      <c r="N6" s="37"/>
      <c r="O6" s="30"/>
      <c r="P6" s="37"/>
      <c r="Q6" s="30"/>
      <c r="R6" s="37"/>
    </row>
    <row r="7" spans="1:18" ht="27" customHeight="1" x14ac:dyDescent="0.5">
      <c r="A7" s="36" t="s">
        <v>209</v>
      </c>
      <c r="B7" s="30"/>
      <c r="C7" s="37"/>
      <c r="D7" s="30">
        <v>1</v>
      </c>
      <c r="E7" s="38"/>
      <c r="F7" s="38"/>
      <c r="G7" s="30"/>
      <c r="H7" s="37"/>
      <c r="I7" s="30"/>
      <c r="J7" s="37"/>
      <c r="K7" s="30"/>
      <c r="L7" s="37"/>
      <c r="M7" s="30"/>
      <c r="N7" s="37"/>
      <c r="O7" s="30"/>
      <c r="P7" s="37"/>
      <c r="Q7" s="30"/>
      <c r="R7" s="37"/>
    </row>
    <row r="8" spans="1:18" ht="27" customHeight="1" x14ac:dyDescent="0.5">
      <c r="A8" s="36" t="s">
        <v>210</v>
      </c>
      <c r="B8" s="30"/>
      <c r="C8" s="37"/>
      <c r="D8" s="30">
        <v>1</v>
      </c>
      <c r="E8" s="38"/>
      <c r="F8" s="38"/>
      <c r="G8" s="30"/>
      <c r="H8" s="37"/>
      <c r="I8" s="30"/>
      <c r="J8" s="37"/>
      <c r="K8" s="30"/>
      <c r="L8" s="37"/>
      <c r="M8" s="30"/>
      <c r="N8" s="37"/>
      <c r="O8" s="30"/>
      <c r="P8" s="37"/>
      <c r="Q8" s="30"/>
      <c r="R8" s="37"/>
    </row>
    <row r="9" spans="1:18" ht="27" customHeight="1" x14ac:dyDescent="0.5">
      <c r="A9" s="36" t="s">
        <v>211</v>
      </c>
      <c r="B9" s="30"/>
      <c r="C9" s="37"/>
      <c r="D9" s="30"/>
      <c r="E9" s="38"/>
      <c r="F9" s="38"/>
      <c r="G9" s="30"/>
      <c r="H9" s="37"/>
      <c r="I9" s="30"/>
      <c r="J9" s="37"/>
      <c r="K9" s="30"/>
      <c r="L9" s="37"/>
      <c r="M9" s="30"/>
      <c r="N9" s="37"/>
      <c r="O9" s="30"/>
      <c r="P9" s="37"/>
      <c r="Q9" s="30"/>
      <c r="R9" s="37">
        <v>2</v>
      </c>
    </row>
    <row r="10" spans="1:18" ht="27" customHeight="1" x14ac:dyDescent="0.5">
      <c r="A10" s="36" t="s">
        <v>212</v>
      </c>
      <c r="B10" s="30"/>
      <c r="C10" s="37"/>
      <c r="D10" s="30"/>
      <c r="E10" s="38"/>
      <c r="F10" s="38"/>
      <c r="G10" s="30"/>
      <c r="H10" s="37"/>
      <c r="I10" s="30"/>
      <c r="J10" s="37"/>
      <c r="K10" s="30"/>
      <c r="L10" s="37"/>
      <c r="M10" s="30"/>
      <c r="N10" s="37"/>
      <c r="O10" s="30"/>
      <c r="P10" s="37"/>
      <c r="Q10" s="30"/>
      <c r="R10" s="37">
        <v>2</v>
      </c>
    </row>
    <row r="11" spans="1:18" ht="27" customHeight="1" x14ac:dyDescent="0.5">
      <c r="A11" s="36" t="s">
        <v>213</v>
      </c>
      <c r="B11" s="30"/>
      <c r="C11" s="37"/>
      <c r="D11" s="30"/>
      <c r="E11" s="38"/>
      <c r="F11" s="38"/>
      <c r="G11" s="30"/>
      <c r="H11" s="37"/>
      <c r="I11" s="30"/>
      <c r="J11" s="37"/>
      <c r="K11" s="30"/>
      <c r="L11" s="37">
        <v>2</v>
      </c>
      <c r="M11" s="30"/>
      <c r="N11" s="37"/>
      <c r="O11" s="30"/>
      <c r="P11" s="37"/>
      <c r="Q11" s="30"/>
      <c r="R11" s="37"/>
    </row>
    <row r="12" spans="1:18" ht="27" customHeight="1" x14ac:dyDescent="0.5">
      <c r="A12" s="36" t="s">
        <v>214</v>
      </c>
      <c r="B12" s="30"/>
      <c r="C12" s="37"/>
      <c r="D12" s="30"/>
      <c r="E12" s="38"/>
      <c r="F12" s="38"/>
      <c r="G12" s="30"/>
      <c r="H12" s="37"/>
      <c r="I12" s="30"/>
      <c r="J12" s="37"/>
      <c r="K12" s="30"/>
      <c r="L12" s="37">
        <v>3</v>
      </c>
      <c r="M12" s="30"/>
      <c r="N12" s="37"/>
      <c r="O12" s="30"/>
      <c r="P12" s="37"/>
      <c r="Q12" s="30"/>
      <c r="R12" s="37"/>
    </row>
    <row r="13" spans="1:18" ht="27" customHeight="1" x14ac:dyDescent="0.5">
      <c r="A13" s="36" t="s">
        <v>215</v>
      </c>
      <c r="B13" s="30"/>
      <c r="C13" s="37"/>
      <c r="D13" s="30">
        <v>1</v>
      </c>
      <c r="E13" s="38"/>
      <c r="F13" s="38"/>
      <c r="G13" s="30"/>
      <c r="H13" s="37"/>
      <c r="I13" s="30"/>
      <c r="J13" s="37"/>
      <c r="K13" s="30"/>
      <c r="L13" s="37"/>
      <c r="M13" s="30"/>
      <c r="N13" s="37"/>
      <c r="O13" s="30"/>
      <c r="P13" s="37"/>
      <c r="Q13" s="30"/>
      <c r="R13" s="37"/>
    </row>
    <row r="14" spans="1:18" ht="27" customHeight="1" x14ac:dyDescent="0.5">
      <c r="A14" s="36" t="s">
        <v>216</v>
      </c>
      <c r="B14" s="30"/>
      <c r="C14" s="37"/>
      <c r="D14" s="30"/>
      <c r="E14" s="38"/>
      <c r="F14" s="38">
        <v>1</v>
      </c>
      <c r="G14" s="30"/>
      <c r="H14" s="37"/>
      <c r="I14" s="30"/>
      <c r="J14" s="37"/>
      <c r="K14" s="30"/>
      <c r="L14" s="37"/>
      <c r="M14" s="30"/>
      <c r="N14" s="37"/>
      <c r="O14" s="30"/>
      <c r="P14" s="37"/>
      <c r="Q14" s="30"/>
      <c r="R14" s="37"/>
    </row>
    <row r="15" spans="1:18" ht="27" customHeight="1" x14ac:dyDescent="0.5">
      <c r="A15" s="36" t="s">
        <v>217</v>
      </c>
      <c r="B15" s="30"/>
      <c r="C15" s="37"/>
      <c r="D15" s="30"/>
      <c r="E15" s="38"/>
      <c r="F15" s="38"/>
      <c r="G15" s="30"/>
      <c r="H15" s="37"/>
      <c r="I15" s="30">
        <v>1</v>
      </c>
      <c r="J15" s="37"/>
      <c r="K15" s="30"/>
      <c r="L15" s="37"/>
      <c r="M15" s="30"/>
      <c r="N15" s="37"/>
      <c r="O15" s="30"/>
      <c r="P15" s="37">
        <v>2</v>
      </c>
      <c r="Q15" s="30"/>
      <c r="R15" s="37"/>
    </row>
    <row r="16" spans="1:18" ht="27" customHeight="1" x14ac:dyDescent="0.5">
      <c r="A16" s="36" t="s">
        <v>218</v>
      </c>
      <c r="B16" s="30"/>
      <c r="C16" s="37"/>
      <c r="D16" s="30"/>
      <c r="E16" s="38"/>
      <c r="F16" s="38">
        <v>1</v>
      </c>
      <c r="G16" s="30"/>
      <c r="H16" s="37"/>
      <c r="I16" s="30"/>
      <c r="J16" s="37"/>
      <c r="K16" s="30"/>
      <c r="L16" s="37"/>
      <c r="M16" s="30"/>
      <c r="N16" s="37"/>
      <c r="O16" s="30"/>
      <c r="P16" s="37"/>
      <c r="Q16" s="30"/>
      <c r="R16" s="37"/>
    </row>
    <row r="17" spans="1:18" ht="27" customHeight="1" x14ac:dyDescent="0.5">
      <c r="A17" s="36" t="s">
        <v>219</v>
      </c>
      <c r="B17" s="30"/>
      <c r="C17" s="37"/>
      <c r="D17" s="30"/>
      <c r="E17" s="38">
        <v>1</v>
      </c>
      <c r="F17" s="38"/>
      <c r="G17" s="30"/>
      <c r="H17" s="37"/>
      <c r="I17" s="30"/>
      <c r="J17" s="37"/>
      <c r="K17" s="30"/>
      <c r="L17" s="37"/>
      <c r="M17" s="30"/>
      <c r="N17" s="37"/>
      <c r="O17" s="30"/>
      <c r="P17" s="37"/>
      <c r="Q17" s="30"/>
      <c r="R17" s="37"/>
    </row>
    <row r="18" spans="1:18" ht="27" customHeight="1" x14ac:dyDescent="0.5">
      <c r="A18" s="36" t="s">
        <v>220</v>
      </c>
      <c r="B18" s="30"/>
      <c r="C18" s="37"/>
      <c r="D18" s="30"/>
      <c r="E18" s="38"/>
      <c r="F18" s="38">
        <v>1</v>
      </c>
      <c r="G18" s="30"/>
      <c r="H18" s="37"/>
      <c r="I18" s="30"/>
      <c r="J18" s="37"/>
      <c r="K18" s="30"/>
      <c r="L18" s="37"/>
      <c r="M18" s="30"/>
      <c r="N18" s="37"/>
      <c r="O18" s="30"/>
      <c r="P18" s="37"/>
      <c r="Q18" s="30"/>
      <c r="R18" s="37"/>
    </row>
    <row r="19" spans="1:18" ht="27" customHeight="1" x14ac:dyDescent="0.5">
      <c r="A19" s="36" t="s">
        <v>221</v>
      </c>
      <c r="B19" s="30"/>
      <c r="C19" s="37"/>
      <c r="D19" s="30"/>
      <c r="E19" s="38"/>
      <c r="F19" s="38"/>
      <c r="G19" s="30"/>
      <c r="H19" s="37"/>
      <c r="I19" s="30"/>
      <c r="J19" s="37">
        <v>2</v>
      </c>
      <c r="K19" s="30">
        <v>2</v>
      </c>
      <c r="L19" s="37"/>
      <c r="M19" s="30"/>
      <c r="N19" s="37"/>
      <c r="O19" s="30"/>
      <c r="P19" s="37"/>
      <c r="Q19" s="30"/>
      <c r="R19" s="37"/>
    </row>
    <row r="20" spans="1:18" ht="27" customHeight="1" x14ac:dyDescent="0.5">
      <c r="A20" s="36" t="s">
        <v>222</v>
      </c>
      <c r="B20" s="30">
        <v>1</v>
      </c>
      <c r="C20" s="37">
        <v>1</v>
      </c>
      <c r="D20" s="30"/>
      <c r="E20" s="38"/>
      <c r="F20" s="38"/>
      <c r="G20" s="30"/>
      <c r="H20" s="37">
        <v>1</v>
      </c>
      <c r="I20" s="30"/>
      <c r="J20" s="37">
        <v>1</v>
      </c>
      <c r="K20" s="30"/>
      <c r="L20" s="37"/>
      <c r="M20" s="30">
        <v>1</v>
      </c>
      <c r="N20" s="37">
        <v>1</v>
      </c>
      <c r="O20" s="30">
        <v>1</v>
      </c>
      <c r="P20" s="37"/>
      <c r="Q20" s="30"/>
      <c r="R20" s="37"/>
    </row>
    <row r="21" spans="1:18" ht="27" customHeight="1" x14ac:dyDescent="0.5">
      <c r="A21" s="36" t="s">
        <v>223</v>
      </c>
      <c r="B21" s="30"/>
      <c r="C21" s="37"/>
      <c r="D21" s="30"/>
      <c r="E21" s="38"/>
      <c r="F21" s="38">
        <v>1</v>
      </c>
      <c r="G21" s="30"/>
      <c r="H21" s="37"/>
      <c r="I21" s="30"/>
      <c r="J21" s="37"/>
      <c r="K21" s="30"/>
      <c r="L21" s="37"/>
      <c r="M21" s="30"/>
      <c r="N21" s="37"/>
      <c r="O21" s="30"/>
      <c r="P21" s="37"/>
      <c r="Q21" s="30"/>
      <c r="R21" s="37"/>
    </row>
    <row r="22" spans="1:18" ht="27" customHeight="1" x14ac:dyDescent="0.5">
      <c r="A22" s="36" t="s">
        <v>224</v>
      </c>
      <c r="B22" s="30"/>
      <c r="C22" s="37"/>
      <c r="D22" s="30"/>
      <c r="E22" s="38"/>
      <c r="F22" s="38">
        <v>1</v>
      </c>
      <c r="G22" s="30"/>
      <c r="H22" s="37"/>
      <c r="I22" s="30"/>
      <c r="J22" s="37"/>
      <c r="K22" s="30"/>
      <c r="L22" s="37"/>
      <c r="M22" s="30"/>
      <c r="N22" s="37"/>
      <c r="O22" s="30"/>
      <c r="P22" s="37"/>
      <c r="Q22" s="30"/>
      <c r="R22" s="37"/>
    </row>
    <row r="23" spans="1:18" ht="27" customHeight="1" x14ac:dyDescent="0.5">
      <c r="A23" s="36" t="s">
        <v>225</v>
      </c>
      <c r="B23" s="30"/>
      <c r="C23" s="37"/>
      <c r="D23" s="30"/>
      <c r="E23" s="38"/>
      <c r="F23" s="38">
        <v>1</v>
      </c>
      <c r="G23" s="30"/>
      <c r="H23" s="37"/>
      <c r="I23" s="30"/>
      <c r="J23" s="37"/>
      <c r="K23" s="30"/>
      <c r="L23" s="37"/>
      <c r="M23" s="30"/>
      <c r="N23" s="37"/>
      <c r="O23" s="30"/>
      <c r="P23" s="37"/>
      <c r="Q23" s="30"/>
      <c r="R23" s="37"/>
    </row>
    <row r="24" spans="1:18" ht="27" customHeight="1" x14ac:dyDescent="0.5">
      <c r="A24" s="36" t="s">
        <v>226</v>
      </c>
      <c r="B24" s="30"/>
      <c r="C24" s="37"/>
      <c r="D24" s="30"/>
      <c r="E24" s="38"/>
      <c r="F24" s="38">
        <v>1</v>
      </c>
      <c r="G24" s="30"/>
      <c r="H24" s="37"/>
      <c r="I24" s="30"/>
      <c r="J24" s="37"/>
      <c r="K24" s="30"/>
      <c r="L24" s="37">
        <v>1</v>
      </c>
      <c r="M24" s="30"/>
      <c r="N24" s="37"/>
      <c r="O24" s="30"/>
      <c r="P24" s="37"/>
      <c r="Q24" s="30"/>
      <c r="R24" s="37"/>
    </row>
    <row r="25" spans="1:18" ht="27" customHeight="1" x14ac:dyDescent="0.5">
      <c r="A25" s="36" t="s">
        <v>227</v>
      </c>
      <c r="B25" s="30"/>
      <c r="C25" s="37"/>
      <c r="D25" s="30"/>
      <c r="E25" s="38"/>
      <c r="F25" s="38"/>
      <c r="G25" s="30">
        <v>3</v>
      </c>
      <c r="H25" s="37">
        <v>1</v>
      </c>
      <c r="I25" s="30">
        <v>3</v>
      </c>
      <c r="J25" s="37"/>
      <c r="K25" s="30"/>
      <c r="L25" s="37"/>
      <c r="M25" s="30"/>
      <c r="N25" s="37"/>
      <c r="O25" s="30"/>
      <c r="P25" s="37"/>
      <c r="Q25" s="30"/>
      <c r="R25" s="37"/>
    </row>
    <row r="26" spans="1:18" ht="27" customHeight="1" x14ac:dyDescent="0.5">
      <c r="A26" s="36" t="s">
        <v>228</v>
      </c>
      <c r="B26" s="30"/>
      <c r="C26" s="37"/>
      <c r="D26" s="30"/>
      <c r="E26" s="38"/>
      <c r="F26" s="38"/>
      <c r="G26" s="30"/>
      <c r="H26" s="37"/>
      <c r="I26" s="30"/>
      <c r="J26" s="37"/>
      <c r="K26" s="30">
        <v>5</v>
      </c>
      <c r="L26" s="37"/>
      <c r="M26" s="30"/>
      <c r="N26" s="37"/>
      <c r="O26" s="30"/>
      <c r="P26" s="37"/>
      <c r="Q26" s="30"/>
      <c r="R26" s="37"/>
    </row>
    <row r="27" spans="1:18" ht="27" customHeight="1" x14ac:dyDescent="0.5">
      <c r="A27" s="36" t="s">
        <v>229</v>
      </c>
      <c r="B27" s="30"/>
      <c r="C27" s="37"/>
      <c r="D27" s="30">
        <v>1</v>
      </c>
      <c r="E27" s="38"/>
      <c r="F27" s="38"/>
      <c r="G27" s="30"/>
      <c r="H27" s="37"/>
      <c r="I27" s="30"/>
      <c r="J27" s="37"/>
      <c r="K27" s="30"/>
      <c r="L27" s="37"/>
      <c r="M27" s="30"/>
      <c r="N27" s="37"/>
      <c r="O27" s="30"/>
      <c r="P27" s="37"/>
      <c r="Q27" s="30"/>
      <c r="R27" s="37"/>
    </row>
    <row r="28" spans="1:18" ht="27" customHeight="1" x14ac:dyDescent="0.5">
      <c r="A28" s="36" t="s">
        <v>230</v>
      </c>
      <c r="B28" s="30"/>
      <c r="C28" s="37"/>
      <c r="D28" s="30"/>
      <c r="E28" s="38"/>
      <c r="F28" s="38">
        <v>1</v>
      </c>
      <c r="G28" s="30"/>
      <c r="H28" s="37"/>
      <c r="I28" s="30"/>
      <c r="J28" s="37"/>
      <c r="K28" s="30"/>
      <c r="L28" s="37"/>
      <c r="M28" s="30"/>
      <c r="N28" s="37"/>
      <c r="O28" s="30"/>
      <c r="P28" s="37"/>
      <c r="Q28" s="30"/>
      <c r="R28" s="37"/>
    </row>
    <row r="29" spans="1:18" ht="27" customHeight="1" x14ac:dyDescent="0.5">
      <c r="A29" s="36" t="s">
        <v>248</v>
      </c>
      <c r="B29" s="30"/>
      <c r="C29" s="37"/>
      <c r="D29" s="30"/>
      <c r="E29" s="38"/>
      <c r="F29" s="38"/>
      <c r="G29" s="30"/>
      <c r="H29" s="37"/>
      <c r="I29" s="30"/>
      <c r="J29" s="37"/>
      <c r="K29" s="30"/>
      <c r="L29" s="37"/>
      <c r="M29" s="30"/>
      <c r="N29" s="37"/>
      <c r="O29" s="30"/>
      <c r="P29" s="37"/>
      <c r="Q29" s="30">
        <v>1</v>
      </c>
      <c r="R29" s="37"/>
    </row>
    <row r="30" spans="1:18" ht="27" customHeight="1" x14ac:dyDescent="0.5">
      <c r="A30" s="36" t="s">
        <v>249</v>
      </c>
      <c r="B30" s="30"/>
      <c r="C30" s="37"/>
      <c r="D30" s="30"/>
      <c r="E30" s="38"/>
      <c r="F30" s="38">
        <v>12</v>
      </c>
      <c r="G30" s="30"/>
      <c r="H30" s="37"/>
      <c r="I30" s="30"/>
      <c r="J30" s="37"/>
      <c r="K30" s="30"/>
      <c r="L30" s="37"/>
      <c r="M30" s="30"/>
      <c r="N30" s="37"/>
      <c r="O30" s="30"/>
      <c r="P30" s="37"/>
      <c r="Q30" s="30"/>
      <c r="R30" s="37"/>
    </row>
    <row r="31" spans="1:18" ht="27" customHeight="1" x14ac:dyDescent="0.5">
      <c r="A31" s="36" t="s">
        <v>250</v>
      </c>
      <c r="B31" s="30"/>
      <c r="C31" s="37"/>
      <c r="D31" s="30"/>
      <c r="E31" s="38"/>
      <c r="F31" s="38">
        <v>8</v>
      </c>
      <c r="G31" s="30"/>
      <c r="H31" s="37"/>
      <c r="I31" s="30"/>
      <c r="J31" s="37"/>
      <c r="K31" s="30"/>
      <c r="L31" s="37"/>
      <c r="M31" s="30"/>
      <c r="N31" s="37"/>
      <c r="O31" s="30"/>
      <c r="P31" s="37"/>
      <c r="Q31" s="30"/>
      <c r="R31" s="37"/>
    </row>
    <row r="32" spans="1:18" ht="27" customHeight="1" x14ac:dyDescent="0.5">
      <c r="A32" s="36" t="s">
        <v>251</v>
      </c>
      <c r="B32" s="30"/>
      <c r="C32" s="37"/>
      <c r="D32" s="30"/>
      <c r="E32" s="38"/>
      <c r="F32" s="38">
        <v>1</v>
      </c>
      <c r="G32" s="30"/>
      <c r="H32" s="37"/>
      <c r="I32" s="30"/>
      <c r="J32" s="37"/>
      <c r="K32" s="30"/>
      <c r="L32" s="37"/>
      <c r="M32" s="30"/>
      <c r="N32" s="37"/>
      <c r="O32" s="30"/>
      <c r="P32" s="37"/>
      <c r="Q32" s="30"/>
      <c r="R32" s="37"/>
    </row>
    <row r="33" spans="1:18" ht="27" customHeight="1" x14ac:dyDescent="0.5">
      <c r="A33" s="36" t="s">
        <v>252</v>
      </c>
      <c r="B33" s="30"/>
      <c r="C33" s="37">
        <v>1</v>
      </c>
      <c r="D33" s="30"/>
      <c r="E33" s="38"/>
      <c r="F33" s="38"/>
      <c r="G33" s="30"/>
      <c r="H33" s="37"/>
      <c r="I33" s="30"/>
      <c r="J33" s="37"/>
      <c r="K33" s="30"/>
      <c r="L33" s="37"/>
      <c r="M33" s="30"/>
      <c r="N33" s="37"/>
      <c r="O33" s="30"/>
      <c r="P33" s="37"/>
      <c r="Q33" s="30"/>
      <c r="R33" s="37"/>
    </row>
    <row r="34" spans="1:18" ht="27" customHeight="1" x14ac:dyDescent="0.5">
      <c r="A34" s="36" t="s">
        <v>253</v>
      </c>
      <c r="B34" s="30"/>
      <c r="C34" s="37"/>
      <c r="D34" s="30"/>
      <c r="E34" s="38"/>
      <c r="F34" s="38">
        <v>1</v>
      </c>
      <c r="G34" s="30"/>
      <c r="H34" s="37"/>
      <c r="I34" s="30"/>
      <c r="J34" s="37"/>
      <c r="K34" s="30"/>
      <c r="L34" s="37"/>
      <c r="M34" s="30"/>
      <c r="N34" s="37"/>
      <c r="O34" s="30"/>
      <c r="P34" s="37"/>
      <c r="Q34" s="30"/>
      <c r="R34" s="37"/>
    </row>
  </sheetData>
  <mergeCells count="1">
    <mergeCell ref="E1:F1"/>
  </mergeCells>
  <phoneticPr fontId="3" type="noConversion"/>
  <pageMargins left="0.25" right="0.25" top="0.75" bottom="0.75" header="0.3" footer="0.3"/>
  <pageSetup paperSize="9" scale="4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N21"/>
  <sheetViews>
    <sheetView view="pageBreakPreview" zoomScale="55" zoomScaleNormal="55" zoomScaleSheetLayoutView="5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W14" sqref="W14"/>
    </sheetView>
  </sheetViews>
  <sheetFormatPr defaultColWidth="9" defaultRowHeight="16.5" x14ac:dyDescent="0.3"/>
  <cols>
    <col min="1" max="1" width="32.625" style="4" customWidth="1"/>
    <col min="2" max="2" width="20" style="4" customWidth="1"/>
    <col min="3" max="6" width="11.25" style="4" customWidth="1"/>
    <col min="7" max="7" width="20" style="4" customWidth="1"/>
    <col min="8" max="8" width="20" style="39" customWidth="1"/>
    <col min="9" max="9" width="20" style="4" customWidth="1"/>
    <col min="10" max="10" width="20" style="39" customWidth="1"/>
    <col min="11" max="11" width="20" style="4" customWidth="1"/>
    <col min="12" max="12" width="20" style="39" customWidth="1"/>
    <col min="13" max="13" width="20" style="4" customWidth="1"/>
    <col min="14" max="14" width="20" style="39" customWidth="1"/>
    <col min="15" max="16384" width="9" style="4"/>
  </cols>
  <sheetData>
    <row r="1" spans="1:14" ht="144" customHeight="1" x14ac:dyDescent="0.3">
      <c r="A1" s="22" t="s">
        <v>254</v>
      </c>
      <c r="B1" s="69" t="s">
        <v>23</v>
      </c>
      <c r="C1" s="100" t="s">
        <v>24</v>
      </c>
      <c r="D1" s="102"/>
      <c r="E1" s="102"/>
      <c r="F1" s="102"/>
      <c r="G1" s="69" t="s">
        <v>25</v>
      </c>
      <c r="H1" s="70" t="s">
        <v>26</v>
      </c>
      <c r="I1" s="71" t="s">
        <v>60</v>
      </c>
      <c r="J1" s="72" t="s">
        <v>271</v>
      </c>
      <c r="K1" s="73" t="s">
        <v>86</v>
      </c>
      <c r="L1" s="68" t="s">
        <v>237</v>
      </c>
      <c r="M1" s="73" t="s">
        <v>272</v>
      </c>
      <c r="N1" s="68" t="s">
        <v>244</v>
      </c>
    </row>
    <row r="2" spans="1:14" ht="45" customHeight="1" x14ac:dyDescent="0.3">
      <c r="A2" s="25" t="s">
        <v>29</v>
      </c>
      <c r="B2" s="27"/>
      <c r="C2" s="108" t="s">
        <v>259</v>
      </c>
      <c r="D2" s="109"/>
      <c r="E2" s="29"/>
      <c r="F2" s="29"/>
      <c r="G2" s="27"/>
      <c r="H2" s="26"/>
      <c r="I2" s="27"/>
      <c r="J2" s="26"/>
      <c r="K2" s="27"/>
      <c r="L2" s="26"/>
      <c r="M2" s="27"/>
      <c r="N2" s="26"/>
    </row>
    <row r="3" spans="1:14" ht="38.25" customHeight="1" x14ac:dyDescent="0.3">
      <c r="A3" s="31" t="s">
        <v>31</v>
      </c>
      <c r="B3" s="33" t="s">
        <v>33</v>
      </c>
      <c r="C3" s="32" t="s">
        <v>188</v>
      </c>
      <c r="D3" s="32" t="s">
        <v>32</v>
      </c>
      <c r="E3" s="32" t="s">
        <v>32</v>
      </c>
      <c r="F3" s="32" t="s">
        <v>33</v>
      </c>
      <c r="G3" s="33" t="s">
        <v>34</v>
      </c>
      <c r="H3" s="32" t="s">
        <v>35</v>
      </c>
      <c r="I3" s="33" t="s">
        <v>240</v>
      </c>
      <c r="J3" s="32" t="s">
        <v>35</v>
      </c>
      <c r="K3" s="33" t="s">
        <v>241</v>
      </c>
      <c r="L3" s="32" t="s">
        <v>241</v>
      </c>
      <c r="M3" s="33" t="s">
        <v>273</v>
      </c>
      <c r="N3" s="32" t="s">
        <v>241</v>
      </c>
    </row>
    <row r="4" spans="1:14" ht="38.25" customHeight="1" x14ac:dyDescent="0.3">
      <c r="A4" s="34" t="s">
        <v>37</v>
      </c>
      <c r="B4" s="35">
        <f t="shared" ref="B4:N4" si="0">SUM(B5:B21)</f>
        <v>6</v>
      </c>
      <c r="C4" s="35">
        <f t="shared" si="0"/>
        <v>12</v>
      </c>
      <c r="D4" s="35">
        <f t="shared" si="0"/>
        <v>8</v>
      </c>
      <c r="E4" s="35">
        <f t="shared" si="0"/>
        <v>3</v>
      </c>
      <c r="F4" s="35">
        <f t="shared" si="0"/>
        <v>6</v>
      </c>
      <c r="G4" s="35">
        <f t="shared" si="0"/>
        <v>3</v>
      </c>
      <c r="H4" s="35">
        <f t="shared" si="0"/>
        <v>1</v>
      </c>
      <c r="I4" s="35">
        <f t="shared" si="0"/>
        <v>1</v>
      </c>
      <c r="J4" s="35">
        <f t="shared" si="0"/>
        <v>4</v>
      </c>
      <c r="K4" s="35">
        <f t="shared" si="0"/>
        <v>1</v>
      </c>
      <c r="L4" s="35">
        <f t="shared" si="0"/>
        <v>4</v>
      </c>
      <c r="M4" s="35">
        <f t="shared" si="0"/>
        <v>4</v>
      </c>
      <c r="N4" s="35">
        <f t="shared" si="0"/>
        <v>20</v>
      </c>
    </row>
    <row r="5" spans="1:14" ht="27" customHeight="1" x14ac:dyDescent="0.5">
      <c r="A5" s="36" t="s">
        <v>255</v>
      </c>
      <c r="B5" s="30"/>
      <c r="C5" s="38"/>
      <c r="D5" s="38"/>
      <c r="E5" s="38">
        <v>1</v>
      </c>
      <c r="F5" s="38"/>
      <c r="G5" s="30"/>
      <c r="H5" s="37"/>
      <c r="I5" s="30"/>
      <c r="J5" s="37"/>
      <c r="K5" s="30"/>
      <c r="L5" s="37"/>
      <c r="M5" s="30"/>
      <c r="N5" s="37"/>
    </row>
    <row r="6" spans="1:14" ht="27" customHeight="1" x14ac:dyDescent="0.5">
      <c r="A6" s="36" t="s">
        <v>256</v>
      </c>
      <c r="B6" s="30"/>
      <c r="C6" s="38"/>
      <c r="D6" s="38"/>
      <c r="E6" s="38"/>
      <c r="F6" s="38">
        <v>2</v>
      </c>
      <c r="G6" s="30"/>
      <c r="H6" s="37"/>
      <c r="I6" s="30"/>
      <c r="J6" s="37"/>
      <c r="K6" s="30"/>
      <c r="L6" s="37"/>
      <c r="M6" s="30"/>
      <c r="N6" s="37"/>
    </row>
    <row r="7" spans="1:14" ht="27" customHeight="1" x14ac:dyDescent="0.5">
      <c r="A7" s="36" t="s">
        <v>257</v>
      </c>
      <c r="B7" s="30">
        <v>4</v>
      </c>
      <c r="C7" s="38"/>
      <c r="D7" s="38"/>
      <c r="E7" s="38"/>
      <c r="F7" s="38"/>
      <c r="G7" s="30"/>
      <c r="H7" s="37"/>
      <c r="I7" s="30"/>
      <c r="J7" s="37"/>
      <c r="K7" s="30"/>
      <c r="L7" s="37"/>
      <c r="M7" s="30"/>
      <c r="N7" s="37"/>
    </row>
    <row r="8" spans="1:14" ht="27" customHeight="1" x14ac:dyDescent="0.5">
      <c r="A8" s="36" t="s">
        <v>258</v>
      </c>
      <c r="B8" s="30">
        <v>2</v>
      </c>
      <c r="C8" s="38"/>
      <c r="D8" s="38"/>
      <c r="E8" s="38"/>
      <c r="F8" s="38"/>
      <c r="G8" s="30"/>
      <c r="H8" s="37"/>
      <c r="I8" s="30"/>
      <c r="J8" s="37"/>
      <c r="K8" s="30"/>
      <c r="L8" s="37"/>
      <c r="M8" s="30"/>
      <c r="N8" s="37"/>
    </row>
    <row r="9" spans="1:14" ht="27" customHeight="1" x14ac:dyDescent="0.5">
      <c r="A9" s="36" t="s">
        <v>260</v>
      </c>
      <c r="B9" s="30"/>
      <c r="C9" s="38">
        <v>12</v>
      </c>
      <c r="D9" s="38">
        <v>8</v>
      </c>
      <c r="E9" s="38"/>
      <c r="F9" s="38"/>
      <c r="G9" s="30"/>
      <c r="H9" s="37"/>
      <c r="I9" s="30"/>
      <c r="J9" s="37"/>
      <c r="K9" s="30"/>
      <c r="L9" s="37"/>
      <c r="M9" s="30"/>
      <c r="N9" s="37"/>
    </row>
    <row r="10" spans="1:14" ht="27" customHeight="1" x14ac:dyDescent="0.5">
      <c r="A10" s="36" t="s">
        <v>261</v>
      </c>
      <c r="B10" s="30"/>
      <c r="C10" s="38"/>
      <c r="D10" s="38"/>
      <c r="E10" s="38"/>
      <c r="F10" s="38"/>
      <c r="G10" s="30"/>
      <c r="H10" s="37">
        <v>1</v>
      </c>
      <c r="I10" s="30"/>
      <c r="J10" s="37"/>
      <c r="K10" s="30"/>
      <c r="L10" s="37"/>
      <c r="M10" s="30"/>
      <c r="N10" s="37"/>
    </row>
    <row r="11" spans="1:14" ht="27" customHeight="1" x14ac:dyDescent="0.5">
      <c r="A11" s="36" t="s">
        <v>262</v>
      </c>
      <c r="B11" s="30"/>
      <c r="C11" s="38"/>
      <c r="D11" s="38"/>
      <c r="E11" s="38"/>
      <c r="F11" s="38"/>
      <c r="G11" s="30">
        <v>3</v>
      </c>
      <c r="H11" s="37"/>
      <c r="I11" s="30"/>
      <c r="J11" s="37"/>
      <c r="K11" s="30"/>
      <c r="L11" s="37"/>
      <c r="M11" s="30"/>
      <c r="N11" s="37"/>
    </row>
    <row r="12" spans="1:14" ht="27" customHeight="1" x14ac:dyDescent="0.5">
      <c r="A12" s="36" t="s">
        <v>84</v>
      </c>
      <c r="B12" s="30"/>
      <c r="C12" s="38"/>
      <c r="D12" s="38"/>
      <c r="E12" s="38"/>
      <c r="F12" s="38"/>
      <c r="G12" s="30"/>
      <c r="H12" s="37"/>
      <c r="I12" s="30"/>
      <c r="J12" s="37"/>
      <c r="K12" s="30"/>
      <c r="L12" s="37"/>
      <c r="M12" s="30"/>
      <c r="N12" s="37">
        <v>2</v>
      </c>
    </row>
    <row r="13" spans="1:14" ht="27" customHeight="1" x14ac:dyDescent="0.5">
      <c r="A13" s="36" t="s">
        <v>263</v>
      </c>
      <c r="B13" s="30"/>
      <c r="C13" s="38"/>
      <c r="D13" s="38"/>
      <c r="E13" s="38"/>
      <c r="F13" s="38">
        <v>1</v>
      </c>
      <c r="G13" s="30"/>
      <c r="H13" s="37"/>
      <c r="I13" s="30"/>
      <c r="J13" s="37"/>
      <c r="K13" s="30"/>
      <c r="L13" s="37"/>
      <c r="M13" s="30"/>
      <c r="N13" s="37"/>
    </row>
    <row r="14" spans="1:14" ht="27" customHeight="1" x14ac:dyDescent="0.5">
      <c r="A14" s="36" t="s">
        <v>264</v>
      </c>
      <c r="B14" s="30"/>
      <c r="C14" s="38"/>
      <c r="D14" s="38"/>
      <c r="E14" s="38"/>
      <c r="F14" s="38">
        <v>1</v>
      </c>
      <c r="G14" s="30"/>
      <c r="H14" s="37"/>
      <c r="I14" s="30"/>
      <c r="J14" s="37"/>
      <c r="K14" s="30"/>
      <c r="L14" s="37"/>
      <c r="M14" s="30"/>
      <c r="N14" s="37"/>
    </row>
    <row r="15" spans="1:14" ht="27" customHeight="1" x14ac:dyDescent="0.5">
      <c r="A15" s="36" t="s">
        <v>265</v>
      </c>
      <c r="B15" s="30"/>
      <c r="C15" s="38"/>
      <c r="D15" s="38"/>
      <c r="E15" s="38">
        <v>1</v>
      </c>
      <c r="F15" s="38"/>
      <c r="G15" s="30"/>
      <c r="H15" s="37"/>
      <c r="I15" s="30"/>
      <c r="J15" s="37"/>
      <c r="K15" s="30"/>
      <c r="L15" s="37"/>
      <c r="M15" s="30"/>
      <c r="N15" s="37"/>
    </row>
    <row r="16" spans="1:14" ht="27" customHeight="1" x14ac:dyDescent="0.5">
      <c r="A16" s="36" t="s">
        <v>266</v>
      </c>
      <c r="B16" s="30"/>
      <c r="C16" s="38"/>
      <c r="D16" s="38"/>
      <c r="E16" s="38"/>
      <c r="F16" s="38">
        <v>1</v>
      </c>
      <c r="G16" s="30"/>
      <c r="H16" s="37"/>
      <c r="I16" s="30"/>
      <c r="J16" s="37"/>
      <c r="K16" s="30"/>
      <c r="L16" s="37"/>
      <c r="M16" s="30"/>
      <c r="N16" s="37"/>
    </row>
    <row r="17" spans="1:14" ht="27" customHeight="1" x14ac:dyDescent="0.5">
      <c r="A17" s="36" t="s">
        <v>267</v>
      </c>
      <c r="B17" s="30"/>
      <c r="C17" s="38"/>
      <c r="D17" s="38"/>
      <c r="E17" s="38">
        <v>1</v>
      </c>
      <c r="F17" s="38"/>
      <c r="G17" s="30"/>
      <c r="H17" s="37"/>
      <c r="I17" s="30">
        <v>1</v>
      </c>
      <c r="J17" s="37"/>
      <c r="K17" s="30"/>
      <c r="L17" s="37"/>
      <c r="M17" s="30"/>
      <c r="N17" s="37"/>
    </row>
    <row r="18" spans="1:14" ht="27" customHeight="1" x14ac:dyDescent="0.5">
      <c r="A18" s="36" t="s">
        <v>268</v>
      </c>
      <c r="B18" s="30"/>
      <c r="C18" s="38"/>
      <c r="D18" s="38"/>
      <c r="E18" s="38"/>
      <c r="F18" s="38">
        <v>1</v>
      </c>
      <c r="G18" s="30"/>
      <c r="H18" s="37"/>
      <c r="I18" s="30"/>
      <c r="J18" s="37"/>
      <c r="K18" s="30"/>
      <c r="L18" s="37"/>
      <c r="M18" s="30"/>
      <c r="N18" s="37"/>
    </row>
    <row r="19" spans="1:14" ht="27" customHeight="1" x14ac:dyDescent="0.5">
      <c r="A19" s="36"/>
      <c r="B19" s="30"/>
      <c r="C19" s="38"/>
      <c r="D19" s="38"/>
      <c r="E19" s="38"/>
      <c r="F19" s="38"/>
      <c r="G19" s="30"/>
      <c r="H19" s="37"/>
      <c r="I19" s="30"/>
      <c r="J19" s="37"/>
      <c r="K19" s="30"/>
      <c r="L19" s="37"/>
      <c r="M19" s="30"/>
      <c r="N19" s="37"/>
    </row>
    <row r="20" spans="1:14" ht="27" customHeight="1" x14ac:dyDescent="0.5">
      <c r="A20" s="36" t="s">
        <v>270</v>
      </c>
      <c r="B20" s="30"/>
      <c r="C20" s="38"/>
      <c r="D20" s="38"/>
      <c r="E20" s="38"/>
      <c r="F20" s="38"/>
      <c r="G20" s="30"/>
      <c r="H20" s="37"/>
      <c r="I20" s="30"/>
      <c r="J20" s="37"/>
      <c r="K20" s="30">
        <v>1</v>
      </c>
      <c r="L20" s="37"/>
      <c r="M20" s="30"/>
      <c r="N20" s="37"/>
    </row>
    <row r="21" spans="1:14" ht="27" customHeight="1" x14ac:dyDescent="0.5">
      <c r="A21" s="36" t="s">
        <v>269</v>
      </c>
      <c r="B21" s="30"/>
      <c r="C21" s="38"/>
      <c r="D21" s="38"/>
      <c r="E21" s="38"/>
      <c r="F21" s="38"/>
      <c r="G21" s="30"/>
      <c r="H21" s="37"/>
      <c r="I21" s="30"/>
      <c r="J21" s="37">
        <v>4</v>
      </c>
      <c r="K21" s="30"/>
      <c r="L21" s="37">
        <v>4</v>
      </c>
      <c r="M21" s="30">
        <v>4</v>
      </c>
      <c r="N21" s="37">
        <v>18</v>
      </c>
    </row>
  </sheetData>
  <mergeCells count="2">
    <mergeCell ref="C1:F1"/>
    <mergeCell ref="C2:D2"/>
  </mergeCells>
  <phoneticPr fontId="3" type="noConversion"/>
  <pageMargins left="0.25" right="0.25" top="0.75" bottom="0.75" header="0.3" footer="0.3"/>
  <pageSetup paperSize="9" scale="4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view="pageBreakPreview" zoomScale="40" zoomScaleNormal="40" zoomScaleSheetLayoutView="40" workbookViewId="0">
      <pane xSplit="1" ySplit="4" topLeftCell="B5" activePane="bottomRight" state="frozen"/>
      <selection pane="topRight"/>
      <selection pane="bottomLeft"/>
      <selection pane="bottomRight" activeCell="D6" sqref="D6"/>
    </sheetView>
  </sheetViews>
  <sheetFormatPr defaultColWidth="9" defaultRowHeight="16.5" x14ac:dyDescent="0.3"/>
  <cols>
    <col min="1" max="1" width="50.875" style="4" customWidth="1"/>
    <col min="2" max="7" width="26.875" style="4" customWidth="1"/>
    <col min="8" max="9" width="24.5" style="4" customWidth="1"/>
    <col min="10" max="16384" width="9" style="4"/>
  </cols>
  <sheetData>
    <row r="1" spans="1:9" ht="265.5" customHeight="1" x14ac:dyDescent="0.3">
      <c r="A1" s="98" t="s">
        <v>274</v>
      </c>
      <c r="B1" s="1" t="s">
        <v>0</v>
      </c>
      <c r="C1" s="1" t="s">
        <v>1</v>
      </c>
      <c r="D1" s="1" t="s">
        <v>1</v>
      </c>
      <c r="E1" s="74" t="s">
        <v>2</v>
      </c>
      <c r="F1" s="1" t="s">
        <v>3</v>
      </c>
      <c r="G1" s="1" t="s">
        <v>4</v>
      </c>
      <c r="H1" s="3"/>
      <c r="I1" s="3"/>
    </row>
    <row r="2" spans="1:9" ht="68.25" customHeight="1" x14ac:dyDescent="0.3">
      <c r="A2" s="98"/>
      <c r="B2" s="5" t="s">
        <v>5</v>
      </c>
      <c r="C2" s="5" t="s">
        <v>6</v>
      </c>
      <c r="D2" s="5" t="s">
        <v>7</v>
      </c>
      <c r="E2" s="6" t="s">
        <v>6</v>
      </c>
      <c r="F2" s="5" t="s">
        <v>8</v>
      </c>
      <c r="G2" s="5" t="s">
        <v>9</v>
      </c>
      <c r="H2" s="3"/>
      <c r="I2" s="3"/>
    </row>
    <row r="3" spans="1:9" ht="68.25" customHeight="1" x14ac:dyDescent="0.3">
      <c r="A3" s="99"/>
      <c r="B3" s="5" t="s">
        <v>10</v>
      </c>
      <c r="C3" s="5" t="s">
        <v>10</v>
      </c>
      <c r="D3" s="5" t="s">
        <v>10</v>
      </c>
      <c r="E3" s="6" t="s">
        <v>10</v>
      </c>
      <c r="F3" s="5" t="s">
        <v>10</v>
      </c>
      <c r="G3" s="5" t="s">
        <v>10</v>
      </c>
      <c r="H3" s="3"/>
      <c r="I3" s="3"/>
    </row>
    <row r="4" spans="1:9" ht="110.25" customHeight="1" x14ac:dyDescent="0.3">
      <c r="A4" s="7"/>
      <c r="B4" s="8">
        <f t="shared" ref="B4:E4" si="0">SUM(B5:B7)</f>
        <v>10</v>
      </c>
      <c r="C4" s="8">
        <f t="shared" si="0"/>
        <v>92</v>
      </c>
      <c r="D4" s="8">
        <f t="shared" si="0"/>
        <v>80</v>
      </c>
      <c r="E4" s="8">
        <f t="shared" si="0"/>
        <v>36</v>
      </c>
      <c r="F4" s="8">
        <f>SUM(F5:F7)</f>
        <v>0</v>
      </c>
      <c r="G4" s="8">
        <f>SUM(G5:G7)</f>
        <v>0</v>
      </c>
      <c r="H4" s="9"/>
      <c r="I4" s="9"/>
    </row>
    <row r="5" spans="1:9" ht="92.25" customHeight="1" x14ac:dyDescent="0.3">
      <c r="A5" s="10" t="s">
        <v>11</v>
      </c>
      <c r="B5" s="11"/>
      <c r="C5" s="12">
        <v>28</v>
      </c>
      <c r="D5" s="12">
        <v>48</v>
      </c>
      <c r="E5" s="12">
        <v>24</v>
      </c>
      <c r="F5" s="12"/>
      <c r="G5" s="12"/>
      <c r="H5" s="9"/>
      <c r="I5" s="9"/>
    </row>
    <row r="6" spans="1:9" ht="92.25" customHeight="1" x14ac:dyDescent="0.3">
      <c r="A6" s="10" t="s">
        <v>12</v>
      </c>
      <c r="B6" s="11"/>
      <c r="C6" s="12">
        <f>12+4+4</f>
        <v>20</v>
      </c>
      <c r="D6" s="12"/>
      <c r="E6" s="12"/>
      <c r="F6" s="12"/>
      <c r="G6" s="12"/>
      <c r="H6" s="9"/>
      <c r="I6" s="9"/>
    </row>
    <row r="7" spans="1:9" ht="92.25" customHeight="1" x14ac:dyDescent="0.3">
      <c r="A7" s="10" t="s">
        <v>13</v>
      </c>
      <c r="B7" s="11">
        <v>10</v>
      </c>
      <c r="C7" s="12">
        <f>40+4</f>
        <v>44</v>
      </c>
      <c r="D7" s="12">
        <v>32</v>
      </c>
      <c r="E7" s="12">
        <v>12</v>
      </c>
      <c r="F7" s="12"/>
      <c r="G7" s="12"/>
      <c r="H7" s="13"/>
      <c r="I7" s="13"/>
    </row>
    <row r="8" spans="1:9" ht="27" customHeight="1" x14ac:dyDescent="0.3">
      <c r="B8" s="14"/>
      <c r="C8" s="14"/>
      <c r="D8" s="14"/>
      <c r="E8" s="14"/>
      <c r="F8" s="14"/>
      <c r="G8" s="14"/>
      <c r="H8" s="15"/>
      <c r="I8" s="15"/>
    </row>
    <row r="9" spans="1:9" ht="27" customHeight="1" x14ac:dyDescent="0.3">
      <c r="A9" s="16"/>
      <c r="H9" s="3"/>
      <c r="I9" s="3"/>
    </row>
    <row r="10" spans="1:9" ht="110.25" customHeight="1" x14ac:dyDescent="0.3">
      <c r="A10" s="17"/>
      <c r="B10" s="18" t="s">
        <v>14</v>
      </c>
      <c r="C10" s="18" t="s">
        <v>15</v>
      </c>
      <c r="D10" s="18" t="s">
        <v>16</v>
      </c>
      <c r="E10" s="18" t="s">
        <v>17</v>
      </c>
      <c r="F10" s="19" t="s">
        <v>18</v>
      </c>
      <c r="G10" s="18" t="s">
        <v>19</v>
      </c>
      <c r="H10" s="3"/>
      <c r="I10" s="3"/>
    </row>
    <row r="11" spans="1:9" ht="84" customHeight="1" x14ac:dyDescent="0.3">
      <c r="A11" s="10" t="s">
        <v>11</v>
      </c>
      <c r="B11" s="20"/>
      <c r="C11" s="20">
        <f>C5/4</f>
        <v>7</v>
      </c>
      <c r="D11" s="20">
        <f>D5/16</f>
        <v>3</v>
      </c>
      <c r="E11" s="20">
        <f>E5/4</f>
        <v>6</v>
      </c>
      <c r="F11" s="20"/>
      <c r="G11" s="20"/>
      <c r="H11" s="21">
        <f>SUM(B11:G11)</f>
        <v>16</v>
      </c>
      <c r="I11" s="21" t="s">
        <v>176</v>
      </c>
    </row>
    <row r="12" spans="1:9" ht="84" customHeight="1" x14ac:dyDescent="0.3">
      <c r="A12" s="10" t="s">
        <v>12</v>
      </c>
      <c r="B12" s="20"/>
      <c r="C12" s="20">
        <f>C6/4</f>
        <v>5</v>
      </c>
      <c r="D12" s="20"/>
      <c r="E12" s="20"/>
      <c r="F12" s="20"/>
      <c r="G12" s="20"/>
      <c r="H12" s="21">
        <f t="shared" ref="H12:H13" si="1">SUM(B12:G12)</f>
        <v>5</v>
      </c>
      <c r="I12" s="21"/>
    </row>
    <row r="13" spans="1:9" ht="84" customHeight="1" x14ac:dyDescent="0.3">
      <c r="A13" s="10" t="s">
        <v>13</v>
      </c>
      <c r="B13" s="20">
        <f>B7/10</f>
        <v>1</v>
      </c>
      <c r="C13" s="20">
        <f>C7/4</f>
        <v>11</v>
      </c>
      <c r="D13" s="20">
        <f>D7/16</f>
        <v>2</v>
      </c>
      <c r="E13" s="20">
        <f>E7/4</f>
        <v>3</v>
      </c>
      <c r="F13" s="20"/>
      <c r="G13" s="20"/>
      <c r="H13" s="21">
        <f t="shared" si="1"/>
        <v>17</v>
      </c>
      <c r="I13" s="21" t="s">
        <v>176</v>
      </c>
    </row>
  </sheetData>
  <mergeCells count="1">
    <mergeCell ref="A1:A3"/>
  </mergeCells>
  <phoneticPr fontId="3" type="noConversion"/>
  <conditionalFormatting sqref="A5">
    <cfRule type="duplicateValues" dxfId="23" priority="4"/>
  </conditionalFormatting>
  <conditionalFormatting sqref="A6">
    <cfRule type="duplicateValues" dxfId="22" priority="5"/>
  </conditionalFormatting>
  <conditionalFormatting sqref="A7">
    <cfRule type="duplicateValues" dxfId="21" priority="2"/>
  </conditionalFormatting>
  <conditionalFormatting sqref="A11">
    <cfRule type="duplicateValues" dxfId="20" priority="3"/>
  </conditionalFormatting>
  <conditionalFormatting sqref="A12">
    <cfRule type="duplicateValues" dxfId="19" priority="6"/>
  </conditionalFormatting>
  <conditionalFormatting sqref="A13">
    <cfRule type="duplicateValues" dxfId="18" priority="1"/>
  </conditionalFormatting>
  <pageMargins left="0.25" right="0.25" top="0.75" bottom="0.75" header="0.30000001192092896" footer="0.30000001192092896"/>
  <pageSetup paperSize="9" scale="3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view="pageBreakPreview" zoomScale="55" zoomScaleNormal="55" zoomScaleSheetLayoutView="5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12" sqref="F12"/>
    </sheetView>
  </sheetViews>
  <sheetFormatPr defaultColWidth="9" defaultRowHeight="16.5" x14ac:dyDescent="0.3"/>
  <cols>
    <col min="1" max="1" width="32.625" style="4" customWidth="1"/>
    <col min="2" max="3" width="10.25" style="4" customWidth="1"/>
    <col min="4" max="5" width="11.25" style="4" customWidth="1"/>
    <col min="6" max="7" width="11.875" style="4" customWidth="1"/>
    <col min="8" max="8" width="20" style="39" customWidth="1"/>
    <col min="9" max="9" width="20" style="4" customWidth="1"/>
    <col min="10" max="10" width="20" style="39" customWidth="1"/>
    <col min="11" max="11" width="20" style="4" customWidth="1"/>
    <col min="12" max="16384" width="9" style="4"/>
  </cols>
  <sheetData>
    <row r="1" spans="1:11" ht="144" customHeight="1" x14ac:dyDescent="0.3">
      <c r="A1" s="22" t="s">
        <v>275</v>
      </c>
      <c r="B1" s="103" t="s">
        <v>23</v>
      </c>
      <c r="C1" s="104"/>
      <c r="D1" s="100" t="s">
        <v>24</v>
      </c>
      <c r="E1" s="102"/>
      <c r="F1" s="103" t="s">
        <v>25</v>
      </c>
      <c r="G1" s="104"/>
      <c r="H1" s="75" t="s">
        <v>61</v>
      </c>
      <c r="I1" s="77" t="s">
        <v>296</v>
      </c>
      <c r="J1" s="76" t="s">
        <v>297</v>
      </c>
      <c r="K1" s="77" t="s">
        <v>299</v>
      </c>
    </row>
    <row r="2" spans="1:11" ht="45" customHeight="1" x14ac:dyDescent="0.3">
      <c r="A2" s="25" t="s">
        <v>29</v>
      </c>
      <c r="B2" s="27"/>
      <c r="C2" s="27"/>
      <c r="D2" s="79"/>
      <c r="E2" s="79"/>
      <c r="F2" s="27"/>
      <c r="G2" s="27"/>
      <c r="H2" s="26"/>
      <c r="I2" s="27"/>
      <c r="J2" s="26"/>
      <c r="K2" s="27"/>
    </row>
    <row r="3" spans="1:11" ht="38.25" customHeight="1" x14ac:dyDescent="0.3">
      <c r="A3" s="31" t="s">
        <v>31</v>
      </c>
      <c r="B3" s="33" t="s">
        <v>280</v>
      </c>
      <c r="C3" s="33" t="s">
        <v>33</v>
      </c>
      <c r="D3" s="32" t="s">
        <v>32</v>
      </c>
      <c r="E3" s="32" t="s">
        <v>33</v>
      </c>
      <c r="F3" s="33" t="s">
        <v>293</v>
      </c>
      <c r="G3" s="33" t="s">
        <v>157</v>
      </c>
      <c r="H3" s="32" t="s">
        <v>35</v>
      </c>
      <c r="I3" s="33" t="s">
        <v>298</v>
      </c>
      <c r="J3" s="32" t="s">
        <v>298</v>
      </c>
      <c r="K3" s="33" t="s">
        <v>300</v>
      </c>
    </row>
    <row r="4" spans="1:11" ht="38.25" customHeight="1" x14ac:dyDescent="0.3">
      <c r="A4" s="34" t="s">
        <v>37</v>
      </c>
      <c r="B4" s="35">
        <f t="shared" ref="B4:K4" si="0">SUM(B5:B22)</f>
        <v>17</v>
      </c>
      <c r="C4" s="35">
        <f t="shared" si="0"/>
        <v>7</v>
      </c>
      <c r="D4" s="35">
        <f t="shared" si="0"/>
        <v>2</v>
      </c>
      <c r="E4" s="35">
        <f t="shared" si="0"/>
        <v>5</v>
      </c>
      <c r="F4" s="35">
        <f t="shared" si="0"/>
        <v>3</v>
      </c>
      <c r="G4" s="35">
        <f t="shared" si="0"/>
        <v>1</v>
      </c>
      <c r="H4" s="35">
        <f t="shared" si="0"/>
        <v>4</v>
      </c>
      <c r="I4" s="35">
        <f t="shared" si="0"/>
        <v>1</v>
      </c>
      <c r="J4" s="35">
        <f t="shared" si="0"/>
        <v>2</v>
      </c>
      <c r="K4" s="35">
        <f t="shared" si="0"/>
        <v>1</v>
      </c>
    </row>
    <row r="5" spans="1:11" ht="27" customHeight="1" x14ac:dyDescent="0.5">
      <c r="A5" s="36" t="s">
        <v>276</v>
      </c>
      <c r="B5" s="30"/>
      <c r="C5" s="30"/>
      <c r="D5" s="38"/>
      <c r="E5" s="38"/>
      <c r="F5" s="30"/>
      <c r="G5" s="30"/>
      <c r="H5" s="37"/>
      <c r="I5" s="30"/>
      <c r="J5" s="37"/>
      <c r="K5" s="30">
        <v>1</v>
      </c>
    </row>
    <row r="6" spans="1:11" ht="27" customHeight="1" x14ac:dyDescent="0.5">
      <c r="A6" s="36" t="s">
        <v>277</v>
      </c>
      <c r="B6" s="30"/>
      <c r="C6" s="30">
        <v>4</v>
      </c>
      <c r="D6" s="38"/>
      <c r="E6" s="38"/>
      <c r="F6" s="30"/>
      <c r="G6" s="30"/>
      <c r="H6" s="37"/>
      <c r="I6" s="30"/>
      <c r="J6" s="37"/>
      <c r="K6" s="30"/>
    </row>
    <row r="7" spans="1:11" ht="27" customHeight="1" x14ac:dyDescent="0.5">
      <c r="A7" s="36" t="s">
        <v>278</v>
      </c>
      <c r="B7" s="30"/>
      <c r="C7" s="30">
        <v>2</v>
      </c>
      <c r="D7" s="38"/>
      <c r="E7" s="38"/>
      <c r="F7" s="30"/>
      <c r="G7" s="30"/>
      <c r="H7" s="37"/>
      <c r="I7" s="30"/>
      <c r="J7" s="37"/>
      <c r="K7" s="30"/>
    </row>
    <row r="8" spans="1:11" ht="27" customHeight="1" x14ac:dyDescent="0.5">
      <c r="A8" s="36" t="s">
        <v>279</v>
      </c>
      <c r="B8" s="30">
        <v>1</v>
      </c>
      <c r="C8" s="30"/>
      <c r="D8" s="38"/>
      <c r="E8" s="38"/>
      <c r="F8" s="30"/>
      <c r="G8" s="30"/>
      <c r="H8" s="37"/>
      <c r="I8" s="30"/>
      <c r="J8" s="37"/>
      <c r="K8" s="30"/>
    </row>
    <row r="9" spans="1:11" ht="27" customHeight="1" x14ac:dyDescent="0.5">
      <c r="A9" s="36" t="s">
        <v>281</v>
      </c>
      <c r="B9" s="30">
        <v>8</v>
      </c>
      <c r="C9" s="30"/>
      <c r="D9" s="38"/>
      <c r="E9" s="38"/>
      <c r="F9" s="30"/>
      <c r="G9" s="30"/>
      <c r="H9" s="37"/>
      <c r="I9" s="30"/>
      <c r="J9" s="37"/>
      <c r="K9" s="30"/>
    </row>
    <row r="10" spans="1:11" ht="27" customHeight="1" x14ac:dyDescent="0.5">
      <c r="A10" s="36" t="s">
        <v>282</v>
      </c>
      <c r="B10" s="30"/>
      <c r="C10" s="30"/>
      <c r="D10" s="38">
        <v>1</v>
      </c>
      <c r="E10" s="38"/>
      <c r="F10" s="30"/>
      <c r="G10" s="30"/>
      <c r="H10" s="37"/>
      <c r="I10" s="30"/>
      <c r="J10" s="37"/>
      <c r="K10" s="30"/>
    </row>
    <row r="11" spans="1:11" ht="27" customHeight="1" x14ac:dyDescent="0.5">
      <c r="A11" s="36" t="s">
        <v>283</v>
      </c>
      <c r="B11" s="30"/>
      <c r="C11" s="30"/>
      <c r="D11" s="38"/>
      <c r="E11" s="38"/>
      <c r="F11" s="30"/>
      <c r="G11" s="30">
        <v>1</v>
      </c>
      <c r="H11" s="37"/>
      <c r="I11" s="30"/>
      <c r="J11" s="37">
        <v>1</v>
      </c>
      <c r="K11" s="30"/>
    </row>
    <row r="12" spans="1:11" ht="27" customHeight="1" x14ac:dyDescent="0.5">
      <c r="A12" s="36" t="s">
        <v>284</v>
      </c>
      <c r="B12" s="30"/>
      <c r="C12" s="30"/>
      <c r="D12" s="38"/>
      <c r="E12" s="38"/>
      <c r="F12" s="30"/>
      <c r="G12" s="30"/>
      <c r="H12" s="37">
        <v>2</v>
      </c>
      <c r="I12" s="30">
        <v>1</v>
      </c>
      <c r="J12" s="37"/>
      <c r="K12" s="30"/>
    </row>
    <row r="13" spans="1:11" ht="27" customHeight="1" x14ac:dyDescent="0.5">
      <c r="A13" s="36" t="s">
        <v>285</v>
      </c>
      <c r="B13" s="30"/>
      <c r="C13" s="30"/>
      <c r="D13" s="38"/>
      <c r="E13" s="38"/>
      <c r="F13" s="30"/>
      <c r="G13" s="30"/>
      <c r="H13" s="37"/>
      <c r="I13" s="30"/>
      <c r="J13" s="37">
        <v>1</v>
      </c>
      <c r="K13" s="30"/>
    </row>
    <row r="14" spans="1:11" ht="27" customHeight="1" x14ac:dyDescent="0.5">
      <c r="A14" s="36" t="s">
        <v>286</v>
      </c>
      <c r="B14" s="30"/>
      <c r="C14" s="30"/>
      <c r="D14" s="38"/>
      <c r="E14" s="38"/>
      <c r="F14" s="30">
        <v>3</v>
      </c>
      <c r="G14" s="30"/>
      <c r="H14" s="37"/>
      <c r="I14" s="30"/>
      <c r="J14" s="37"/>
      <c r="K14" s="30"/>
    </row>
    <row r="15" spans="1:11" ht="27" customHeight="1" x14ac:dyDescent="0.5">
      <c r="A15" s="36" t="s">
        <v>287</v>
      </c>
      <c r="B15" s="30"/>
      <c r="C15" s="30"/>
      <c r="D15" s="38"/>
      <c r="E15" s="38"/>
      <c r="F15" s="30"/>
      <c r="G15" s="30"/>
      <c r="H15" s="37">
        <v>2</v>
      </c>
      <c r="I15" s="30"/>
      <c r="J15" s="37"/>
      <c r="K15" s="30"/>
    </row>
    <row r="16" spans="1:11" ht="27" customHeight="1" x14ac:dyDescent="0.5">
      <c r="A16" s="36" t="s">
        <v>288</v>
      </c>
      <c r="B16" s="30"/>
      <c r="C16" s="30"/>
      <c r="D16" s="38"/>
      <c r="E16" s="38">
        <v>1</v>
      </c>
      <c r="F16" s="30"/>
      <c r="G16" s="30"/>
      <c r="H16" s="37"/>
      <c r="I16" s="30"/>
      <c r="J16" s="37"/>
      <c r="K16" s="30"/>
    </row>
    <row r="17" spans="1:11" ht="27" customHeight="1" x14ac:dyDescent="0.5">
      <c r="A17" s="36" t="s">
        <v>289</v>
      </c>
      <c r="B17" s="30"/>
      <c r="C17" s="30"/>
      <c r="D17" s="38">
        <v>1</v>
      </c>
      <c r="E17" s="38"/>
      <c r="F17" s="30"/>
      <c r="G17" s="30"/>
      <c r="H17" s="37"/>
      <c r="I17" s="30"/>
      <c r="J17" s="37"/>
      <c r="K17" s="30"/>
    </row>
    <row r="18" spans="1:11" ht="27" customHeight="1" x14ac:dyDescent="0.5">
      <c r="A18" s="36" t="s">
        <v>290</v>
      </c>
      <c r="B18" s="30"/>
      <c r="C18" s="30"/>
      <c r="D18" s="38"/>
      <c r="E18" s="38">
        <v>1</v>
      </c>
      <c r="F18" s="30"/>
      <c r="G18" s="30"/>
      <c r="H18" s="37"/>
      <c r="I18" s="30"/>
      <c r="J18" s="37"/>
      <c r="K18" s="30"/>
    </row>
    <row r="19" spans="1:11" ht="27" customHeight="1" x14ac:dyDescent="0.5">
      <c r="A19" s="36" t="s">
        <v>291</v>
      </c>
      <c r="B19" s="30"/>
      <c r="C19" s="30">
        <v>1</v>
      </c>
      <c r="D19" s="38"/>
      <c r="E19" s="38"/>
      <c r="F19" s="30"/>
      <c r="G19" s="30"/>
      <c r="H19" s="37"/>
      <c r="I19" s="30"/>
      <c r="J19" s="37"/>
      <c r="K19" s="30"/>
    </row>
    <row r="20" spans="1:11" ht="27" customHeight="1" x14ac:dyDescent="0.5">
      <c r="A20" s="36" t="s">
        <v>292</v>
      </c>
      <c r="B20" s="30"/>
      <c r="C20" s="30"/>
      <c r="D20" s="38"/>
      <c r="E20" s="38">
        <v>1</v>
      </c>
      <c r="F20" s="30"/>
      <c r="G20" s="30"/>
      <c r="H20" s="37"/>
      <c r="I20" s="30"/>
      <c r="J20" s="37"/>
      <c r="K20" s="30"/>
    </row>
    <row r="21" spans="1:11" ht="27" customHeight="1" x14ac:dyDescent="0.5">
      <c r="A21" s="36" t="s">
        <v>294</v>
      </c>
      <c r="B21" s="30"/>
      <c r="C21" s="30"/>
      <c r="D21" s="38"/>
      <c r="E21" s="38">
        <v>2</v>
      </c>
      <c r="F21" s="30"/>
      <c r="G21" s="30"/>
      <c r="H21" s="37"/>
      <c r="I21" s="30"/>
      <c r="J21" s="37"/>
      <c r="K21" s="30"/>
    </row>
    <row r="22" spans="1:11" ht="27" customHeight="1" x14ac:dyDescent="0.5">
      <c r="A22" s="36" t="s">
        <v>295</v>
      </c>
      <c r="B22" s="30">
        <v>8</v>
      </c>
      <c r="C22" s="30"/>
      <c r="D22" s="38"/>
      <c r="E22" s="38"/>
      <c r="F22" s="30"/>
      <c r="G22" s="30"/>
      <c r="H22" s="37"/>
      <c r="I22" s="30"/>
      <c r="J22" s="37"/>
      <c r="K22" s="30"/>
    </row>
  </sheetData>
  <mergeCells count="3">
    <mergeCell ref="D1:E1"/>
    <mergeCell ref="B1:C1"/>
    <mergeCell ref="F1:G1"/>
  </mergeCells>
  <phoneticPr fontId="3" type="noConversion"/>
  <pageMargins left="0.25" right="0.25" top="0.75" bottom="0.75" header="0.3" footer="0.3"/>
  <pageSetup paperSize="9" scale="42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view="pageBreakPreview" zoomScale="55" zoomScaleNormal="55" zoomScaleSheetLayoutView="5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Y4" sqref="Y4"/>
    </sheetView>
  </sheetViews>
  <sheetFormatPr defaultColWidth="9" defaultRowHeight="16.5" x14ac:dyDescent="0.3"/>
  <cols>
    <col min="1" max="1" width="32.625" style="4" customWidth="1"/>
    <col min="2" max="3" width="11.875" style="4" customWidth="1"/>
    <col min="4" max="4" width="20" style="39" customWidth="1"/>
    <col min="5" max="16384" width="9" style="4"/>
  </cols>
  <sheetData>
    <row r="1" spans="1:4" ht="144" customHeight="1" x14ac:dyDescent="0.3">
      <c r="A1" s="22" t="s">
        <v>301</v>
      </c>
      <c r="B1" s="103" t="s">
        <v>25</v>
      </c>
      <c r="C1" s="104"/>
      <c r="D1" s="78" t="s">
        <v>138</v>
      </c>
    </row>
    <row r="2" spans="1:4" ht="45" customHeight="1" x14ac:dyDescent="0.3">
      <c r="A2" s="25" t="s">
        <v>29</v>
      </c>
      <c r="B2" s="27"/>
      <c r="C2" s="27"/>
      <c r="D2" s="26"/>
    </row>
    <row r="3" spans="1:4" ht="38.25" customHeight="1" x14ac:dyDescent="0.3">
      <c r="A3" s="31" t="s">
        <v>31</v>
      </c>
      <c r="B3" s="33" t="s">
        <v>34</v>
      </c>
      <c r="C3" s="33" t="s">
        <v>157</v>
      </c>
      <c r="D3" s="32" t="s">
        <v>35</v>
      </c>
    </row>
    <row r="4" spans="1:4" ht="38.25" customHeight="1" x14ac:dyDescent="0.3">
      <c r="A4" s="34" t="s">
        <v>37</v>
      </c>
      <c r="B4" s="35">
        <f>SUM(B5:B10)</f>
        <v>96</v>
      </c>
      <c r="C4" s="35">
        <f>SUM(C5:C10)</f>
        <v>6</v>
      </c>
      <c r="D4" s="35">
        <f>SUM(D5:D10)</f>
        <v>16</v>
      </c>
    </row>
    <row r="5" spans="1:4" ht="27" customHeight="1" x14ac:dyDescent="0.5">
      <c r="A5" s="36" t="s">
        <v>302</v>
      </c>
      <c r="B5" s="30"/>
      <c r="C5" s="30"/>
      <c r="D5" s="37">
        <v>16</v>
      </c>
    </row>
    <row r="6" spans="1:4" ht="27" customHeight="1" x14ac:dyDescent="0.5">
      <c r="A6" s="36" t="s">
        <v>174</v>
      </c>
      <c r="B6" s="30">
        <v>16</v>
      </c>
      <c r="C6" s="30"/>
      <c r="D6" s="37"/>
    </row>
    <row r="7" spans="1:4" ht="27" customHeight="1" x14ac:dyDescent="0.5">
      <c r="A7" s="36" t="s">
        <v>303</v>
      </c>
      <c r="B7" s="30">
        <v>32</v>
      </c>
      <c r="C7" s="30"/>
      <c r="D7" s="37"/>
    </row>
    <row r="8" spans="1:4" ht="27" customHeight="1" x14ac:dyDescent="0.5">
      <c r="A8" s="36" t="s">
        <v>304</v>
      </c>
      <c r="B8" s="30">
        <v>32</v>
      </c>
      <c r="C8" s="30"/>
      <c r="D8" s="37"/>
    </row>
    <row r="9" spans="1:4" ht="27" customHeight="1" x14ac:dyDescent="0.5">
      <c r="A9" s="36" t="s">
        <v>305</v>
      </c>
      <c r="B9" s="30"/>
      <c r="C9" s="30">
        <v>6</v>
      </c>
      <c r="D9" s="37"/>
    </row>
    <row r="10" spans="1:4" ht="27" customHeight="1" x14ac:dyDescent="0.5">
      <c r="A10" s="36" t="s">
        <v>173</v>
      </c>
      <c r="B10" s="30">
        <v>16</v>
      </c>
      <c r="C10" s="30"/>
      <c r="D10" s="37"/>
    </row>
  </sheetData>
  <mergeCells count="1">
    <mergeCell ref="B1:C1"/>
  </mergeCells>
  <phoneticPr fontId="3" type="noConversion"/>
  <pageMargins left="0.25" right="0.25" top="0.75" bottom="0.75" header="0.3" footer="0.3"/>
  <pageSetup paperSize="9" scale="4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view="pageBreakPreview" zoomScale="40" zoomScaleNormal="40" zoomScaleSheetLayoutView="40" workbookViewId="0">
      <pane xSplit="1" ySplit="4" topLeftCell="B5" activePane="bottomRight" state="frozen"/>
      <selection pane="topRight"/>
      <selection pane="bottomLeft"/>
      <selection pane="bottomRight" activeCell="F10" sqref="F10"/>
    </sheetView>
  </sheetViews>
  <sheetFormatPr defaultColWidth="9" defaultRowHeight="16.5" x14ac:dyDescent="0.3"/>
  <cols>
    <col min="1" max="1" width="50.875" style="4" customWidth="1"/>
    <col min="2" max="7" width="26.875" style="4" customWidth="1"/>
    <col min="8" max="9" width="24.5" style="4" customWidth="1"/>
    <col min="10" max="16384" width="9" style="4"/>
  </cols>
  <sheetData>
    <row r="1" spans="1:9" ht="265.5" customHeight="1" x14ac:dyDescent="0.3">
      <c r="A1" s="98" t="s">
        <v>306</v>
      </c>
      <c r="B1" s="1" t="s">
        <v>0</v>
      </c>
      <c r="C1" s="1" t="s">
        <v>1</v>
      </c>
      <c r="D1" s="1" t="s">
        <v>1</v>
      </c>
      <c r="E1" s="80" t="s">
        <v>2</v>
      </c>
      <c r="F1" s="1" t="s">
        <v>3</v>
      </c>
      <c r="G1" s="1" t="s">
        <v>4</v>
      </c>
      <c r="H1" s="3"/>
      <c r="I1" s="3"/>
    </row>
    <row r="2" spans="1:9" ht="68.25" customHeight="1" x14ac:dyDescent="0.3">
      <c r="A2" s="98"/>
      <c r="B2" s="5" t="s">
        <v>5</v>
      </c>
      <c r="C2" s="5" t="s">
        <v>6</v>
      </c>
      <c r="D2" s="5" t="s">
        <v>7</v>
      </c>
      <c r="E2" s="6" t="s">
        <v>6</v>
      </c>
      <c r="F2" s="5" t="s">
        <v>8</v>
      </c>
      <c r="G2" s="5" t="s">
        <v>9</v>
      </c>
      <c r="H2" s="3"/>
      <c r="I2" s="3"/>
    </row>
    <row r="3" spans="1:9" ht="68.25" customHeight="1" x14ac:dyDescent="0.3">
      <c r="A3" s="99"/>
      <c r="B3" s="5" t="s">
        <v>10</v>
      </c>
      <c r="C3" s="5" t="s">
        <v>10</v>
      </c>
      <c r="D3" s="5" t="s">
        <v>10</v>
      </c>
      <c r="E3" s="6" t="s">
        <v>10</v>
      </c>
      <c r="F3" s="5" t="s">
        <v>10</v>
      </c>
      <c r="G3" s="5" t="s">
        <v>10</v>
      </c>
      <c r="H3" s="3"/>
      <c r="I3" s="3"/>
    </row>
    <row r="4" spans="1:9" ht="110.25" customHeight="1" x14ac:dyDescent="0.3">
      <c r="A4" s="7"/>
      <c r="B4" s="8">
        <f t="shared" ref="B4:E4" si="0">SUM(B5:B7)</f>
        <v>0</v>
      </c>
      <c r="C4" s="8">
        <f t="shared" si="0"/>
        <v>56</v>
      </c>
      <c r="D4" s="8">
        <f t="shared" si="0"/>
        <v>320</v>
      </c>
      <c r="E4" s="8">
        <f t="shared" si="0"/>
        <v>72</v>
      </c>
      <c r="F4" s="8">
        <f>SUM(F5:F7)</f>
        <v>40</v>
      </c>
      <c r="G4" s="8">
        <f>SUM(G5:G7)</f>
        <v>0</v>
      </c>
      <c r="H4" s="9"/>
      <c r="I4" s="9"/>
    </row>
    <row r="5" spans="1:9" ht="92.25" customHeight="1" x14ac:dyDescent="0.3">
      <c r="A5" s="10" t="s">
        <v>11</v>
      </c>
      <c r="B5" s="11"/>
      <c r="C5" s="12">
        <v>16</v>
      </c>
      <c r="D5" s="12">
        <v>96</v>
      </c>
      <c r="E5" s="12">
        <v>24</v>
      </c>
      <c r="F5" s="12"/>
      <c r="G5" s="12"/>
      <c r="H5" s="9"/>
      <c r="I5" s="9"/>
    </row>
    <row r="6" spans="1:9" ht="92.25" customHeight="1" x14ac:dyDescent="0.3">
      <c r="A6" s="10" t="s">
        <v>12</v>
      </c>
      <c r="B6" s="11"/>
      <c r="C6" s="12">
        <v>8</v>
      </c>
      <c r="D6" s="12">
        <v>144</v>
      </c>
      <c r="E6" s="12">
        <v>20</v>
      </c>
      <c r="F6" s="12">
        <v>20</v>
      </c>
      <c r="G6" s="12"/>
      <c r="H6" s="9"/>
      <c r="I6" s="9"/>
    </row>
    <row r="7" spans="1:9" ht="92.25" customHeight="1" x14ac:dyDescent="0.3">
      <c r="A7" s="10" t="s">
        <v>13</v>
      </c>
      <c r="B7" s="11"/>
      <c r="C7" s="12">
        <f>8+24</f>
        <v>32</v>
      </c>
      <c r="D7" s="12">
        <f>48+32</f>
        <v>80</v>
      </c>
      <c r="E7" s="12">
        <f>16+12</f>
        <v>28</v>
      </c>
      <c r="F7" s="12">
        <v>20</v>
      </c>
      <c r="G7" s="12"/>
      <c r="H7" s="13"/>
      <c r="I7" s="13"/>
    </row>
    <row r="8" spans="1:9" ht="27" customHeight="1" x14ac:dyDescent="0.3">
      <c r="B8" s="14"/>
      <c r="C8" s="14"/>
      <c r="D8" s="14"/>
      <c r="E8" s="14"/>
      <c r="F8" s="14"/>
      <c r="G8" s="14"/>
      <c r="H8" s="15"/>
      <c r="I8" s="15"/>
    </row>
    <row r="9" spans="1:9" ht="27" customHeight="1" x14ac:dyDescent="0.3">
      <c r="A9" s="16"/>
      <c r="H9" s="3"/>
      <c r="I9" s="3"/>
    </row>
    <row r="10" spans="1:9" ht="110.25" customHeight="1" x14ac:dyDescent="0.3">
      <c r="A10" s="17"/>
      <c r="B10" s="18" t="s">
        <v>14</v>
      </c>
      <c r="C10" s="18" t="s">
        <v>15</v>
      </c>
      <c r="D10" s="18" t="s">
        <v>16</v>
      </c>
      <c r="E10" s="18" t="s">
        <v>17</v>
      </c>
      <c r="F10" s="19" t="s">
        <v>18</v>
      </c>
      <c r="G10" s="18" t="s">
        <v>19</v>
      </c>
      <c r="H10" s="3"/>
      <c r="I10" s="3"/>
    </row>
    <row r="11" spans="1:9" ht="84" customHeight="1" x14ac:dyDescent="0.3">
      <c r="A11" s="10" t="s">
        <v>11</v>
      </c>
      <c r="B11" s="20"/>
      <c r="C11" s="20">
        <f>C5/4</f>
        <v>4</v>
      </c>
      <c r="D11" s="20">
        <f>D5/16</f>
        <v>6</v>
      </c>
      <c r="E11" s="20">
        <f>E5/4</f>
        <v>6</v>
      </c>
      <c r="F11" s="20"/>
      <c r="G11" s="20" t="s">
        <v>308</v>
      </c>
      <c r="H11" s="21">
        <f>SUM(B11:G11)</f>
        <v>16</v>
      </c>
      <c r="I11" s="21" t="s">
        <v>176</v>
      </c>
    </row>
    <row r="12" spans="1:9" ht="84" customHeight="1" x14ac:dyDescent="0.3">
      <c r="A12" s="10" t="s">
        <v>12</v>
      </c>
      <c r="B12" s="20"/>
      <c r="C12" s="20">
        <f>C6/4</f>
        <v>2</v>
      </c>
      <c r="D12" s="20">
        <f>D6/16</f>
        <v>9</v>
      </c>
      <c r="E12" s="20">
        <f>E6/4</f>
        <v>5</v>
      </c>
      <c r="F12" s="20">
        <f t="shared" ref="F12:F13" si="1">F6/20</f>
        <v>1</v>
      </c>
      <c r="G12" s="20"/>
      <c r="H12" s="21">
        <f t="shared" ref="H12:H13" si="2">SUM(B12:G12)</f>
        <v>17</v>
      </c>
      <c r="I12" s="21" t="s">
        <v>307</v>
      </c>
    </row>
    <row r="13" spans="1:9" ht="84" customHeight="1" x14ac:dyDescent="0.3">
      <c r="A13" s="10" t="s">
        <v>13</v>
      </c>
      <c r="B13" s="20"/>
      <c r="C13" s="20">
        <f>C7/4</f>
        <v>8</v>
      </c>
      <c r="D13" s="20">
        <f>D7/16</f>
        <v>5</v>
      </c>
      <c r="E13" s="20">
        <f>E7/4</f>
        <v>7</v>
      </c>
      <c r="F13" s="20">
        <f t="shared" si="1"/>
        <v>1</v>
      </c>
      <c r="G13" s="20"/>
      <c r="H13" s="21">
        <f t="shared" si="2"/>
        <v>21</v>
      </c>
      <c r="I13" s="21" t="s">
        <v>176</v>
      </c>
    </row>
  </sheetData>
  <mergeCells count="1">
    <mergeCell ref="A1:A3"/>
  </mergeCells>
  <phoneticPr fontId="3" type="noConversion"/>
  <conditionalFormatting sqref="A5">
    <cfRule type="duplicateValues" dxfId="17" priority="4"/>
  </conditionalFormatting>
  <conditionalFormatting sqref="A6">
    <cfRule type="duplicateValues" dxfId="16" priority="5"/>
  </conditionalFormatting>
  <conditionalFormatting sqref="A7">
    <cfRule type="duplicateValues" dxfId="15" priority="2"/>
  </conditionalFormatting>
  <conditionalFormatting sqref="A11">
    <cfRule type="duplicateValues" dxfId="14" priority="3"/>
  </conditionalFormatting>
  <conditionalFormatting sqref="A12">
    <cfRule type="duplicateValues" dxfId="13" priority="6"/>
  </conditionalFormatting>
  <conditionalFormatting sqref="A13">
    <cfRule type="duplicateValues" dxfId="12" priority="1"/>
  </conditionalFormatting>
  <pageMargins left="0.25" right="0.25" top="0.75" bottom="0.75" header="0.30000001192092896" footer="0.30000001192092896"/>
  <pageSetup paperSize="9" scale="3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view="pageBreakPreview" zoomScale="40" zoomScaleNormal="40" zoomScaleSheetLayoutView="40" workbookViewId="0">
      <pane xSplit="1" ySplit="4" topLeftCell="B5" activePane="bottomRight" state="frozen"/>
      <selection pane="topRight"/>
      <selection pane="bottomLeft"/>
      <selection pane="bottomRight" activeCell="I7" sqref="I7"/>
    </sheetView>
  </sheetViews>
  <sheetFormatPr defaultColWidth="9" defaultRowHeight="16.5" x14ac:dyDescent="0.3"/>
  <cols>
    <col min="1" max="1" width="50.875" style="4" customWidth="1"/>
    <col min="2" max="7" width="26.875" style="4" customWidth="1"/>
    <col min="8" max="9" width="24.5" style="4" customWidth="1"/>
    <col min="10" max="10" width="9" style="4"/>
    <col min="11" max="11" width="32.125" style="4" customWidth="1"/>
    <col min="12" max="12" width="18.25" style="4" customWidth="1"/>
    <col min="13" max="16384" width="9" style="4"/>
  </cols>
  <sheetData>
    <row r="1" spans="1:12" ht="265.5" customHeight="1" x14ac:dyDescent="0.3">
      <c r="A1" s="98" t="s">
        <v>312</v>
      </c>
      <c r="B1" s="1" t="s">
        <v>0</v>
      </c>
      <c r="C1" s="1" t="s">
        <v>1</v>
      </c>
      <c r="D1" s="1" t="s">
        <v>1</v>
      </c>
      <c r="E1" s="81" t="s">
        <v>2</v>
      </c>
      <c r="F1" s="1" t="s">
        <v>3</v>
      </c>
      <c r="G1" s="1" t="s">
        <v>309</v>
      </c>
      <c r="H1" s="3"/>
      <c r="I1" s="3"/>
    </row>
    <row r="2" spans="1:12" ht="68.25" customHeight="1" x14ac:dyDescent="0.3">
      <c r="A2" s="98"/>
      <c r="B2" s="5" t="s">
        <v>5</v>
      </c>
      <c r="C2" s="5" t="s">
        <v>6</v>
      </c>
      <c r="D2" s="5" t="s">
        <v>7</v>
      </c>
      <c r="E2" s="6" t="s">
        <v>6</v>
      </c>
      <c r="F2" s="5" t="s">
        <v>8</v>
      </c>
      <c r="G2" s="5" t="s">
        <v>310</v>
      </c>
      <c r="H2" s="3"/>
      <c r="I2" s="3"/>
    </row>
    <row r="3" spans="1:12" ht="68.25" customHeight="1" x14ac:dyDescent="0.3">
      <c r="A3" s="99"/>
      <c r="B3" s="5" t="s">
        <v>10</v>
      </c>
      <c r="C3" s="5" t="s">
        <v>10</v>
      </c>
      <c r="D3" s="5" t="s">
        <v>10</v>
      </c>
      <c r="E3" s="6" t="s">
        <v>10</v>
      </c>
      <c r="F3" s="5" t="s">
        <v>10</v>
      </c>
      <c r="G3" s="5" t="s">
        <v>10</v>
      </c>
      <c r="H3" s="3"/>
      <c r="I3" s="3"/>
    </row>
    <row r="4" spans="1:12" ht="110.25" customHeight="1" x14ac:dyDescent="0.3">
      <c r="A4" s="7"/>
      <c r="B4" s="8">
        <f t="shared" ref="B4:E4" si="0">SUM(B5:B7)</f>
        <v>0</v>
      </c>
      <c r="C4" s="8">
        <f t="shared" si="0"/>
        <v>2288</v>
      </c>
      <c r="D4" s="8">
        <f t="shared" si="0"/>
        <v>256</v>
      </c>
      <c r="E4" s="8">
        <f t="shared" si="0"/>
        <v>68</v>
      </c>
      <c r="F4" s="8">
        <f>SUM(F5:F7)</f>
        <v>40</v>
      </c>
      <c r="G4" s="8">
        <f>SUM(G5:G7)</f>
        <v>0</v>
      </c>
      <c r="H4" s="9"/>
      <c r="I4" s="9"/>
    </row>
    <row r="5" spans="1:12" ht="92.25" customHeight="1" x14ac:dyDescent="0.3">
      <c r="A5" s="10" t="s">
        <v>11</v>
      </c>
      <c r="B5" s="11"/>
      <c r="C5" s="12">
        <v>1016</v>
      </c>
      <c r="D5" s="12">
        <v>128</v>
      </c>
      <c r="E5" s="12">
        <v>28</v>
      </c>
      <c r="F5" s="12">
        <v>40</v>
      </c>
      <c r="G5" s="12"/>
      <c r="H5" s="9"/>
      <c r="I5" s="9"/>
    </row>
    <row r="6" spans="1:12" ht="92.25" customHeight="1" x14ac:dyDescent="0.3">
      <c r="A6" s="10" t="s">
        <v>12</v>
      </c>
      <c r="B6" s="11"/>
      <c r="C6" s="12">
        <v>580</v>
      </c>
      <c r="D6" s="12">
        <v>96</v>
      </c>
      <c r="E6" s="12">
        <v>32</v>
      </c>
      <c r="F6" s="12"/>
      <c r="G6" s="12"/>
      <c r="H6" s="9"/>
      <c r="I6" s="9"/>
      <c r="L6" s="85"/>
    </row>
    <row r="7" spans="1:12" ht="92.25" customHeight="1" x14ac:dyDescent="0.3">
      <c r="A7" s="10" t="s">
        <v>13</v>
      </c>
      <c r="B7" s="11"/>
      <c r="C7" s="12">
        <f>684+8</f>
        <v>692</v>
      </c>
      <c r="D7" s="12">
        <v>32</v>
      </c>
      <c r="E7" s="12">
        <v>8</v>
      </c>
      <c r="F7" s="12"/>
      <c r="G7" s="12"/>
      <c r="H7" s="13"/>
      <c r="I7" s="13"/>
      <c r="K7" s="86"/>
    </row>
    <row r="8" spans="1:12" ht="27" customHeight="1" x14ac:dyDescent="0.3">
      <c r="B8" s="14"/>
      <c r="C8" s="14"/>
      <c r="D8" s="14"/>
      <c r="E8" s="14"/>
      <c r="F8" s="14"/>
      <c r="G8" s="14"/>
      <c r="H8" s="15"/>
      <c r="I8" s="15"/>
    </row>
    <row r="9" spans="1:12" ht="27" customHeight="1" x14ac:dyDescent="0.3">
      <c r="A9" s="16"/>
      <c r="H9" s="3"/>
      <c r="I9" s="3"/>
    </row>
    <row r="10" spans="1:12" ht="110.25" customHeight="1" x14ac:dyDescent="0.3">
      <c r="A10" s="17"/>
      <c r="B10" s="18" t="s">
        <v>14</v>
      </c>
      <c r="C10" s="18" t="s">
        <v>15</v>
      </c>
      <c r="D10" s="18" t="s">
        <v>16</v>
      </c>
      <c r="E10" s="18" t="s">
        <v>17</v>
      </c>
      <c r="F10" s="19" t="s">
        <v>18</v>
      </c>
      <c r="G10" s="18" t="s">
        <v>311</v>
      </c>
      <c r="H10" s="3"/>
      <c r="I10" s="3"/>
      <c r="K10" s="110" t="s">
        <v>313</v>
      </c>
      <c r="L10" s="110"/>
    </row>
    <row r="11" spans="1:12" ht="84" customHeight="1" x14ac:dyDescent="0.3">
      <c r="A11" s="10" t="s">
        <v>11</v>
      </c>
      <c r="B11" s="20"/>
      <c r="C11" s="20">
        <f t="shared" ref="C11:C12" si="1">C5/4</f>
        <v>254</v>
      </c>
      <c r="D11" s="20">
        <f>D5/16</f>
        <v>8</v>
      </c>
      <c r="E11" s="20">
        <f>E5/4</f>
        <v>7</v>
      </c>
      <c r="F11" s="20">
        <f>F5/20</f>
        <v>2</v>
      </c>
      <c r="G11" s="20"/>
      <c r="H11" s="21">
        <f>SUM(B11:G11)</f>
        <v>271</v>
      </c>
      <c r="I11" s="21" t="s">
        <v>327</v>
      </c>
      <c r="K11" s="87" t="s">
        <v>324</v>
      </c>
      <c r="L11" s="85">
        <f>C11-(56*4)</f>
        <v>30</v>
      </c>
    </row>
    <row r="12" spans="1:12" ht="84" customHeight="1" x14ac:dyDescent="0.3">
      <c r="A12" s="10" t="s">
        <v>12</v>
      </c>
      <c r="B12" s="20"/>
      <c r="C12" s="20">
        <f t="shared" si="1"/>
        <v>145</v>
      </c>
      <c r="D12" s="20">
        <f>D6/16</f>
        <v>6</v>
      </c>
      <c r="E12" s="20">
        <f>E6/4</f>
        <v>8</v>
      </c>
      <c r="F12" s="20"/>
      <c r="G12" s="20"/>
      <c r="H12" s="21">
        <f>SUM(B12:G12)</f>
        <v>159</v>
      </c>
      <c r="I12" s="21" t="s">
        <v>328</v>
      </c>
      <c r="K12" s="87" t="s">
        <v>325</v>
      </c>
      <c r="L12" s="85">
        <f>C12-(56*2)</f>
        <v>33</v>
      </c>
    </row>
    <row r="13" spans="1:12" ht="84" customHeight="1" x14ac:dyDescent="0.3">
      <c r="A13" s="10" t="s">
        <v>13</v>
      </c>
      <c r="B13" s="20"/>
      <c r="C13" s="20">
        <f>C7/4</f>
        <v>173</v>
      </c>
      <c r="D13" s="20">
        <f>D7/16</f>
        <v>2</v>
      </c>
      <c r="E13" s="20">
        <f>E7/4</f>
        <v>2</v>
      </c>
      <c r="F13" s="20"/>
      <c r="G13" s="20"/>
      <c r="H13" s="21">
        <f>SUM(B13:G13)</f>
        <v>177</v>
      </c>
      <c r="I13" s="21" t="s">
        <v>330</v>
      </c>
      <c r="K13" s="87" t="s">
        <v>326</v>
      </c>
      <c r="L13" s="85">
        <f>C13-(56*3)</f>
        <v>5</v>
      </c>
    </row>
  </sheetData>
  <mergeCells count="2">
    <mergeCell ref="A1:A3"/>
    <mergeCell ref="K10:L10"/>
  </mergeCells>
  <phoneticPr fontId="3" type="noConversion"/>
  <conditionalFormatting sqref="A5">
    <cfRule type="duplicateValues" dxfId="11" priority="4"/>
  </conditionalFormatting>
  <conditionalFormatting sqref="A6">
    <cfRule type="duplicateValues" dxfId="10" priority="5"/>
  </conditionalFormatting>
  <conditionalFormatting sqref="A7">
    <cfRule type="duplicateValues" dxfId="9" priority="2"/>
  </conditionalFormatting>
  <conditionalFormatting sqref="A11">
    <cfRule type="duplicateValues" dxfId="8" priority="3"/>
  </conditionalFormatting>
  <conditionalFormatting sqref="A12">
    <cfRule type="duplicateValues" dxfId="7" priority="6"/>
  </conditionalFormatting>
  <conditionalFormatting sqref="A13">
    <cfRule type="duplicateValues" dxfId="6" priority="1"/>
  </conditionalFormatting>
  <pageMargins left="0.25" right="0.25" top="0.75" bottom="0.75" header="0.30000001192092896" footer="0.30000001192092896"/>
  <pageSetup paperSize="9" scale="33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3"/>
  <sheetViews>
    <sheetView view="pageBreakPreview" zoomScale="55" zoomScaleNormal="55" zoomScaleSheetLayoutView="55" workbookViewId="0">
      <pane xSplit="1" ySplit="4" topLeftCell="B50" activePane="bottomRight" state="frozen"/>
      <selection pane="topRight" activeCell="B1" sqref="B1"/>
      <selection pane="bottomLeft" activeCell="A5" sqref="A5"/>
      <selection pane="bottomRight" activeCell="P65" sqref="P65"/>
    </sheetView>
  </sheetViews>
  <sheetFormatPr defaultColWidth="9" defaultRowHeight="16.5" x14ac:dyDescent="0.3"/>
  <cols>
    <col min="1" max="1" width="28.75" style="4" customWidth="1"/>
    <col min="2" max="2" width="12.875" style="39" customWidth="1"/>
    <col min="3" max="14" width="8.375" style="4" customWidth="1"/>
    <col min="15" max="15" width="15.125" style="39" customWidth="1"/>
    <col min="16" max="16" width="15.125" style="4" customWidth="1"/>
    <col min="17" max="17" width="15.125" style="39" customWidth="1"/>
    <col min="18" max="18" width="15.125" style="4" customWidth="1"/>
    <col min="19" max="19" width="15.125" style="39" customWidth="1"/>
    <col min="20" max="20" width="15.125" style="4" customWidth="1"/>
    <col min="21" max="21" width="15.125" style="39" customWidth="1"/>
    <col min="22" max="22" width="15.125" style="4" customWidth="1"/>
    <col min="23" max="23" width="15.125" style="39" customWidth="1"/>
    <col min="24" max="24" width="15.125" style="4" customWidth="1"/>
    <col min="25" max="25" width="15.125" style="39" customWidth="1"/>
    <col min="26" max="26" width="12.5" style="4" customWidth="1"/>
    <col min="27" max="16384" width="9" style="4"/>
  </cols>
  <sheetData>
    <row r="1" spans="1:26" ht="144" customHeight="1" x14ac:dyDescent="0.3">
      <c r="A1" s="22" t="s">
        <v>314</v>
      </c>
      <c r="B1" s="82" t="s">
        <v>22</v>
      </c>
      <c r="C1" s="103" t="s">
        <v>23</v>
      </c>
      <c r="D1" s="105"/>
      <c r="E1" s="105"/>
      <c r="F1" s="104"/>
      <c r="G1" s="100" t="s">
        <v>24</v>
      </c>
      <c r="H1" s="102"/>
      <c r="I1" s="102"/>
      <c r="J1" s="102"/>
      <c r="K1" s="102"/>
      <c r="L1" s="103" t="s">
        <v>25</v>
      </c>
      <c r="M1" s="105"/>
      <c r="N1" s="104"/>
      <c r="O1" s="82" t="s">
        <v>60</v>
      </c>
      <c r="P1" s="83" t="s">
        <v>170</v>
      </c>
      <c r="Q1" s="88" t="s">
        <v>203</v>
      </c>
      <c r="R1" s="89" t="s">
        <v>86</v>
      </c>
      <c r="S1" s="82" t="s">
        <v>163</v>
      </c>
      <c r="T1" s="89" t="s">
        <v>376</v>
      </c>
      <c r="U1" s="82" t="s">
        <v>189</v>
      </c>
      <c r="V1" s="83" t="s">
        <v>233</v>
      </c>
      <c r="W1" s="88" t="s">
        <v>64</v>
      </c>
      <c r="X1" s="89" t="s">
        <v>243</v>
      </c>
      <c r="Y1" s="88" t="s">
        <v>374</v>
      </c>
      <c r="Z1" s="89" t="s">
        <v>87</v>
      </c>
    </row>
    <row r="2" spans="1:26" ht="45" customHeight="1" x14ac:dyDescent="0.3">
      <c r="A2" s="25" t="s">
        <v>29</v>
      </c>
      <c r="B2" s="26"/>
      <c r="C2" s="27"/>
      <c r="D2" s="27" t="s">
        <v>178</v>
      </c>
      <c r="E2" s="27"/>
      <c r="F2" s="27"/>
      <c r="G2" s="108" t="s">
        <v>379</v>
      </c>
      <c r="H2" s="109"/>
      <c r="I2" s="92"/>
      <c r="J2" s="90"/>
      <c r="K2" s="84"/>
      <c r="L2" s="27"/>
      <c r="M2" s="27"/>
      <c r="N2" s="27" t="s">
        <v>178</v>
      </c>
      <c r="O2" s="26"/>
      <c r="P2" s="27"/>
      <c r="Q2" s="26"/>
      <c r="R2" s="27"/>
      <c r="S2" s="26"/>
      <c r="T2" s="27"/>
      <c r="U2" s="26"/>
      <c r="V2" s="27"/>
      <c r="W2" s="26"/>
      <c r="X2" s="27"/>
      <c r="Y2" s="26"/>
      <c r="Z2" s="27"/>
    </row>
    <row r="3" spans="1:26" ht="38.25" customHeight="1" x14ac:dyDescent="0.3">
      <c r="A3" s="31" t="s">
        <v>31</v>
      </c>
      <c r="B3" s="32" t="s">
        <v>128</v>
      </c>
      <c r="C3" s="33" t="s">
        <v>95</v>
      </c>
      <c r="D3" s="33" t="s">
        <v>9</v>
      </c>
      <c r="E3" s="33" t="s">
        <v>323</v>
      </c>
      <c r="F3" s="33" t="s">
        <v>33</v>
      </c>
      <c r="G3" s="32" t="s">
        <v>157</v>
      </c>
      <c r="H3" s="32" t="s">
        <v>32</v>
      </c>
      <c r="I3" s="32" t="s">
        <v>390</v>
      </c>
      <c r="J3" s="32" t="s">
        <v>32</v>
      </c>
      <c r="K3" s="32" t="s">
        <v>33</v>
      </c>
      <c r="L3" s="33" t="s">
        <v>34</v>
      </c>
      <c r="M3" s="33" t="s">
        <v>157</v>
      </c>
      <c r="N3" s="33" t="s">
        <v>9</v>
      </c>
      <c r="O3" s="32" t="s">
        <v>35</v>
      </c>
      <c r="P3" s="33" t="s">
        <v>141</v>
      </c>
      <c r="Q3" s="32" t="s">
        <v>375</v>
      </c>
      <c r="R3" s="33" t="s">
        <v>95</v>
      </c>
      <c r="S3" s="32" t="s">
        <v>95</v>
      </c>
      <c r="T3" s="33" t="s">
        <v>95</v>
      </c>
      <c r="U3" s="32" t="s">
        <v>95</v>
      </c>
      <c r="V3" s="33" t="s">
        <v>95</v>
      </c>
      <c r="W3" s="32" t="s">
        <v>34</v>
      </c>
      <c r="X3" s="33" t="s">
        <v>377</v>
      </c>
      <c r="Y3" s="32" t="s">
        <v>378</v>
      </c>
      <c r="Z3" s="33" t="s">
        <v>34</v>
      </c>
    </row>
    <row r="4" spans="1:26" ht="38.25" customHeight="1" x14ac:dyDescent="0.3">
      <c r="A4" s="34" t="s">
        <v>37</v>
      </c>
      <c r="B4" s="35">
        <f t="shared" ref="B4:I4" si="0">SUM(B5:B73)</f>
        <v>1</v>
      </c>
      <c r="C4" s="35">
        <f t="shared" si="0"/>
        <v>40</v>
      </c>
      <c r="D4" s="35">
        <f t="shared" si="0"/>
        <v>18</v>
      </c>
      <c r="E4" s="35">
        <f t="shared" si="0"/>
        <v>32</v>
      </c>
      <c r="F4" s="35">
        <f t="shared" si="0"/>
        <v>13</v>
      </c>
      <c r="G4" s="35">
        <f t="shared" si="0"/>
        <v>18</v>
      </c>
      <c r="H4" s="35">
        <f t="shared" si="0"/>
        <v>16</v>
      </c>
      <c r="I4" s="35">
        <f t="shared" si="0"/>
        <v>3</v>
      </c>
      <c r="J4" s="35">
        <f t="shared" ref="J4" si="1">SUM(J5:J73)</f>
        <v>2</v>
      </c>
      <c r="K4" s="35">
        <f t="shared" ref="K4:Z4" si="2">SUM(K5:K73)</f>
        <v>23</v>
      </c>
      <c r="L4" s="35">
        <f t="shared" si="2"/>
        <v>4</v>
      </c>
      <c r="M4" s="35">
        <f t="shared" si="2"/>
        <v>5</v>
      </c>
      <c r="N4" s="35">
        <f t="shared" si="2"/>
        <v>8</v>
      </c>
      <c r="O4" s="35">
        <f t="shared" si="2"/>
        <v>1</v>
      </c>
      <c r="P4" s="35">
        <f t="shared" si="2"/>
        <v>1</v>
      </c>
      <c r="Q4" s="35">
        <f t="shared" si="2"/>
        <v>4</v>
      </c>
      <c r="R4" s="35">
        <f t="shared" si="2"/>
        <v>5</v>
      </c>
      <c r="S4" s="35">
        <f t="shared" si="2"/>
        <v>6</v>
      </c>
      <c r="T4" s="35">
        <f t="shared" si="2"/>
        <v>1</v>
      </c>
      <c r="U4" s="35">
        <f t="shared" si="2"/>
        <v>2</v>
      </c>
      <c r="V4" s="35">
        <f t="shared" si="2"/>
        <v>2</v>
      </c>
      <c r="W4" s="35">
        <f t="shared" si="2"/>
        <v>1</v>
      </c>
      <c r="X4" s="35">
        <f t="shared" si="2"/>
        <v>1</v>
      </c>
      <c r="Y4" s="35">
        <f t="shared" si="2"/>
        <v>1</v>
      </c>
      <c r="Z4" s="35">
        <f t="shared" si="2"/>
        <v>20</v>
      </c>
    </row>
    <row r="5" spans="1:26" ht="27" customHeight="1" x14ac:dyDescent="0.5">
      <c r="A5" s="36" t="s">
        <v>315</v>
      </c>
      <c r="B5" s="37"/>
      <c r="C5" s="30"/>
      <c r="D5" s="30">
        <v>6</v>
      </c>
      <c r="E5" s="30"/>
      <c r="F5" s="30"/>
      <c r="G5" s="38"/>
      <c r="H5" s="38"/>
      <c r="I5" s="38"/>
      <c r="J5" s="38"/>
      <c r="K5" s="38"/>
      <c r="L5" s="30"/>
      <c r="M5" s="30"/>
      <c r="N5" s="30"/>
      <c r="O5" s="37"/>
      <c r="P5" s="30"/>
      <c r="Q5" s="37"/>
      <c r="R5" s="30"/>
      <c r="S5" s="37"/>
      <c r="T5" s="30"/>
      <c r="U5" s="37"/>
      <c r="V5" s="30"/>
      <c r="W5" s="37"/>
      <c r="X5" s="30"/>
      <c r="Y5" s="37"/>
      <c r="Z5" s="30"/>
    </row>
    <row r="6" spans="1:26" ht="27" customHeight="1" x14ac:dyDescent="0.5">
      <c r="A6" s="36" t="s">
        <v>316</v>
      </c>
      <c r="B6" s="37"/>
      <c r="C6" s="30"/>
      <c r="D6" s="30">
        <v>4</v>
      </c>
      <c r="E6" s="30"/>
      <c r="F6" s="30"/>
      <c r="G6" s="38"/>
      <c r="H6" s="38"/>
      <c r="I6" s="38"/>
      <c r="J6" s="38"/>
      <c r="K6" s="38"/>
      <c r="L6" s="30"/>
      <c r="M6" s="30"/>
      <c r="N6" s="30"/>
      <c r="O6" s="37"/>
      <c r="P6" s="30"/>
      <c r="Q6" s="37"/>
      <c r="R6" s="30"/>
      <c r="S6" s="37"/>
      <c r="T6" s="30"/>
      <c r="U6" s="37"/>
      <c r="V6" s="30"/>
      <c r="W6" s="37"/>
      <c r="X6" s="30"/>
      <c r="Y6" s="37"/>
      <c r="Z6" s="30"/>
    </row>
    <row r="7" spans="1:26" ht="27" customHeight="1" x14ac:dyDescent="0.5">
      <c r="A7" s="36" t="s">
        <v>317</v>
      </c>
      <c r="B7" s="37"/>
      <c r="C7" s="30"/>
      <c r="D7" s="30">
        <v>3</v>
      </c>
      <c r="E7" s="30"/>
      <c r="F7" s="30"/>
      <c r="G7" s="38"/>
      <c r="H7" s="38"/>
      <c r="I7" s="38"/>
      <c r="J7" s="38"/>
      <c r="K7" s="38"/>
      <c r="L7" s="30"/>
      <c r="M7" s="30"/>
      <c r="N7" s="30"/>
      <c r="O7" s="37"/>
      <c r="P7" s="30"/>
      <c r="Q7" s="37"/>
      <c r="R7" s="30"/>
      <c r="S7" s="37"/>
      <c r="T7" s="30"/>
      <c r="U7" s="37"/>
      <c r="V7" s="30"/>
      <c r="W7" s="37"/>
      <c r="X7" s="30"/>
      <c r="Y7" s="37"/>
      <c r="Z7" s="30"/>
    </row>
    <row r="8" spans="1:26" ht="27" customHeight="1" x14ac:dyDescent="0.5">
      <c r="A8" s="36" t="s">
        <v>318</v>
      </c>
      <c r="B8" s="37"/>
      <c r="C8" s="30"/>
      <c r="D8" s="30">
        <v>1</v>
      </c>
      <c r="E8" s="30"/>
      <c r="F8" s="30"/>
      <c r="G8" s="38"/>
      <c r="H8" s="38"/>
      <c r="I8" s="38"/>
      <c r="J8" s="38"/>
      <c r="K8" s="38"/>
      <c r="L8" s="30"/>
      <c r="M8" s="30"/>
      <c r="N8" s="30"/>
      <c r="O8" s="37"/>
      <c r="P8" s="30"/>
      <c r="Q8" s="37"/>
      <c r="R8" s="30"/>
      <c r="S8" s="37"/>
      <c r="T8" s="30"/>
      <c r="U8" s="37"/>
      <c r="V8" s="30"/>
      <c r="W8" s="37"/>
      <c r="X8" s="30"/>
      <c r="Y8" s="37"/>
      <c r="Z8" s="30"/>
    </row>
    <row r="9" spans="1:26" ht="27" customHeight="1" x14ac:dyDescent="0.5">
      <c r="A9" s="36" t="s">
        <v>319</v>
      </c>
      <c r="B9" s="37"/>
      <c r="C9" s="30"/>
      <c r="D9" s="30">
        <v>1</v>
      </c>
      <c r="E9" s="30"/>
      <c r="F9" s="30"/>
      <c r="G9" s="38"/>
      <c r="H9" s="38"/>
      <c r="I9" s="38"/>
      <c r="J9" s="38"/>
      <c r="K9" s="38"/>
      <c r="L9" s="30"/>
      <c r="M9" s="30"/>
      <c r="N9" s="30"/>
      <c r="O9" s="37"/>
      <c r="P9" s="30"/>
      <c r="Q9" s="37"/>
      <c r="R9" s="30"/>
      <c r="S9" s="37"/>
      <c r="T9" s="30"/>
      <c r="U9" s="37"/>
      <c r="V9" s="30"/>
      <c r="W9" s="37"/>
      <c r="X9" s="30"/>
      <c r="Y9" s="37"/>
      <c r="Z9" s="30"/>
    </row>
    <row r="10" spans="1:26" ht="27" customHeight="1" x14ac:dyDescent="0.5">
      <c r="A10" s="36" t="s">
        <v>320</v>
      </c>
      <c r="B10" s="37"/>
      <c r="C10" s="30"/>
      <c r="D10" s="30">
        <v>1</v>
      </c>
      <c r="E10" s="30"/>
      <c r="F10" s="30"/>
      <c r="G10" s="38"/>
      <c r="H10" s="38"/>
      <c r="I10" s="38"/>
      <c r="J10" s="38"/>
      <c r="K10" s="38"/>
      <c r="L10" s="30"/>
      <c r="M10" s="30"/>
      <c r="N10" s="30"/>
      <c r="O10" s="37"/>
      <c r="P10" s="30"/>
      <c r="Q10" s="37"/>
      <c r="R10" s="30"/>
      <c r="S10" s="37"/>
      <c r="T10" s="30"/>
      <c r="U10" s="37"/>
      <c r="V10" s="30"/>
      <c r="W10" s="37"/>
      <c r="X10" s="30"/>
      <c r="Y10" s="37"/>
      <c r="Z10" s="30"/>
    </row>
    <row r="11" spans="1:26" ht="27" customHeight="1" x14ac:dyDescent="0.5">
      <c r="A11" s="36" t="s">
        <v>321</v>
      </c>
      <c r="B11" s="37"/>
      <c r="C11" s="30"/>
      <c r="D11" s="30">
        <v>1</v>
      </c>
      <c r="E11" s="30"/>
      <c r="F11" s="30"/>
      <c r="G11" s="38"/>
      <c r="H11" s="38"/>
      <c r="I11" s="38"/>
      <c r="J11" s="38"/>
      <c r="K11" s="38"/>
      <c r="L11" s="30"/>
      <c r="M11" s="30"/>
      <c r="N11" s="30"/>
      <c r="O11" s="37"/>
      <c r="P11" s="30"/>
      <c r="Q11" s="37"/>
      <c r="R11" s="30"/>
      <c r="S11" s="37"/>
      <c r="T11" s="30"/>
      <c r="U11" s="37"/>
      <c r="V11" s="30"/>
      <c r="W11" s="37"/>
      <c r="X11" s="30"/>
      <c r="Y11" s="37"/>
      <c r="Z11" s="30"/>
    </row>
    <row r="12" spans="1:26" ht="27" customHeight="1" x14ac:dyDescent="0.5">
      <c r="A12" s="36" t="s">
        <v>322</v>
      </c>
      <c r="B12" s="37"/>
      <c r="C12" s="30"/>
      <c r="D12" s="30">
        <v>1</v>
      </c>
      <c r="E12" s="30"/>
      <c r="F12" s="30"/>
      <c r="G12" s="38"/>
      <c r="H12" s="38"/>
      <c r="I12" s="38"/>
      <c r="J12" s="38"/>
      <c r="K12" s="38"/>
      <c r="L12" s="30"/>
      <c r="M12" s="30"/>
      <c r="N12" s="30"/>
      <c r="O12" s="37"/>
      <c r="P12" s="30"/>
      <c r="Q12" s="37"/>
      <c r="R12" s="30"/>
      <c r="S12" s="37"/>
      <c r="T12" s="30"/>
      <c r="U12" s="37"/>
      <c r="V12" s="30"/>
      <c r="W12" s="37"/>
      <c r="X12" s="30"/>
      <c r="Y12" s="37"/>
      <c r="Z12" s="30"/>
    </row>
    <row r="13" spans="1:26" ht="27" customHeight="1" x14ac:dyDescent="0.5">
      <c r="A13" s="36" t="s">
        <v>329</v>
      </c>
      <c r="B13" s="37"/>
      <c r="C13" s="30"/>
      <c r="D13" s="30"/>
      <c r="E13" s="30"/>
      <c r="F13" s="30"/>
      <c r="G13" s="38"/>
      <c r="H13" s="38"/>
      <c r="I13" s="38"/>
      <c r="J13" s="38"/>
      <c r="K13" s="38"/>
      <c r="L13" s="30"/>
      <c r="M13" s="30"/>
      <c r="N13" s="30">
        <v>8</v>
      </c>
      <c r="O13" s="37"/>
      <c r="P13" s="30"/>
      <c r="Q13" s="37"/>
      <c r="R13" s="30"/>
      <c r="S13" s="37"/>
      <c r="T13" s="30"/>
      <c r="U13" s="37"/>
      <c r="V13" s="30"/>
      <c r="W13" s="37"/>
      <c r="X13" s="30"/>
      <c r="Y13" s="37"/>
      <c r="Z13" s="30"/>
    </row>
    <row r="14" spans="1:26" ht="27" customHeight="1" x14ac:dyDescent="0.5">
      <c r="A14" s="36" t="s">
        <v>331</v>
      </c>
      <c r="B14" s="37"/>
      <c r="C14" s="30"/>
      <c r="D14" s="30"/>
      <c r="E14" s="30"/>
      <c r="F14" s="30"/>
      <c r="G14" s="38"/>
      <c r="H14" s="38"/>
      <c r="I14" s="38"/>
      <c r="J14" s="38"/>
      <c r="K14" s="38">
        <v>1</v>
      </c>
      <c r="L14" s="30"/>
      <c r="M14" s="30"/>
      <c r="N14" s="30"/>
      <c r="O14" s="37"/>
      <c r="P14" s="30"/>
      <c r="Q14" s="37"/>
      <c r="R14" s="30"/>
      <c r="S14" s="37"/>
      <c r="T14" s="30"/>
      <c r="U14" s="37"/>
      <c r="V14" s="30"/>
      <c r="W14" s="37"/>
      <c r="X14" s="30"/>
      <c r="Y14" s="37"/>
      <c r="Z14" s="30"/>
    </row>
    <row r="15" spans="1:26" ht="27" customHeight="1" x14ac:dyDescent="0.5">
      <c r="A15" s="36" t="s">
        <v>332</v>
      </c>
      <c r="B15" s="37"/>
      <c r="C15" s="30"/>
      <c r="D15" s="30"/>
      <c r="E15" s="30"/>
      <c r="F15" s="30">
        <v>1</v>
      </c>
      <c r="G15" s="38"/>
      <c r="H15" s="38"/>
      <c r="I15" s="38"/>
      <c r="J15" s="38"/>
      <c r="K15" s="38"/>
      <c r="L15" s="30"/>
      <c r="M15" s="30"/>
      <c r="N15" s="30"/>
      <c r="O15" s="37"/>
      <c r="P15" s="30"/>
      <c r="Q15" s="37"/>
      <c r="R15" s="30"/>
      <c r="S15" s="37"/>
      <c r="T15" s="30"/>
      <c r="U15" s="37"/>
      <c r="V15" s="30"/>
      <c r="W15" s="37"/>
      <c r="X15" s="30"/>
      <c r="Y15" s="37"/>
      <c r="Z15" s="30"/>
    </row>
    <row r="16" spans="1:26" ht="27" customHeight="1" x14ac:dyDescent="0.5">
      <c r="A16" s="36" t="s">
        <v>333</v>
      </c>
      <c r="B16" s="37"/>
      <c r="C16" s="30"/>
      <c r="D16" s="30"/>
      <c r="E16" s="30"/>
      <c r="F16" s="30">
        <v>1</v>
      </c>
      <c r="G16" s="38"/>
      <c r="H16" s="38"/>
      <c r="I16" s="38"/>
      <c r="J16" s="38"/>
      <c r="K16" s="38"/>
      <c r="L16" s="30"/>
      <c r="M16" s="30"/>
      <c r="N16" s="30"/>
      <c r="O16" s="37"/>
      <c r="P16" s="30"/>
      <c r="Q16" s="37"/>
      <c r="R16" s="30"/>
      <c r="S16" s="37"/>
      <c r="T16" s="30"/>
      <c r="U16" s="37"/>
      <c r="V16" s="30"/>
      <c r="W16" s="37"/>
      <c r="X16" s="30"/>
      <c r="Y16" s="37"/>
      <c r="Z16" s="30"/>
    </row>
    <row r="17" spans="1:26" ht="27" customHeight="1" x14ac:dyDescent="0.5">
      <c r="A17" s="36" t="s">
        <v>334</v>
      </c>
      <c r="B17" s="37"/>
      <c r="C17" s="30"/>
      <c r="D17" s="30"/>
      <c r="E17" s="30"/>
      <c r="F17" s="30"/>
      <c r="G17" s="38"/>
      <c r="H17" s="38"/>
      <c r="I17" s="38"/>
      <c r="J17" s="38"/>
      <c r="K17" s="38"/>
      <c r="L17" s="30"/>
      <c r="M17" s="30"/>
      <c r="N17" s="30"/>
      <c r="O17" s="37"/>
      <c r="P17" s="30"/>
      <c r="Q17" s="37"/>
      <c r="R17" s="30"/>
      <c r="S17" s="37"/>
      <c r="T17" s="30"/>
      <c r="U17" s="37"/>
      <c r="V17" s="30"/>
      <c r="W17" s="37"/>
      <c r="X17" s="30"/>
      <c r="Y17" s="37"/>
      <c r="Z17" s="30">
        <v>2</v>
      </c>
    </row>
    <row r="18" spans="1:26" ht="27" customHeight="1" x14ac:dyDescent="0.5">
      <c r="A18" s="36" t="s">
        <v>335</v>
      </c>
      <c r="B18" s="37"/>
      <c r="C18" s="30"/>
      <c r="D18" s="30"/>
      <c r="E18" s="30"/>
      <c r="F18" s="30"/>
      <c r="G18" s="38"/>
      <c r="H18" s="38"/>
      <c r="I18" s="38"/>
      <c r="J18" s="38"/>
      <c r="K18" s="38">
        <v>1</v>
      </c>
      <c r="L18" s="30"/>
      <c r="M18" s="30"/>
      <c r="N18" s="30"/>
      <c r="O18" s="37"/>
      <c r="P18" s="30"/>
      <c r="Q18" s="37"/>
      <c r="R18" s="30"/>
      <c r="S18" s="37"/>
      <c r="T18" s="30"/>
      <c r="U18" s="37"/>
      <c r="V18" s="30"/>
      <c r="W18" s="37"/>
      <c r="X18" s="30"/>
      <c r="Y18" s="37"/>
      <c r="Z18" s="30"/>
    </row>
    <row r="19" spans="1:26" ht="27" customHeight="1" x14ac:dyDescent="0.5">
      <c r="A19" s="36" t="s">
        <v>336</v>
      </c>
      <c r="B19" s="37"/>
      <c r="C19" s="30"/>
      <c r="D19" s="30"/>
      <c r="E19" s="30">
        <v>8</v>
      </c>
      <c r="F19" s="30"/>
      <c r="G19" s="38"/>
      <c r="H19" s="38"/>
      <c r="I19" s="38"/>
      <c r="J19" s="38"/>
      <c r="K19" s="38"/>
      <c r="L19" s="30"/>
      <c r="M19" s="30"/>
      <c r="N19" s="30"/>
      <c r="O19" s="37"/>
      <c r="P19" s="30"/>
      <c r="Q19" s="37"/>
      <c r="R19" s="30"/>
      <c r="S19" s="37"/>
      <c r="T19" s="30"/>
      <c r="U19" s="37"/>
      <c r="V19" s="30"/>
      <c r="W19" s="37"/>
      <c r="X19" s="30"/>
      <c r="Y19" s="37"/>
      <c r="Z19" s="30"/>
    </row>
    <row r="20" spans="1:26" ht="27" customHeight="1" x14ac:dyDescent="0.5">
      <c r="A20" s="36" t="s">
        <v>337</v>
      </c>
      <c r="B20" s="37"/>
      <c r="C20" s="30"/>
      <c r="D20" s="30"/>
      <c r="E20" s="30">
        <v>4</v>
      </c>
      <c r="F20" s="30"/>
      <c r="G20" s="38"/>
      <c r="H20" s="38"/>
      <c r="I20" s="38"/>
      <c r="J20" s="38"/>
      <c r="K20" s="38"/>
      <c r="L20" s="30"/>
      <c r="M20" s="30"/>
      <c r="N20" s="30"/>
      <c r="O20" s="37"/>
      <c r="P20" s="30"/>
      <c r="Q20" s="37"/>
      <c r="R20" s="30"/>
      <c r="S20" s="37"/>
      <c r="T20" s="30"/>
      <c r="U20" s="37"/>
      <c r="V20" s="30"/>
      <c r="W20" s="37"/>
      <c r="X20" s="30"/>
      <c r="Y20" s="37"/>
      <c r="Z20" s="30"/>
    </row>
    <row r="21" spans="1:26" ht="27" customHeight="1" x14ac:dyDescent="0.5">
      <c r="A21" s="36" t="s">
        <v>338</v>
      </c>
      <c r="B21" s="37"/>
      <c r="C21" s="30"/>
      <c r="D21" s="30"/>
      <c r="E21" s="30"/>
      <c r="F21" s="30">
        <v>1</v>
      </c>
      <c r="G21" s="38"/>
      <c r="H21" s="38"/>
      <c r="I21" s="38"/>
      <c r="J21" s="38"/>
      <c r="K21" s="38"/>
      <c r="L21" s="30"/>
      <c r="M21" s="30"/>
      <c r="N21" s="30"/>
      <c r="O21" s="37"/>
      <c r="P21" s="30"/>
      <c r="Q21" s="37"/>
      <c r="R21" s="30"/>
      <c r="S21" s="37"/>
      <c r="T21" s="30"/>
      <c r="U21" s="37"/>
      <c r="V21" s="30"/>
      <c r="W21" s="37"/>
      <c r="X21" s="30"/>
      <c r="Y21" s="37"/>
      <c r="Z21" s="30"/>
    </row>
    <row r="22" spans="1:26" ht="27" customHeight="1" x14ac:dyDescent="0.5">
      <c r="A22" s="36" t="s">
        <v>339</v>
      </c>
      <c r="B22" s="37"/>
      <c r="C22" s="30"/>
      <c r="D22" s="30"/>
      <c r="E22" s="30"/>
      <c r="F22" s="30">
        <v>1</v>
      </c>
      <c r="G22" s="38"/>
      <c r="H22" s="38"/>
      <c r="I22" s="38"/>
      <c r="J22" s="38"/>
      <c r="K22" s="38"/>
      <c r="L22" s="30"/>
      <c r="M22" s="30"/>
      <c r="N22" s="30"/>
      <c r="O22" s="37"/>
      <c r="P22" s="30"/>
      <c r="Q22" s="37"/>
      <c r="R22" s="30"/>
      <c r="S22" s="37"/>
      <c r="T22" s="30"/>
      <c r="U22" s="37"/>
      <c r="V22" s="30"/>
      <c r="W22" s="37"/>
      <c r="X22" s="30"/>
      <c r="Y22" s="37"/>
      <c r="Z22" s="30"/>
    </row>
    <row r="23" spans="1:26" ht="27" customHeight="1" x14ac:dyDescent="0.5">
      <c r="A23" s="36" t="s">
        <v>340</v>
      </c>
      <c r="B23" s="37"/>
      <c r="C23" s="30"/>
      <c r="D23" s="30"/>
      <c r="E23" s="30"/>
      <c r="F23" s="30">
        <v>2</v>
      </c>
      <c r="G23" s="38"/>
      <c r="H23" s="38"/>
      <c r="I23" s="38"/>
      <c r="J23" s="38"/>
      <c r="K23" s="38"/>
      <c r="L23" s="30"/>
      <c r="M23" s="30"/>
      <c r="N23" s="30"/>
      <c r="O23" s="37"/>
      <c r="P23" s="30"/>
      <c r="Q23" s="37"/>
      <c r="R23" s="30"/>
      <c r="S23" s="37"/>
      <c r="T23" s="30"/>
      <c r="U23" s="37"/>
      <c r="V23" s="30"/>
      <c r="W23" s="37"/>
      <c r="X23" s="30"/>
      <c r="Y23" s="37"/>
      <c r="Z23" s="30"/>
    </row>
    <row r="24" spans="1:26" ht="27" customHeight="1" x14ac:dyDescent="0.5">
      <c r="A24" s="36" t="s">
        <v>341</v>
      </c>
      <c r="B24" s="37"/>
      <c r="C24" s="30">
        <v>40</v>
      </c>
      <c r="D24" s="30"/>
      <c r="E24" s="30">
        <v>8</v>
      </c>
      <c r="F24" s="30">
        <v>4</v>
      </c>
      <c r="G24" s="38"/>
      <c r="H24" s="38"/>
      <c r="I24" s="38"/>
      <c r="J24" s="38"/>
      <c r="K24" s="38"/>
      <c r="L24" s="30"/>
      <c r="M24" s="30"/>
      <c r="N24" s="30"/>
      <c r="O24" s="37"/>
      <c r="P24" s="30"/>
      <c r="Q24" s="37"/>
      <c r="R24" s="30"/>
      <c r="S24" s="37"/>
      <c r="T24" s="30"/>
      <c r="U24" s="37"/>
      <c r="V24" s="30"/>
      <c r="W24" s="37"/>
      <c r="X24" s="30"/>
      <c r="Y24" s="37"/>
      <c r="Z24" s="30"/>
    </row>
    <row r="25" spans="1:26" ht="27" customHeight="1" x14ac:dyDescent="0.5">
      <c r="A25" s="36" t="s">
        <v>342</v>
      </c>
      <c r="B25" s="37"/>
      <c r="C25" s="30"/>
      <c r="D25" s="30"/>
      <c r="E25" s="30"/>
      <c r="F25" s="30"/>
      <c r="G25" s="38"/>
      <c r="H25" s="38"/>
      <c r="I25" s="38"/>
      <c r="J25" s="38"/>
      <c r="K25" s="38"/>
      <c r="L25" s="30"/>
      <c r="M25" s="30"/>
      <c r="N25" s="30"/>
      <c r="O25" s="37"/>
      <c r="P25" s="30"/>
      <c r="Q25" s="37"/>
      <c r="R25" s="30"/>
      <c r="S25" s="37"/>
      <c r="T25" s="30"/>
      <c r="U25" s="37"/>
      <c r="V25" s="30"/>
      <c r="W25" s="37"/>
      <c r="X25" s="30"/>
      <c r="Y25" s="37">
        <v>1</v>
      </c>
      <c r="Z25" s="30"/>
    </row>
    <row r="26" spans="1:26" ht="27" customHeight="1" x14ac:dyDescent="0.5">
      <c r="A26" s="36" t="s">
        <v>343</v>
      </c>
      <c r="B26" s="37"/>
      <c r="C26" s="30"/>
      <c r="D26" s="30"/>
      <c r="E26" s="30"/>
      <c r="F26" s="30"/>
      <c r="G26" s="38"/>
      <c r="H26" s="38"/>
      <c r="I26" s="38"/>
      <c r="J26" s="38"/>
      <c r="K26" s="38"/>
      <c r="L26" s="30"/>
      <c r="M26" s="30"/>
      <c r="N26" s="30"/>
      <c r="O26" s="37"/>
      <c r="P26" s="30"/>
      <c r="Q26" s="37"/>
      <c r="R26" s="30">
        <v>1</v>
      </c>
      <c r="S26" s="37"/>
      <c r="T26" s="30"/>
      <c r="U26" s="37"/>
      <c r="V26" s="30"/>
      <c r="W26" s="37"/>
      <c r="X26" s="30"/>
      <c r="Y26" s="37"/>
      <c r="Z26" s="30"/>
    </row>
    <row r="27" spans="1:26" ht="27" customHeight="1" x14ac:dyDescent="0.5">
      <c r="A27" s="36" t="s">
        <v>107</v>
      </c>
      <c r="B27" s="37"/>
      <c r="C27" s="30"/>
      <c r="D27" s="30"/>
      <c r="E27" s="30"/>
      <c r="F27" s="30"/>
      <c r="G27" s="38"/>
      <c r="H27" s="38"/>
      <c r="I27" s="38"/>
      <c r="J27" s="38"/>
      <c r="K27" s="38"/>
      <c r="L27" s="30"/>
      <c r="M27" s="30"/>
      <c r="N27" s="30"/>
      <c r="O27" s="37"/>
      <c r="P27" s="30"/>
      <c r="Q27" s="37"/>
      <c r="R27" s="30">
        <v>4</v>
      </c>
      <c r="S27" s="37"/>
      <c r="T27" s="30"/>
      <c r="U27" s="37"/>
      <c r="V27" s="30"/>
      <c r="W27" s="37"/>
      <c r="X27" s="30"/>
      <c r="Y27" s="37"/>
      <c r="Z27" s="30"/>
    </row>
    <row r="28" spans="1:26" ht="27" customHeight="1" x14ac:dyDescent="0.5">
      <c r="A28" s="36" t="s">
        <v>344</v>
      </c>
      <c r="B28" s="37"/>
      <c r="C28" s="30"/>
      <c r="D28" s="30"/>
      <c r="E28" s="30"/>
      <c r="F28" s="30"/>
      <c r="G28" s="38"/>
      <c r="H28" s="38"/>
      <c r="I28" s="38"/>
      <c r="J28" s="38"/>
      <c r="K28" s="38"/>
      <c r="L28" s="30"/>
      <c r="M28" s="30"/>
      <c r="N28" s="30"/>
      <c r="O28" s="37"/>
      <c r="P28" s="30"/>
      <c r="Q28" s="37"/>
      <c r="R28" s="30"/>
      <c r="S28" s="37">
        <v>2</v>
      </c>
      <c r="T28" s="30"/>
      <c r="U28" s="37"/>
      <c r="V28" s="30"/>
      <c r="W28" s="37"/>
      <c r="X28" s="30"/>
      <c r="Y28" s="37"/>
      <c r="Z28" s="30"/>
    </row>
    <row r="29" spans="1:26" ht="27" customHeight="1" x14ac:dyDescent="0.5">
      <c r="A29" s="36" t="s">
        <v>345</v>
      </c>
      <c r="B29" s="37"/>
      <c r="C29" s="30"/>
      <c r="D29" s="30"/>
      <c r="E29" s="30"/>
      <c r="F29" s="30"/>
      <c r="G29" s="38"/>
      <c r="H29" s="38"/>
      <c r="I29" s="38"/>
      <c r="J29" s="38"/>
      <c r="K29" s="38"/>
      <c r="L29" s="30"/>
      <c r="M29" s="30"/>
      <c r="N29" s="30"/>
      <c r="O29" s="37"/>
      <c r="P29" s="30"/>
      <c r="Q29" s="37"/>
      <c r="R29" s="30"/>
      <c r="S29" s="37">
        <v>2</v>
      </c>
      <c r="T29" s="30"/>
      <c r="U29" s="37"/>
      <c r="V29" s="30"/>
      <c r="W29" s="37"/>
      <c r="X29" s="30"/>
      <c r="Y29" s="37"/>
      <c r="Z29" s="30"/>
    </row>
    <row r="30" spans="1:26" ht="27" customHeight="1" x14ac:dyDescent="0.5">
      <c r="A30" s="36" t="s">
        <v>346</v>
      </c>
      <c r="B30" s="37"/>
      <c r="C30" s="30"/>
      <c r="D30" s="30"/>
      <c r="E30" s="30"/>
      <c r="F30" s="30"/>
      <c r="G30" s="38"/>
      <c r="H30" s="38"/>
      <c r="I30" s="38"/>
      <c r="J30" s="38"/>
      <c r="K30" s="38">
        <v>1</v>
      </c>
      <c r="L30" s="30"/>
      <c r="M30" s="30"/>
      <c r="N30" s="30"/>
      <c r="O30" s="37"/>
      <c r="P30" s="30"/>
      <c r="Q30" s="37"/>
      <c r="R30" s="30"/>
      <c r="S30" s="37"/>
      <c r="T30" s="30"/>
      <c r="U30" s="37"/>
      <c r="V30" s="30"/>
      <c r="W30" s="37"/>
      <c r="X30" s="30"/>
      <c r="Y30" s="37"/>
      <c r="Z30" s="30"/>
    </row>
    <row r="31" spans="1:26" ht="27" customHeight="1" x14ac:dyDescent="0.5">
      <c r="A31" s="36" t="s">
        <v>347</v>
      </c>
      <c r="B31" s="37"/>
      <c r="C31" s="30"/>
      <c r="D31" s="30"/>
      <c r="E31" s="30"/>
      <c r="F31" s="30"/>
      <c r="G31" s="38"/>
      <c r="H31" s="38"/>
      <c r="I31" s="38"/>
      <c r="J31" s="38"/>
      <c r="K31" s="38"/>
      <c r="L31" s="30"/>
      <c r="M31" s="30"/>
      <c r="N31" s="30"/>
      <c r="O31" s="37"/>
      <c r="P31" s="30"/>
      <c r="Q31" s="37"/>
      <c r="R31" s="30"/>
      <c r="S31" s="37">
        <v>2</v>
      </c>
      <c r="T31" s="30"/>
      <c r="U31" s="37"/>
      <c r="V31" s="30"/>
      <c r="W31" s="37"/>
      <c r="X31" s="30"/>
      <c r="Y31" s="37"/>
      <c r="Z31" s="30"/>
    </row>
    <row r="32" spans="1:26" ht="27" customHeight="1" x14ac:dyDescent="0.5">
      <c r="A32" s="36" t="s">
        <v>348</v>
      </c>
      <c r="B32" s="37"/>
      <c r="C32" s="30"/>
      <c r="D32" s="30"/>
      <c r="E32" s="30"/>
      <c r="F32" s="30"/>
      <c r="G32" s="38"/>
      <c r="H32" s="38"/>
      <c r="I32" s="38"/>
      <c r="J32" s="38"/>
      <c r="K32" s="38"/>
      <c r="L32" s="30"/>
      <c r="M32" s="30"/>
      <c r="N32" s="30"/>
      <c r="O32" s="37"/>
      <c r="P32" s="30"/>
      <c r="Q32" s="37"/>
      <c r="R32" s="30"/>
      <c r="S32" s="37"/>
      <c r="T32" s="30"/>
      <c r="U32" s="37"/>
      <c r="V32" s="30">
        <v>2</v>
      </c>
      <c r="W32" s="37"/>
      <c r="X32" s="30"/>
      <c r="Y32" s="37"/>
      <c r="Z32" s="30"/>
    </row>
    <row r="33" spans="1:26" ht="27" customHeight="1" x14ac:dyDescent="0.5">
      <c r="A33" s="36" t="s">
        <v>349</v>
      </c>
      <c r="B33" s="37"/>
      <c r="C33" s="30"/>
      <c r="D33" s="30"/>
      <c r="E33" s="30"/>
      <c r="F33" s="30"/>
      <c r="G33" s="38"/>
      <c r="H33" s="38"/>
      <c r="I33" s="38"/>
      <c r="J33" s="38"/>
      <c r="K33" s="38">
        <v>1</v>
      </c>
      <c r="L33" s="30"/>
      <c r="M33" s="30"/>
      <c r="N33" s="30"/>
      <c r="O33" s="37"/>
      <c r="P33" s="30"/>
      <c r="Q33" s="37"/>
      <c r="R33" s="30"/>
      <c r="S33" s="37"/>
      <c r="T33" s="30"/>
      <c r="U33" s="37"/>
      <c r="V33" s="30"/>
      <c r="W33" s="37"/>
      <c r="X33" s="30"/>
      <c r="Y33" s="37"/>
      <c r="Z33" s="30"/>
    </row>
    <row r="34" spans="1:26" ht="27" customHeight="1" x14ac:dyDescent="0.5">
      <c r="A34" s="36" t="s">
        <v>350</v>
      </c>
      <c r="B34" s="37"/>
      <c r="C34" s="30"/>
      <c r="D34" s="30"/>
      <c r="E34" s="30"/>
      <c r="F34" s="30"/>
      <c r="G34" s="38"/>
      <c r="H34" s="38"/>
      <c r="I34" s="38"/>
      <c r="J34" s="38"/>
      <c r="K34" s="38"/>
      <c r="L34" s="30"/>
      <c r="M34" s="30"/>
      <c r="N34" s="30"/>
      <c r="O34" s="37"/>
      <c r="P34" s="30">
        <v>1</v>
      </c>
      <c r="Q34" s="37"/>
      <c r="R34" s="30"/>
      <c r="S34" s="37"/>
      <c r="T34" s="30"/>
      <c r="U34" s="37">
        <v>1</v>
      </c>
      <c r="V34" s="30"/>
      <c r="W34" s="37"/>
      <c r="X34" s="30"/>
      <c r="Y34" s="37"/>
      <c r="Z34" s="30"/>
    </row>
    <row r="35" spans="1:26" ht="27" customHeight="1" x14ac:dyDescent="0.5">
      <c r="A35" s="36" t="s">
        <v>351</v>
      </c>
      <c r="B35" s="37"/>
      <c r="C35" s="30"/>
      <c r="D35" s="30"/>
      <c r="E35" s="30"/>
      <c r="F35" s="30">
        <v>1</v>
      </c>
      <c r="G35" s="38"/>
      <c r="H35" s="38"/>
      <c r="I35" s="38"/>
      <c r="J35" s="38"/>
      <c r="K35" s="38"/>
      <c r="L35" s="30"/>
      <c r="M35" s="30"/>
      <c r="N35" s="30"/>
      <c r="O35" s="37"/>
      <c r="P35" s="30"/>
      <c r="Q35" s="37"/>
      <c r="R35" s="30"/>
      <c r="S35" s="37"/>
      <c r="T35" s="30"/>
      <c r="U35" s="37"/>
      <c r="V35" s="30"/>
      <c r="W35" s="37"/>
      <c r="X35" s="30"/>
      <c r="Y35" s="37"/>
      <c r="Z35" s="30"/>
    </row>
    <row r="36" spans="1:26" ht="27" customHeight="1" x14ac:dyDescent="0.5">
      <c r="A36" s="36" t="s">
        <v>352</v>
      </c>
      <c r="B36" s="37"/>
      <c r="C36" s="30"/>
      <c r="D36" s="30"/>
      <c r="E36" s="30"/>
      <c r="F36" s="30"/>
      <c r="G36" s="38"/>
      <c r="H36" s="38"/>
      <c r="I36" s="38"/>
      <c r="J36" s="38"/>
      <c r="K36" s="38">
        <v>1</v>
      </c>
      <c r="L36" s="30"/>
      <c r="M36" s="30"/>
      <c r="N36" s="30"/>
      <c r="O36" s="37"/>
      <c r="P36" s="30"/>
      <c r="Q36" s="37"/>
      <c r="R36" s="30"/>
      <c r="S36" s="37"/>
      <c r="T36" s="30"/>
      <c r="U36" s="37"/>
      <c r="V36" s="30"/>
      <c r="W36" s="37"/>
      <c r="X36" s="30"/>
      <c r="Y36" s="37"/>
      <c r="Z36" s="30"/>
    </row>
    <row r="37" spans="1:26" ht="27" customHeight="1" x14ac:dyDescent="0.5">
      <c r="A37" s="36" t="s">
        <v>353</v>
      </c>
      <c r="B37" s="37"/>
      <c r="C37" s="30"/>
      <c r="D37" s="30"/>
      <c r="E37" s="30"/>
      <c r="F37" s="30"/>
      <c r="G37" s="38"/>
      <c r="H37" s="38"/>
      <c r="I37" s="38"/>
      <c r="J37" s="38"/>
      <c r="K37" s="38"/>
      <c r="L37" s="30">
        <v>4</v>
      </c>
      <c r="M37" s="30"/>
      <c r="N37" s="30"/>
      <c r="O37" s="37"/>
      <c r="P37" s="30"/>
      <c r="Q37" s="37"/>
      <c r="R37" s="30"/>
      <c r="S37" s="37"/>
      <c r="T37" s="30"/>
      <c r="U37" s="37"/>
      <c r="V37" s="30"/>
      <c r="W37" s="37"/>
      <c r="X37" s="30">
        <v>1</v>
      </c>
      <c r="Y37" s="37"/>
      <c r="Z37" s="30"/>
    </row>
    <row r="38" spans="1:26" ht="27" customHeight="1" x14ac:dyDescent="0.5">
      <c r="A38" s="36" t="s">
        <v>354</v>
      </c>
      <c r="B38" s="37"/>
      <c r="C38" s="30"/>
      <c r="D38" s="30"/>
      <c r="E38" s="30"/>
      <c r="F38" s="30"/>
      <c r="G38" s="38"/>
      <c r="H38" s="38"/>
      <c r="I38" s="38"/>
      <c r="J38" s="38">
        <v>1</v>
      </c>
      <c r="K38" s="38"/>
      <c r="L38" s="30"/>
      <c r="M38" s="30"/>
      <c r="N38" s="30"/>
      <c r="O38" s="37"/>
      <c r="P38" s="30"/>
      <c r="Q38" s="37"/>
      <c r="R38" s="30"/>
      <c r="S38" s="37"/>
      <c r="T38" s="30"/>
      <c r="U38" s="37"/>
      <c r="V38" s="30"/>
      <c r="W38" s="37"/>
      <c r="X38" s="30"/>
      <c r="Y38" s="37"/>
      <c r="Z38" s="30"/>
    </row>
    <row r="39" spans="1:26" ht="27" customHeight="1" x14ac:dyDescent="0.5">
      <c r="A39" s="36" t="s">
        <v>355</v>
      </c>
      <c r="B39" s="37"/>
      <c r="C39" s="30"/>
      <c r="D39" s="30"/>
      <c r="E39" s="30"/>
      <c r="F39" s="30"/>
      <c r="G39" s="38"/>
      <c r="H39" s="38"/>
      <c r="I39" s="38"/>
      <c r="J39" s="38"/>
      <c r="K39" s="38"/>
      <c r="L39" s="30"/>
      <c r="M39" s="30"/>
      <c r="N39" s="30"/>
      <c r="O39" s="37">
        <v>1</v>
      </c>
      <c r="P39" s="30"/>
      <c r="Q39" s="37">
        <v>1</v>
      </c>
      <c r="R39" s="30"/>
      <c r="S39" s="37"/>
      <c r="T39" s="30"/>
      <c r="U39" s="37"/>
      <c r="V39" s="30"/>
      <c r="W39" s="37"/>
      <c r="X39" s="30"/>
      <c r="Y39" s="37"/>
      <c r="Z39" s="30"/>
    </row>
    <row r="40" spans="1:26" ht="27" customHeight="1" x14ac:dyDescent="0.5">
      <c r="A40" s="36" t="s">
        <v>356</v>
      </c>
      <c r="B40" s="37"/>
      <c r="C40" s="30"/>
      <c r="D40" s="30"/>
      <c r="E40" s="30"/>
      <c r="F40" s="30"/>
      <c r="G40" s="38"/>
      <c r="H40" s="38"/>
      <c r="I40" s="38"/>
      <c r="J40" s="38"/>
      <c r="K40" s="38">
        <v>1</v>
      </c>
      <c r="L40" s="30"/>
      <c r="M40" s="30"/>
      <c r="N40" s="30"/>
      <c r="O40" s="37"/>
      <c r="P40" s="30"/>
      <c r="Q40" s="37"/>
      <c r="R40" s="30"/>
      <c r="S40" s="37"/>
      <c r="T40" s="30"/>
      <c r="U40" s="37"/>
      <c r="V40" s="30"/>
      <c r="W40" s="37"/>
      <c r="X40" s="30"/>
      <c r="Y40" s="37"/>
      <c r="Z40" s="30"/>
    </row>
    <row r="41" spans="1:26" ht="27" customHeight="1" x14ac:dyDescent="0.5">
      <c r="A41" s="36" t="s">
        <v>357</v>
      </c>
      <c r="B41" s="37"/>
      <c r="C41" s="30"/>
      <c r="D41" s="30"/>
      <c r="E41" s="30"/>
      <c r="F41" s="30"/>
      <c r="G41" s="38"/>
      <c r="H41" s="38"/>
      <c r="I41" s="38"/>
      <c r="J41" s="38">
        <v>1</v>
      </c>
      <c r="K41" s="38"/>
      <c r="L41" s="30"/>
      <c r="M41" s="30"/>
      <c r="N41" s="30"/>
      <c r="O41" s="37"/>
      <c r="P41" s="30"/>
      <c r="Q41" s="37"/>
      <c r="R41" s="30"/>
      <c r="S41" s="37"/>
      <c r="T41" s="30">
        <v>1</v>
      </c>
      <c r="U41" s="37"/>
      <c r="V41" s="30"/>
      <c r="W41" s="37"/>
      <c r="X41" s="30"/>
      <c r="Y41" s="37"/>
      <c r="Z41" s="30"/>
    </row>
    <row r="42" spans="1:26" ht="27" customHeight="1" x14ac:dyDescent="0.5">
      <c r="A42" s="36" t="s">
        <v>358</v>
      </c>
      <c r="B42" s="37"/>
      <c r="C42" s="30"/>
      <c r="D42" s="30"/>
      <c r="E42" s="30"/>
      <c r="F42" s="30"/>
      <c r="G42" s="38"/>
      <c r="H42" s="38"/>
      <c r="I42" s="38"/>
      <c r="J42" s="38"/>
      <c r="K42" s="38"/>
      <c r="L42" s="30"/>
      <c r="M42" s="30">
        <v>1</v>
      </c>
      <c r="N42" s="30"/>
      <c r="O42" s="37"/>
      <c r="P42" s="30"/>
      <c r="Q42" s="37"/>
      <c r="R42" s="30"/>
      <c r="S42" s="37"/>
      <c r="T42" s="30"/>
      <c r="U42" s="37"/>
      <c r="V42" s="30"/>
      <c r="W42" s="37"/>
      <c r="X42" s="30"/>
      <c r="Y42" s="37"/>
      <c r="Z42" s="30"/>
    </row>
    <row r="43" spans="1:26" ht="27" customHeight="1" x14ac:dyDescent="0.5">
      <c r="A43" s="36" t="s">
        <v>359</v>
      </c>
      <c r="B43" s="37"/>
      <c r="C43" s="30"/>
      <c r="D43" s="30"/>
      <c r="E43" s="30"/>
      <c r="F43" s="30"/>
      <c r="G43" s="38"/>
      <c r="H43" s="38"/>
      <c r="I43" s="38"/>
      <c r="J43" s="38"/>
      <c r="K43" s="38">
        <v>1</v>
      </c>
      <c r="L43" s="30"/>
      <c r="M43" s="30"/>
      <c r="N43" s="30"/>
      <c r="O43" s="37"/>
      <c r="P43" s="30"/>
      <c r="Q43" s="37"/>
      <c r="R43" s="30"/>
      <c r="S43" s="37"/>
      <c r="T43" s="30"/>
      <c r="U43" s="37"/>
      <c r="V43" s="30"/>
      <c r="W43" s="37"/>
      <c r="X43" s="30"/>
      <c r="Y43" s="37"/>
      <c r="Z43" s="30"/>
    </row>
    <row r="44" spans="1:26" ht="27" customHeight="1" x14ac:dyDescent="0.5">
      <c r="A44" s="36" t="s">
        <v>360</v>
      </c>
      <c r="B44" s="37"/>
      <c r="C44" s="30"/>
      <c r="D44" s="30"/>
      <c r="E44" s="30"/>
      <c r="F44" s="30"/>
      <c r="G44" s="38"/>
      <c r="H44" s="38"/>
      <c r="I44" s="38"/>
      <c r="J44" s="38"/>
      <c r="K44" s="38">
        <v>1</v>
      </c>
      <c r="L44" s="30"/>
      <c r="M44" s="30"/>
      <c r="N44" s="30"/>
      <c r="O44" s="37"/>
      <c r="P44" s="30"/>
      <c r="Q44" s="37"/>
      <c r="R44" s="30"/>
      <c r="S44" s="37"/>
      <c r="T44" s="30"/>
      <c r="U44" s="37"/>
      <c r="V44" s="30"/>
      <c r="W44" s="37"/>
      <c r="X44" s="30"/>
      <c r="Y44" s="37"/>
      <c r="Z44" s="30"/>
    </row>
    <row r="45" spans="1:26" ht="27" customHeight="1" x14ac:dyDescent="0.5">
      <c r="A45" s="36" t="s">
        <v>361</v>
      </c>
      <c r="B45" s="37"/>
      <c r="C45" s="30"/>
      <c r="D45" s="30"/>
      <c r="E45" s="30"/>
      <c r="F45" s="30"/>
      <c r="G45" s="38"/>
      <c r="H45" s="38"/>
      <c r="I45" s="38"/>
      <c r="J45" s="38"/>
      <c r="K45" s="38">
        <v>1</v>
      </c>
      <c r="L45" s="30"/>
      <c r="M45" s="30"/>
      <c r="N45" s="30"/>
      <c r="O45" s="37"/>
      <c r="P45" s="30"/>
      <c r="Q45" s="37"/>
      <c r="R45" s="30"/>
      <c r="S45" s="37"/>
      <c r="T45" s="30"/>
      <c r="U45" s="37"/>
      <c r="V45" s="30"/>
      <c r="W45" s="37"/>
      <c r="X45" s="30"/>
      <c r="Y45" s="37"/>
      <c r="Z45" s="30"/>
    </row>
    <row r="46" spans="1:26" ht="27" customHeight="1" x14ac:dyDescent="0.5">
      <c r="A46" s="36" t="s">
        <v>362</v>
      </c>
      <c r="B46" s="37"/>
      <c r="C46" s="30"/>
      <c r="D46" s="30"/>
      <c r="E46" s="30"/>
      <c r="F46" s="30"/>
      <c r="G46" s="38"/>
      <c r="H46" s="38"/>
      <c r="I46" s="38"/>
      <c r="J46" s="38"/>
      <c r="K46" s="38"/>
      <c r="L46" s="30"/>
      <c r="M46" s="30"/>
      <c r="N46" s="30"/>
      <c r="O46" s="37"/>
      <c r="P46" s="30"/>
      <c r="Q46" s="37"/>
      <c r="R46" s="30"/>
      <c r="S46" s="37"/>
      <c r="T46" s="30"/>
      <c r="U46" s="37"/>
      <c r="V46" s="30"/>
      <c r="W46" s="37">
        <v>1</v>
      </c>
      <c r="X46" s="30"/>
      <c r="Y46" s="37"/>
      <c r="Z46" s="30"/>
    </row>
    <row r="47" spans="1:26" ht="27" customHeight="1" x14ac:dyDescent="0.5">
      <c r="A47" s="36" t="s">
        <v>363</v>
      </c>
      <c r="B47" s="37"/>
      <c r="C47" s="30"/>
      <c r="D47" s="30"/>
      <c r="E47" s="30"/>
      <c r="F47" s="30"/>
      <c r="G47" s="38"/>
      <c r="H47" s="38"/>
      <c r="I47" s="38"/>
      <c r="J47" s="38"/>
      <c r="K47" s="38">
        <v>1</v>
      </c>
      <c r="L47" s="30"/>
      <c r="M47" s="30"/>
      <c r="N47" s="30"/>
      <c r="O47" s="37"/>
      <c r="P47" s="30"/>
      <c r="Q47" s="37"/>
      <c r="R47" s="30"/>
      <c r="S47" s="37"/>
      <c r="T47" s="30"/>
      <c r="U47" s="37"/>
      <c r="V47" s="30"/>
      <c r="W47" s="37"/>
      <c r="X47" s="30"/>
      <c r="Y47" s="37"/>
      <c r="Z47" s="30"/>
    </row>
    <row r="48" spans="1:26" ht="27" customHeight="1" x14ac:dyDescent="0.5">
      <c r="A48" s="36" t="s">
        <v>364</v>
      </c>
      <c r="B48" s="37"/>
      <c r="C48" s="30"/>
      <c r="D48" s="30"/>
      <c r="E48" s="30"/>
      <c r="F48" s="30"/>
      <c r="G48" s="38"/>
      <c r="H48" s="38"/>
      <c r="I48" s="38"/>
      <c r="J48" s="38"/>
      <c r="K48" s="38">
        <v>1</v>
      </c>
      <c r="L48" s="30"/>
      <c r="M48" s="30"/>
      <c r="N48" s="30"/>
      <c r="O48" s="37"/>
      <c r="P48" s="30"/>
      <c r="Q48" s="37"/>
      <c r="R48" s="30"/>
      <c r="S48" s="37"/>
      <c r="T48" s="30"/>
      <c r="U48" s="37"/>
      <c r="V48" s="30"/>
      <c r="W48" s="37"/>
      <c r="X48" s="30"/>
      <c r="Y48" s="37"/>
      <c r="Z48" s="30"/>
    </row>
    <row r="49" spans="1:26" ht="27" customHeight="1" x14ac:dyDescent="0.5">
      <c r="A49" s="36" t="s">
        <v>367</v>
      </c>
      <c r="B49" s="37"/>
      <c r="C49" s="30"/>
      <c r="D49" s="30"/>
      <c r="E49" s="30"/>
      <c r="F49" s="30"/>
      <c r="G49" s="38"/>
      <c r="H49" s="38"/>
      <c r="I49" s="38"/>
      <c r="J49" s="38"/>
      <c r="K49" s="38"/>
      <c r="L49" s="30"/>
      <c r="M49" s="30">
        <v>1</v>
      </c>
      <c r="N49" s="30"/>
      <c r="O49" s="37"/>
      <c r="P49" s="30"/>
      <c r="Q49" s="37">
        <v>3</v>
      </c>
      <c r="R49" s="30"/>
      <c r="S49" s="37"/>
      <c r="T49" s="30"/>
      <c r="U49" s="37">
        <v>1</v>
      </c>
      <c r="V49" s="30"/>
      <c r="W49" s="37"/>
      <c r="X49" s="30"/>
      <c r="Y49" s="37"/>
      <c r="Z49" s="30"/>
    </row>
    <row r="50" spans="1:26" ht="27" customHeight="1" x14ac:dyDescent="0.5">
      <c r="A50" s="36" t="s">
        <v>368</v>
      </c>
      <c r="B50" s="37"/>
      <c r="C50" s="30"/>
      <c r="D50" s="30"/>
      <c r="E50" s="30"/>
      <c r="F50" s="30"/>
      <c r="G50" s="38"/>
      <c r="H50" s="38"/>
      <c r="I50" s="38"/>
      <c r="J50" s="38"/>
      <c r="K50" s="38">
        <v>1</v>
      </c>
      <c r="L50" s="30"/>
      <c r="M50" s="30"/>
      <c r="N50" s="30"/>
      <c r="O50" s="37"/>
      <c r="P50" s="30"/>
      <c r="Q50" s="37"/>
      <c r="R50" s="30"/>
      <c r="S50" s="37"/>
      <c r="T50" s="30"/>
      <c r="U50" s="37"/>
      <c r="V50" s="30"/>
      <c r="W50" s="37"/>
      <c r="X50" s="30"/>
      <c r="Y50" s="37"/>
      <c r="Z50" s="30"/>
    </row>
    <row r="51" spans="1:26" ht="27" customHeight="1" x14ac:dyDescent="0.5">
      <c r="A51" s="36" t="s">
        <v>365</v>
      </c>
      <c r="B51" s="37"/>
      <c r="C51" s="30"/>
      <c r="D51" s="30"/>
      <c r="E51" s="30"/>
      <c r="F51" s="30"/>
      <c r="G51" s="38"/>
      <c r="H51" s="38"/>
      <c r="I51" s="38"/>
      <c r="J51" s="38"/>
      <c r="K51" s="38">
        <v>1</v>
      </c>
      <c r="L51" s="30"/>
      <c r="M51" s="30"/>
      <c r="N51" s="30"/>
      <c r="O51" s="37"/>
      <c r="P51" s="30"/>
      <c r="Q51" s="37"/>
      <c r="R51" s="30"/>
      <c r="S51" s="37"/>
      <c r="T51" s="30"/>
      <c r="U51" s="37"/>
      <c r="V51" s="30"/>
      <c r="W51" s="37"/>
      <c r="X51" s="30"/>
      <c r="Y51" s="37"/>
      <c r="Z51" s="30"/>
    </row>
    <row r="52" spans="1:26" ht="27" customHeight="1" x14ac:dyDescent="0.5">
      <c r="A52" s="36" t="s">
        <v>369</v>
      </c>
      <c r="B52" s="37"/>
      <c r="C52" s="30"/>
      <c r="D52" s="30"/>
      <c r="E52" s="30"/>
      <c r="F52" s="30"/>
      <c r="G52" s="38"/>
      <c r="H52" s="38"/>
      <c r="I52" s="38"/>
      <c r="J52" s="38"/>
      <c r="K52" s="38">
        <v>1</v>
      </c>
      <c r="L52" s="30"/>
      <c r="M52" s="30"/>
      <c r="N52" s="30"/>
      <c r="O52" s="37"/>
      <c r="P52" s="30"/>
      <c r="Q52" s="37"/>
      <c r="R52" s="30"/>
      <c r="S52" s="37"/>
      <c r="T52" s="30"/>
      <c r="U52" s="37"/>
      <c r="V52" s="30"/>
      <c r="W52" s="37"/>
      <c r="X52" s="30"/>
      <c r="Y52" s="37"/>
      <c r="Z52" s="30"/>
    </row>
    <row r="53" spans="1:26" ht="27" customHeight="1" x14ac:dyDescent="0.5">
      <c r="A53" s="36" t="s">
        <v>370</v>
      </c>
      <c r="B53" s="37"/>
      <c r="C53" s="30"/>
      <c r="D53" s="30"/>
      <c r="E53" s="30"/>
      <c r="F53" s="30"/>
      <c r="G53" s="38"/>
      <c r="H53" s="38"/>
      <c r="I53" s="38"/>
      <c r="J53" s="38"/>
      <c r="K53" s="38">
        <v>1</v>
      </c>
      <c r="L53" s="30"/>
      <c r="M53" s="30"/>
      <c r="N53" s="30"/>
      <c r="O53" s="37"/>
      <c r="P53" s="30"/>
      <c r="Q53" s="37"/>
      <c r="R53" s="30"/>
      <c r="S53" s="37"/>
      <c r="T53" s="30"/>
      <c r="U53" s="37"/>
      <c r="V53" s="30"/>
      <c r="W53" s="37"/>
      <c r="X53" s="30"/>
      <c r="Y53" s="37"/>
      <c r="Z53" s="30"/>
    </row>
    <row r="54" spans="1:26" ht="27" customHeight="1" x14ac:dyDescent="0.5">
      <c r="A54" s="36" t="s">
        <v>366</v>
      </c>
      <c r="B54" s="37"/>
      <c r="C54" s="30"/>
      <c r="D54" s="30"/>
      <c r="E54" s="30"/>
      <c r="F54" s="30"/>
      <c r="G54" s="38"/>
      <c r="H54" s="38"/>
      <c r="I54" s="38"/>
      <c r="J54" s="38"/>
      <c r="K54" s="38">
        <v>1</v>
      </c>
      <c r="L54" s="30"/>
      <c r="M54" s="30"/>
      <c r="N54" s="30"/>
      <c r="O54" s="37"/>
      <c r="P54" s="30"/>
      <c r="Q54" s="37"/>
      <c r="R54" s="30"/>
      <c r="S54" s="37"/>
      <c r="T54" s="30"/>
      <c r="U54" s="37"/>
      <c r="V54" s="30"/>
      <c r="W54" s="37"/>
      <c r="X54" s="30"/>
      <c r="Y54" s="37"/>
      <c r="Z54" s="30"/>
    </row>
    <row r="55" spans="1:26" ht="27" customHeight="1" x14ac:dyDescent="0.5">
      <c r="A55" s="36" t="s">
        <v>371</v>
      </c>
      <c r="B55" s="37"/>
      <c r="C55" s="30"/>
      <c r="D55" s="30"/>
      <c r="E55" s="30"/>
      <c r="F55" s="30"/>
      <c r="G55" s="38"/>
      <c r="H55" s="38"/>
      <c r="I55" s="38"/>
      <c r="J55" s="38"/>
      <c r="K55" s="38">
        <v>1</v>
      </c>
      <c r="L55" s="30"/>
      <c r="M55" s="30"/>
      <c r="N55" s="30"/>
      <c r="O55" s="37"/>
      <c r="P55" s="30"/>
      <c r="Q55" s="37"/>
      <c r="R55" s="30"/>
      <c r="S55" s="37"/>
      <c r="T55" s="30"/>
      <c r="U55" s="37"/>
      <c r="V55" s="30"/>
      <c r="W55" s="37"/>
      <c r="X55" s="30"/>
      <c r="Y55" s="37"/>
      <c r="Z55" s="30"/>
    </row>
    <row r="56" spans="1:26" ht="27" customHeight="1" x14ac:dyDescent="0.5">
      <c r="A56" s="36" t="s">
        <v>372</v>
      </c>
      <c r="B56" s="37"/>
      <c r="C56" s="30"/>
      <c r="D56" s="30"/>
      <c r="E56" s="30"/>
      <c r="F56" s="30"/>
      <c r="G56" s="38"/>
      <c r="H56" s="38"/>
      <c r="I56" s="38"/>
      <c r="J56" s="38"/>
      <c r="K56" s="38">
        <v>1</v>
      </c>
      <c r="L56" s="30"/>
      <c r="M56" s="30"/>
      <c r="N56" s="30"/>
      <c r="O56" s="37"/>
      <c r="P56" s="30"/>
      <c r="Q56" s="37"/>
      <c r="R56" s="30"/>
      <c r="S56" s="37"/>
      <c r="T56" s="30"/>
      <c r="U56" s="37"/>
      <c r="V56" s="30"/>
      <c r="W56" s="37"/>
      <c r="X56" s="30"/>
      <c r="Y56" s="37"/>
      <c r="Z56" s="30"/>
    </row>
    <row r="57" spans="1:26" ht="27" customHeight="1" x14ac:dyDescent="0.5">
      <c r="A57" s="36" t="s">
        <v>380</v>
      </c>
      <c r="B57" s="37"/>
      <c r="C57" s="30"/>
      <c r="D57" s="30"/>
      <c r="E57" s="30"/>
      <c r="F57" s="30"/>
      <c r="G57" s="38"/>
      <c r="H57" s="38"/>
      <c r="I57" s="38"/>
      <c r="J57" s="38"/>
      <c r="K57" s="38">
        <v>1</v>
      </c>
      <c r="L57" s="30"/>
      <c r="M57" s="30"/>
      <c r="N57" s="30"/>
      <c r="O57" s="37"/>
      <c r="P57" s="30"/>
      <c r="Q57" s="37"/>
      <c r="R57" s="30"/>
      <c r="S57" s="37"/>
      <c r="T57" s="30"/>
      <c r="U57" s="37"/>
      <c r="V57" s="30"/>
      <c r="W57" s="37"/>
      <c r="X57" s="30"/>
      <c r="Y57" s="37"/>
      <c r="Z57" s="30"/>
    </row>
    <row r="58" spans="1:26" ht="27" customHeight="1" x14ac:dyDescent="0.5">
      <c r="A58" s="36" t="s">
        <v>373</v>
      </c>
      <c r="B58" s="37"/>
      <c r="C58" s="30"/>
      <c r="D58" s="30"/>
      <c r="E58" s="30"/>
      <c r="F58" s="30"/>
      <c r="G58" s="38"/>
      <c r="H58" s="38"/>
      <c r="I58" s="38"/>
      <c r="J58" s="38"/>
      <c r="K58" s="38">
        <v>1</v>
      </c>
      <c r="L58" s="30"/>
      <c r="M58" s="30"/>
      <c r="N58" s="30"/>
      <c r="O58" s="37"/>
      <c r="P58" s="30"/>
      <c r="Q58" s="37"/>
      <c r="R58" s="30"/>
      <c r="S58" s="37"/>
      <c r="T58" s="30"/>
      <c r="U58" s="37"/>
      <c r="V58" s="30"/>
      <c r="W58" s="37"/>
      <c r="X58" s="30"/>
      <c r="Y58" s="37"/>
      <c r="Z58" s="30"/>
    </row>
    <row r="59" spans="1:26" ht="27" customHeight="1" x14ac:dyDescent="0.5">
      <c r="A59" s="36" t="s">
        <v>381</v>
      </c>
      <c r="B59" s="37">
        <v>1</v>
      </c>
      <c r="C59" s="30"/>
      <c r="D59" s="30"/>
      <c r="E59" s="30"/>
      <c r="F59" s="30">
        <v>2</v>
      </c>
      <c r="G59" s="38"/>
      <c r="H59" s="38"/>
      <c r="I59" s="38"/>
      <c r="J59" s="38"/>
      <c r="K59" s="38"/>
      <c r="L59" s="30"/>
      <c r="M59" s="30"/>
      <c r="N59" s="30"/>
      <c r="O59" s="37"/>
      <c r="P59" s="30"/>
      <c r="Q59" s="37"/>
      <c r="R59" s="30"/>
      <c r="S59" s="37"/>
      <c r="T59" s="30"/>
      <c r="U59" s="37"/>
      <c r="V59" s="30"/>
      <c r="W59" s="37"/>
      <c r="X59" s="30"/>
      <c r="Y59" s="37"/>
      <c r="Z59" s="30"/>
    </row>
    <row r="60" spans="1:26" ht="27" customHeight="1" x14ac:dyDescent="0.5">
      <c r="A60" s="36" t="s">
        <v>382</v>
      </c>
      <c r="B60" s="37"/>
      <c r="C60" s="30"/>
      <c r="D60" s="30"/>
      <c r="E60" s="30"/>
      <c r="F60" s="30"/>
      <c r="G60" s="38">
        <v>6</v>
      </c>
      <c r="H60" s="38"/>
      <c r="I60" s="38"/>
      <c r="J60" s="38"/>
      <c r="K60" s="38"/>
      <c r="L60" s="30"/>
      <c r="M60" s="30"/>
      <c r="N60" s="30"/>
      <c r="O60" s="37"/>
      <c r="P60" s="30"/>
      <c r="Q60" s="37"/>
      <c r="R60" s="30"/>
      <c r="S60" s="37"/>
      <c r="T60" s="30"/>
      <c r="U60" s="37"/>
      <c r="V60" s="30"/>
      <c r="W60" s="37"/>
      <c r="X60" s="30"/>
      <c r="Y60" s="37"/>
      <c r="Z60" s="30"/>
    </row>
    <row r="61" spans="1:26" ht="27" customHeight="1" x14ac:dyDescent="0.5">
      <c r="A61" s="36" t="s">
        <v>383</v>
      </c>
      <c r="B61" s="37"/>
      <c r="C61" s="30"/>
      <c r="D61" s="30"/>
      <c r="E61" s="30"/>
      <c r="F61" s="30"/>
      <c r="G61" s="38">
        <v>6</v>
      </c>
      <c r="H61" s="38"/>
      <c r="I61" s="38"/>
      <c r="J61" s="38"/>
      <c r="K61" s="38"/>
      <c r="L61" s="30"/>
      <c r="M61" s="30"/>
      <c r="N61" s="30"/>
      <c r="O61" s="37"/>
      <c r="P61" s="30"/>
      <c r="Q61" s="37"/>
      <c r="R61" s="30"/>
      <c r="S61" s="37"/>
      <c r="T61" s="30"/>
      <c r="U61" s="37"/>
      <c r="V61" s="30"/>
      <c r="W61" s="37"/>
      <c r="X61" s="30"/>
      <c r="Y61" s="37"/>
      <c r="Z61" s="30"/>
    </row>
    <row r="62" spans="1:26" ht="27" customHeight="1" x14ac:dyDescent="0.5">
      <c r="A62" s="36" t="s">
        <v>384</v>
      </c>
      <c r="B62" s="37"/>
      <c r="C62" s="30"/>
      <c r="D62" s="30"/>
      <c r="E62" s="30"/>
      <c r="F62" s="30"/>
      <c r="G62" s="38"/>
      <c r="H62" s="38">
        <v>2</v>
      </c>
      <c r="I62" s="38"/>
      <c r="J62" s="38"/>
      <c r="K62" s="38"/>
      <c r="L62" s="30"/>
      <c r="M62" s="30"/>
      <c r="N62" s="30"/>
      <c r="O62" s="37"/>
      <c r="P62" s="30"/>
      <c r="Q62" s="37"/>
      <c r="R62" s="30"/>
      <c r="S62" s="37"/>
      <c r="T62" s="30"/>
      <c r="U62" s="37"/>
      <c r="V62" s="30"/>
      <c r="W62" s="37"/>
      <c r="X62" s="30"/>
      <c r="Y62" s="37"/>
      <c r="Z62" s="30"/>
    </row>
    <row r="63" spans="1:26" ht="27" customHeight="1" x14ac:dyDescent="0.5">
      <c r="A63" s="36" t="s">
        <v>385</v>
      </c>
      <c r="B63" s="37"/>
      <c r="C63" s="30"/>
      <c r="D63" s="30"/>
      <c r="E63" s="30"/>
      <c r="F63" s="30"/>
      <c r="G63" s="38"/>
      <c r="H63" s="38">
        <v>2</v>
      </c>
      <c r="I63" s="38"/>
      <c r="J63" s="38"/>
      <c r="K63" s="38"/>
      <c r="L63" s="30"/>
      <c r="M63" s="30"/>
      <c r="N63" s="30"/>
      <c r="O63" s="37"/>
      <c r="P63" s="30"/>
      <c r="Q63" s="37"/>
      <c r="R63" s="30"/>
      <c r="S63" s="37"/>
      <c r="T63" s="30"/>
      <c r="U63" s="37"/>
      <c r="V63" s="30"/>
      <c r="W63" s="37"/>
      <c r="X63" s="30"/>
      <c r="Y63" s="37"/>
      <c r="Z63" s="30"/>
    </row>
    <row r="64" spans="1:26" ht="27" customHeight="1" x14ac:dyDescent="0.5">
      <c r="A64" s="36" t="s">
        <v>386</v>
      </c>
      <c r="B64" s="37"/>
      <c r="C64" s="30"/>
      <c r="D64" s="30"/>
      <c r="E64" s="30"/>
      <c r="F64" s="30"/>
      <c r="G64" s="38"/>
      <c r="H64" s="38">
        <v>2</v>
      </c>
      <c r="I64" s="38"/>
      <c r="J64" s="38"/>
      <c r="K64" s="38"/>
      <c r="L64" s="30"/>
      <c r="M64" s="30"/>
      <c r="N64" s="30"/>
      <c r="O64" s="37"/>
      <c r="P64" s="30"/>
      <c r="Q64" s="37"/>
      <c r="R64" s="30"/>
      <c r="S64" s="37"/>
      <c r="T64" s="30"/>
      <c r="U64" s="37"/>
      <c r="V64" s="30"/>
      <c r="W64" s="37"/>
      <c r="X64" s="30"/>
      <c r="Y64" s="37"/>
      <c r="Z64" s="30"/>
    </row>
    <row r="65" spans="1:26" ht="27" customHeight="1" x14ac:dyDescent="0.5">
      <c r="A65" s="36" t="s">
        <v>387</v>
      </c>
      <c r="B65" s="37"/>
      <c r="C65" s="30"/>
      <c r="D65" s="30"/>
      <c r="E65" s="30"/>
      <c r="F65" s="30"/>
      <c r="G65" s="38"/>
      <c r="H65" s="38">
        <v>2</v>
      </c>
      <c r="I65" s="38"/>
      <c r="J65" s="38"/>
      <c r="K65" s="38"/>
      <c r="L65" s="30"/>
      <c r="M65" s="30"/>
      <c r="N65" s="30"/>
      <c r="O65" s="37"/>
      <c r="P65" s="30"/>
      <c r="Q65" s="37"/>
      <c r="R65" s="30"/>
      <c r="S65" s="37"/>
      <c r="T65" s="30"/>
      <c r="U65" s="37"/>
      <c r="V65" s="30"/>
      <c r="W65" s="37"/>
      <c r="X65" s="30"/>
      <c r="Y65" s="37"/>
      <c r="Z65" s="30"/>
    </row>
    <row r="66" spans="1:26" ht="27" customHeight="1" x14ac:dyDescent="0.5">
      <c r="A66" s="36" t="s">
        <v>98</v>
      </c>
      <c r="B66" s="37"/>
      <c r="C66" s="30"/>
      <c r="D66" s="30"/>
      <c r="E66" s="30"/>
      <c r="F66" s="30"/>
      <c r="G66" s="38">
        <v>6</v>
      </c>
      <c r="H66" s="38">
        <v>8</v>
      </c>
      <c r="I66" s="38"/>
      <c r="J66" s="38"/>
      <c r="K66" s="38"/>
      <c r="L66" s="30"/>
      <c r="M66" s="30"/>
      <c r="N66" s="30"/>
      <c r="O66" s="37"/>
      <c r="P66" s="30"/>
      <c r="Q66" s="37"/>
      <c r="R66" s="30"/>
      <c r="S66" s="37"/>
      <c r="T66" s="30"/>
      <c r="U66" s="37"/>
      <c r="V66" s="30"/>
      <c r="W66" s="37"/>
      <c r="X66" s="30"/>
      <c r="Y66" s="37"/>
      <c r="Z66" s="30"/>
    </row>
    <row r="67" spans="1:26" ht="27" customHeight="1" x14ac:dyDescent="0.5">
      <c r="A67" s="36" t="s">
        <v>388</v>
      </c>
      <c r="B67" s="37"/>
      <c r="C67" s="30"/>
      <c r="D67" s="30"/>
      <c r="E67" s="30"/>
      <c r="F67" s="30"/>
      <c r="G67" s="38"/>
      <c r="H67" s="38"/>
      <c r="I67" s="38"/>
      <c r="J67" s="38"/>
      <c r="K67" s="38">
        <v>2</v>
      </c>
      <c r="L67" s="30"/>
      <c r="M67" s="30"/>
      <c r="N67" s="30"/>
      <c r="O67" s="37"/>
      <c r="P67" s="30"/>
      <c r="Q67" s="37"/>
      <c r="R67" s="30"/>
      <c r="S67" s="37"/>
      <c r="T67" s="30"/>
      <c r="U67" s="37"/>
      <c r="V67" s="30"/>
      <c r="W67" s="37"/>
      <c r="X67" s="30"/>
      <c r="Y67" s="37"/>
      <c r="Z67" s="30"/>
    </row>
    <row r="68" spans="1:26" ht="27" customHeight="1" x14ac:dyDescent="0.5">
      <c r="A68" s="36" t="s">
        <v>389</v>
      </c>
      <c r="B68" s="37"/>
      <c r="C68" s="30"/>
      <c r="D68" s="30"/>
      <c r="E68" s="30">
        <v>8</v>
      </c>
      <c r="F68" s="30"/>
      <c r="G68" s="38"/>
      <c r="H68" s="38"/>
      <c r="I68" s="38"/>
      <c r="J68" s="38"/>
      <c r="K68" s="38"/>
      <c r="L68" s="30"/>
      <c r="M68" s="30"/>
      <c r="N68" s="30"/>
      <c r="O68" s="37"/>
      <c r="P68" s="30"/>
      <c r="Q68" s="37"/>
      <c r="R68" s="30"/>
      <c r="S68" s="37"/>
      <c r="T68" s="30"/>
      <c r="U68" s="37"/>
      <c r="V68" s="30"/>
      <c r="W68" s="37"/>
      <c r="X68" s="30"/>
      <c r="Y68" s="37"/>
      <c r="Z68" s="30"/>
    </row>
    <row r="69" spans="1:26" ht="27" customHeight="1" x14ac:dyDescent="0.5">
      <c r="A69" s="36" t="s">
        <v>337</v>
      </c>
      <c r="B69" s="37"/>
      <c r="C69" s="30"/>
      <c r="D69" s="30"/>
      <c r="E69" s="30">
        <v>4</v>
      </c>
      <c r="F69" s="30"/>
      <c r="G69" s="38"/>
      <c r="H69" s="38"/>
      <c r="I69" s="38"/>
      <c r="J69" s="38"/>
      <c r="K69" s="38"/>
      <c r="L69" s="30"/>
      <c r="M69" s="30"/>
      <c r="N69" s="30"/>
      <c r="O69" s="37"/>
      <c r="P69" s="30"/>
      <c r="Q69" s="37"/>
      <c r="R69" s="30"/>
      <c r="S69" s="37"/>
      <c r="T69" s="30"/>
      <c r="U69" s="37"/>
      <c r="V69" s="30"/>
      <c r="W69" s="37"/>
      <c r="X69" s="30"/>
      <c r="Y69" s="37"/>
      <c r="Z69" s="30"/>
    </row>
    <row r="70" spans="1:26" ht="27" customHeight="1" x14ac:dyDescent="0.5">
      <c r="A70" s="36" t="s">
        <v>393</v>
      </c>
      <c r="B70" s="37"/>
      <c r="C70" s="30"/>
      <c r="D70" s="30"/>
      <c r="E70" s="30"/>
      <c r="F70" s="30"/>
      <c r="G70" s="38"/>
      <c r="H70" s="38"/>
      <c r="I70" s="38"/>
      <c r="J70" s="38"/>
      <c r="K70" s="38">
        <v>1</v>
      </c>
      <c r="L70" s="30"/>
      <c r="M70" s="30"/>
      <c r="N70" s="30"/>
      <c r="O70" s="37"/>
      <c r="P70" s="30"/>
      <c r="Q70" s="37"/>
      <c r="R70" s="30"/>
      <c r="S70" s="37"/>
      <c r="T70" s="30"/>
      <c r="U70" s="37"/>
      <c r="V70" s="30"/>
      <c r="W70" s="37"/>
      <c r="X70" s="30"/>
      <c r="Y70" s="37"/>
      <c r="Z70" s="30"/>
    </row>
    <row r="71" spans="1:26" ht="27" customHeight="1" x14ac:dyDescent="0.5">
      <c r="A71" s="36"/>
      <c r="B71" s="37"/>
      <c r="C71" s="30"/>
      <c r="D71" s="30"/>
      <c r="E71" s="30"/>
      <c r="F71" s="30"/>
      <c r="G71" s="38"/>
      <c r="H71" s="38"/>
      <c r="I71" s="38"/>
      <c r="J71" s="38"/>
      <c r="K71" s="38"/>
      <c r="L71" s="30"/>
      <c r="M71" s="30"/>
      <c r="N71" s="30"/>
      <c r="O71" s="37"/>
      <c r="P71" s="30"/>
      <c r="Q71" s="37"/>
      <c r="R71" s="30"/>
      <c r="S71" s="37"/>
      <c r="T71" s="30"/>
      <c r="U71" s="37"/>
      <c r="V71" s="30"/>
      <c r="W71" s="37"/>
      <c r="X71" s="30"/>
      <c r="Y71" s="37"/>
      <c r="Z71" s="30"/>
    </row>
    <row r="72" spans="1:26" ht="27" customHeight="1" x14ac:dyDescent="0.5">
      <c r="A72" s="36"/>
      <c r="B72" s="37"/>
      <c r="C72" s="30"/>
      <c r="D72" s="30"/>
      <c r="E72" s="30"/>
      <c r="F72" s="30"/>
      <c r="G72" s="38"/>
      <c r="H72" s="38"/>
      <c r="I72" s="38"/>
      <c r="J72" s="38"/>
      <c r="K72" s="38"/>
      <c r="L72" s="30"/>
      <c r="M72" s="30"/>
      <c r="N72" s="30"/>
      <c r="O72" s="37"/>
      <c r="P72" s="30"/>
      <c r="Q72" s="37"/>
      <c r="R72" s="30"/>
      <c r="S72" s="37"/>
      <c r="T72" s="30"/>
      <c r="U72" s="37"/>
      <c r="V72" s="30"/>
      <c r="W72" s="37"/>
      <c r="X72" s="30"/>
      <c r="Y72" s="37"/>
      <c r="Z72" s="30"/>
    </row>
    <row r="73" spans="1:26" ht="27" customHeight="1" x14ac:dyDescent="0.5">
      <c r="A73" s="36" t="s">
        <v>391</v>
      </c>
      <c r="B73" s="37"/>
      <c r="C73" s="30"/>
      <c r="D73" s="30"/>
      <c r="E73" s="30"/>
      <c r="F73" s="30"/>
      <c r="G73" s="38"/>
      <c r="H73" s="38"/>
      <c r="I73" s="38">
        <v>3</v>
      </c>
      <c r="J73" s="38"/>
      <c r="K73" s="38"/>
      <c r="L73" s="30"/>
      <c r="M73" s="30">
        <v>3</v>
      </c>
      <c r="N73" s="30"/>
      <c r="O73" s="37"/>
      <c r="P73" s="30"/>
      <c r="Q73" s="37"/>
      <c r="R73" s="30"/>
      <c r="S73" s="37"/>
      <c r="T73" s="30"/>
      <c r="U73" s="37"/>
      <c r="V73" s="30"/>
      <c r="W73" s="37"/>
      <c r="X73" s="30"/>
      <c r="Y73" s="37"/>
      <c r="Z73" s="30">
        <v>18</v>
      </c>
    </row>
  </sheetData>
  <mergeCells count="4">
    <mergeCell ref="G1:K1"/>
    <mergeCell ref="C1:F1"/>
    <mergeCell ref="L1:N1"/>
    <mergeCell ref="G2:H2"/>
  </mergeCells>
  <phoneticPr fontId="3" type="noConversion"/>
  <pageMargins left="0.11811023622047245" right="0.11811023622047245" top="0.59055118110236227" bottom="0.59055118110236227" header="0.31496062992125984" footer="0.31496062992125984"/>
  <pageSetup paperSize="9" scale="42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view="pageBreakPreview" zoomScale="40" zoomScaleNormal="40" zoomScaleSheetLayoutView="40" workbookViewId="0">
      <pane xSplit="1" ySplit="4" topLeftCell="B5" activePane="bottomRight" state="frozen"/>
      <selection pane="topRight"/>
      <selection pane="bottomLeft"/>
      <selection pane="bottomRight" activeCell="I7" sqref="I7"/>
    </sheetView>
  </sheetViews>
  <sheetFormatPr defaultColWidth="9" defaultRowHeight="16.5" x14ac:dyDescent="0.3"/>
  <cols>
    <col min="1" max="1" width="50.875" style="4" customWidth="1"/>
    <col min="2" max="7" width="26.875" style="4" customWidth="1"/>
    <col min="8" max="9" width="24.5" style="4" customWidth="1"/>
    <col min="10" max="16384" width="9" style="4"/>
  </cols>
  <sheetData>
    <row r="1" spans="1:9" ht="265.5" customHeight="1" x14ac:dyDescent="0.3">
      <c r="A1" s="98" t="s">
        <v>392</v>
      </c>
      <c r="B1" s="1" t="s">
        <v>0</v>
      </c>
      <c r="C1" s="1" t="s">
        <v>1</v>
      </c>
      <c r="D1" s="1" t="s">
        <v>1</v>
      </c>
      <c r="E1" s="91" t="s">
        <v>2</v>
      </c>
      <c r="F1" s="1" t="s">
        <v>3</v>
      </c>
      <c r="G1" s="1" t="s">
        <v>4</v>
      </c>
      <c r="H1" s="3"/>
      <c r="I1" s="3"/>
    </row>
    <row r="2" spans="1:9" ht="68.25" customHeight="1" x14ac:dyDescent="0.3">
      <c r="A2" s="98"/>
      <c r="B2" s="5" t="s">
        <v>5</v>
      </c>
      <c r="C2" s="5" t="s">
        <v>6</v>
      </c>
      <c r="D2" s="5" t="s">
        <v>7</v>
      </c>
      <c r="E2" s="6" t="s">
        <v>6</v>
      </c>
      <c r="F2" s="5" t="s">
        <v>8</v>
      </c>
      <c r="G2" s="5" t="s">
        <v>9</v>
      </c>
      <c r="H2" s="3"/>
      <c r="I2" s="3"/>
    </row>
    <row r="3" spans="1:9" ht="68.25" customHeight="1" x14ac:dyDescent="0.3">
      <c r="A3" s="99"/>
      <c r="B3" s="5" t="s">
        <v>10</v>
      </c>
      <c r="C3" s="5" t="s">
        <v>10</v>
      </c>
      <c r="D3" s="5" t="s">
        <v>10</v>
      </c>
      <c r="E3" s="6" t="s">
        <v>10</v>
      </c>
      <c r="F3" s="5" t="s">
        <v>10</v>
      </c>
      <c r="G3" s="5" t="s">
        <v>10</v>
      </c>
      <c r="H3" s="3"/>
      <c r="I3" s="3"/>
    </row>
    <row r="4" spans="1:9" ht="110.25" customHeight="1" x14ac:dyDescent="0.3">
      <c r="A4" s="7"/>
      <c r="B4" s="8">
        <f t="shared" ref="B4:E4" si="0">SUM(B5:B7)</f>
        <v>10</v>
      </c>
      <c r="C4" s="8">
        <f t="shared" si="0"/>
        <v>0</v>
      </c>
      <c r="D4" s="8">
        <f t="shared" si="0"/>
        <v>240</v>
      </c>
      <c r="E4" s="8">
        <f t="shared" si="0"/>
        <v>64</v>
      </c>
      <c r="F4" s="8">
        <f>SUM(F5:F7)</f>
        <v>60</v>
      </c>
      <c r="G4" s="8">
        <f>SUM(G5:G7)</f>
        <v>0</v>
      </c>
      <c r="H4" s="9"/>
      <c r="I4" s="9"/>
    </row>
    <row r="5" spans="1:9" ht="92.25" customHeight="1" x14ac:dyDescent="0.3">
      <c r="A5" s="10" t="s">
        <v>11</v>
      </c>
      <c r="B5" s="11"/>
      <c r="C5" s="12"/>
      <c r="D5" s="12">
        <v>112</v>
      </c>
      <c r="E5" s="12">
        <v>24</v>
      </c>
      <c r="F5" s="12">
        <v>20</v>
      </c>
      <c r="G5" s="12"/>
      <c r="H5" s="9"/>
      <c r="I5" s="9"/>
    </row>
    <row r="6" spans="1:9" ht="92.25" customHeight="1" x14ac:dyDescent="0.3">
      <c r="A6" s="10" t="s">
        <v>12</v>
      </c>
      <c r="B6" s="11"/>
      <c r="C6" s="12"/>
      <c r="D6" s="12">
        <v>32</v>
      </c>
      <c r="E6" s="12">
        <v>24</v>
      </c>
      <c r="F6" s="12"/>
      <c r="G6" s="12"/>
      <c r="H6" s="9"/>
      <c r="I6" s="9"/>
    </row>
    <row r="7" spans="1:9" ht="92.25" customHeight="1" x14ac:dyDescent="0.3">
      <c r="A7" s="10" t="s">
        <v>13</v>
      </c>
      <c r="B7" s="11">
        <v>10</v>
      </c>
      <c r="C7" s="12"/>
      <c r="D7" s="12">
        <v>96</v>
      </c>
      <c r="E7" s="12">
        <v>16</v>
      </c>
      <c r="F7" s="12">
        <v>40</v>
      </c>
      <c r="G7" s="12"/>
      <c r="H7" s="13"/>
      <c r="I7" s="13"/>
    </row>
    <row r="8" spans="1:9" ht="27" customHeight="1" x14ac:dyDescent="0.3">
      <c r="B8" s="14"/>
      <c r="C8" s="14"/>
      <c r="D8" s="14"/>
      <c r="E8" s="14"/>
      <c r="F8" s="14"/>
      <c r="G8" s="14"/>
      <c r="H8" s="15"/>
      <c r="I8" s="15"/>
    </row>
    <row r="9" spans="1:9" ht="27" customHeight="1" x14ac:dyDescent="0.3">
      <c r="A9" s="16"/>
      <c r="H9" s="3"/>
      <c r="I9" s="3"/>
    </row>
    <row r="10" spans="1:9" ht="110.25" customHeight="1" x14ac:dyDescent="0.3">
      <c r="A10" s="17"/>
      <c r="B10" s="18" t="s">
        <v>14</v>
      </c>
      <c r="C10" s="18" t="s">
        <v>15</v>
      </c>
      <c r="D10" s="18" t="s">
        <v>16</v>
      </c>
      <c r="E10" s="18" t="s">
        <v>17</v>
      </c>
      <c r="F10" s="19" t="s">
        <v>18</v>
      </c>
      <c r="G10" s="18" t="s">
        <v>19</v>
      </c>
      <c r="H10" s="3"/>
      <c r="I10" s="3"/>
    </row>
    <row r="11" spans="1:9" ht="84" customHeight="1" x14ac:dyDescent="0.3">
      <c r="A11" s="10" t="s">
        <v>11</v>
      </c>
      <c r="B11" s="20"/>
      <c r="C11" s="20"/>
      <c r="D11" s="20">
        <f>D5/16</f>
        <v>7</v>
      </c>
      <c r="E11" s="20">
        <f>E5/4</f>
        <v>6</v>
      </c>
      <c r="F11" s="20">
        <f>F5/20</f>
        <v>1</v>
      </c>
      <c r="G11" s="20" t="s">
        <v>308</v>
      </c>
      <c r="H11" s="21">
        <f>SUM(B11:G11)</f>
        <v>14</v>
      </c>
      <c r="I11" s="21" t="s">
        <v>20</v>
      </c>
    </row>
    <row r="12" spans="1:9" ht="84" customHeight="1" x14ac:dyDescent="0.3">
      <c r="A12" s="10" t="s">
        <v>12</v>
      </c>
      <c r="B12" s="20"/>
      <c r="C12" s="20"/>
      <c r="D12" s="20">
        <f>D6/16</f>
        <v>2</v>
      </c>
      <c r="E12" s="20">
        <f>E6/4</f>
        <v>6</v>
      </c>
      <c r="F12" s="20"/>
      <c r="G12" s="20"/>
      <c r="H12" s="21">
        <f t="shared" ref="H12:H13" si="1">SUM(B12:G12)</f>
        <v>8</v>
      </c>
      <c r="I12" s="21"/>
    </row>
    <row r="13" spans="1:9" ht="84" customHeight="1" x14ac:dyDescent="0.3">
      <c r="A13" s="10" t="s">
        <v>13</v>
      </c>
      <c r="B13" s="20">
        <f>B7/10</f>
        <v>1</v>
      </c>
      <c r="C13" s="20"/>
      <c r="D13" s="20">
        <f>D7/16</f>
        <v>6</v>
      </c>
      <c r="E13" s="20">
        <f>E7/4</f>
        <v>4</v>
      </c>
      <c r="F13" s="20">
        <f t="shared" ref="F13" si="2">F7/20</f>
        <v>2</v>
      </c>
      <c r="G13" s="20"/>
      <c r="H13" s="21">
        <f t="shared" si="1"/>
        <v>13</v>
      </c>
      <c r="I13" s="21" t="s">
        <v>396</v>
      </c>
    </row>
  </sheetData>
  <mergeCells count="1">
    <mergeCell ref="A1:A3"/>
  </mergeCells>
  <phoneticPr fontId="3" type="noConversion"/>
  <conditionalFormatting sqref="A5">
    <cfRule type="duplicateValues" dxfId="5" priority="4"/>
  </conditionalFormatting>
  <conditionalFormatting sqref="A6">
    <cfRule type="duplicateValues" dxfId="4" priority="5"/>
  </conditionalFormatting>
  <conditionalFormatting sqref="A7">
    <cfRule type="duplicateValues" dxfId="3" priority="2"/>
  </conditionalFormatting>
  <conditionalFormatting sqref="A11">
    <cfRule type="duplicateValues" dxfId="2" priority="3"/>
  </conditionalFormatting>
  <conditionalFormatting sqref="A12">
    <cfRule type="duplicateValues" dxfId="1" priority="6"/>
  </conditionalFormatting>
  <conditionalFormatting sqref="A13">
    <cfRule type="duplicateValues" dxfId="0" priority="1"/>
  </conditionalFormatting>
  <pageMargins left="0.25" right="0.25" top="0.75" bottom="0.75" header="0.30000001192092896" footer="0.30000001192092896"/>
  <pageSetup paperSize="9" scale="33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tabSelected="1" view="pageBreakPreview" zoomScale="55" zoomScaleNormal="55" zoomScaleSheetLayoutView="5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11" sqref="G11"/>
    </sheetView>
  </sheetViews>
  <sheetFormatPr defaultColWidth="9" defaultRowHeight="16.5" x14ac:dyDescent="0.3"/>
  <cols>
    <col min="1" max="1" width="32.625" style="4" customWidth="1"/>
    <col min="2" max="2" width="16.25" style="4" customWidth="1"/>
    <col min="3" max="3" width="16.25" style="39" customWidth="1"/>
    <col min="4" max="4" width="17.5" style="4" customWidth="1"/>
    <col min="5" max="6" width="9.875" style="4" customWidth="1"/>
    <col min="7" max="7" width="16.625" style="4" customWidth="1"/>
    <col min="8" max="8" width="16.625" style="39" customWidth="1"/>
    <col min="9" max="9" width="16.625" style="4" customWidth="1"/>
    <col min="10" max="10" width="16.625" style="39" customWidth="1"/>
    <col min="11" max="11" width="16.625" style="4" customWidth="1"/>
    <col min="12" max="12" width="16.625" style="39" customWidth="1"/>
    <col min="13" max="13" width="16.625" style="4" customWidth="1"/>
    <col min="14" max="14" width="16.625" style="39" customWidth="1"/>
    <col min="15" max="15" width="16.625" style="4" customWidth="1"/>
    <col min="16" max="16" width="16.625" style="39" customWidth="1"/>
    <col min="17" max="17" width="16.625" style="4" customWidth="1"/>
    <col min="18" max="18" width="16.625" style="39" customWidth="1"/>
    <col min="19" max="16384" width="9" style="4"/>
  </cols>
  <sheetData>
    <row r="1" spans="1:18" ht="144" customHeight="1" x14ac:dyDescent="0.3">
      <c r="A1" s="22" t="s">
        <v>394</v>
      </c>
      <c r="B1" s="94" t="s">
        <v>231</v>
      </c>
      <c r="C1" s="93" t="s">
        <v>22</v>
      </c>
      <c r="D1" s="94" t="s">
        <v>23</v>
      </c>
      <c r="E1" s="100" t="s">
        <v>24</v>
      </c>
      <c r="F1" s="102"/>
      <c r="G1" s="97" t="s">
        <v>158</v>
      </c>
      <c r="H1" s="93" t="s">
        <v>60</v>
      </c>
      <c r="I1" s="94" t="s">
        <v>61</v>
      </c>
      <c r="J1" s="96" t="s">
        <v>416</v>
      </c>
      <c r="K1" s="97" t="s">
        <v>86</v>
      </c>
      <c r="L1" s="93" t="s">
        <v>27</v>
      </c>
      <c r="M1" s="94" t="s">
        <v>64</v>
      </c>
      <c r="N1" s="93" t="s">
        <v>28</v>
      </c>
      <c r="O1" s="94" t="s">
        <v>88</v>
      </c>
      <c r="P1" s="93" t="s">
        <v>243</v>
      </c>
      <c r="Q1" s="94" t="s">
        <v>247</v>
      </c>
      <c r="R1" s="93" t="s">
        <v>87</v>
      </c>
    </row>
    <row r="2" spans="1:18" ht="45" customHeight="1" x14ac:dyDescent="0.3">
      <c r="A2" s="25" t="s">
        <v>29</v>
      </c>
      <c r="B2" s="27"/>
      <c r="C2" s="26"/>
      <c r="D2" s="27"/>
      <c r="E2" s="95"/>
      <c r="F2" s="95"/>
      <c r="G2" s="27"/>
      <c r="H2" s="26"/>
      <c r="I2" s="27"/>
      <c r="J2" s="26"/>
      <c r="K2" s="27"/>
      <c r="L2" s="26"/>
      <c r="M2" s="27"/>
      <c r="N2" s="26"/>
      <c r="O2" s="27"/>
      <c r="P2" s="26"/>
      <c r="Q2" s="27"/>
      <c r="R2" s="26"/>
    </row>
    <row r="3" spans="1:18" ht="38.25" customHeight="1" x14ac:dyDescent="0.3">
      <c r="A3" s="31" t="s">
        <v>31</v>
      </c>
      <c r="B3" s="33" t="s">
        <v>32</v>
      </c>
      <c r="C3" s="32" t="s">
        <v>34</v>
      </c>
      <c r="D3" s="33" t="s">
        <v>33</v>
      </c>
      <c r="E3" s="32" t="s">
        <v>32</v>
      </c>
      <c r="F3" s="32" t="s">
        <v>33</v>
      </c>
      <c r="G3" s="33" t="s">
        <v>157</v>
      </c>
      <c r="H3" s="32" t="s">
        <v>35</v>
      </c>
      <c r="I3" s="33" t="s">
        <v>35</v>
      </c>
      <c r="J3" s="32" t="s">
        <v>417</v>
      </c>
      <c r="K3" s="33" t="s">
        <v>34</v>
      </c>
      <c r="L3" s="32" t="s">
        <v>34</v>
      </c>
      <c r="M3" s="33" t="s">
        <v>34</v>
      </c>
      <c r="N3" s="32" t="s">
        <v>34</v>
      </c>
      <c r="O3" s="33" t="s">
        <v>34</v>
      </c>
      <c r="P3" s="32" t="s">
        <v>62</v>
      </c>
      <c r="Q3" s="33" t="s">
        <v>246</v>
      </c>
      <c r="R3" s="32" t="s">
        <v>34</v>
      </c>
    </row>
    <row r="4" spans="1:18" ht="38.25" customHeight="1" x14ac:dyDescent="0.3">
      <c r="A4" s="34" t="s">
        <v>37</v>
      </c>
      <c r="B4" s="35">
        <f t="shared" ref="B4:R4" si="0">SUM(B5:B29)</f>
        <v>0</v>
      </c>
      <c r="C4" s="35">
        <f t="shared" si="0"/>
        <v>1</v>
      </c>
      <c r="D4" s="35">
        <f t="shared" si="0"/>
        <v>10</v>
      </c>
      <c r="E4" s="35">
        <f t="shared" si="0"/>
        <v>3</v>
      </c>
      <c r="F4" s="35">
        <f t="shared" si="0"/>
        <v>8</v>
      </c>
      <c r="G4" s="35">
        <f t="shared" si="0"/>
        <v>1</v>
      </c>
      <c r="H4" s="35">
        <f t="shared" si="0"/>
        <v>1</v>
      </c>
      <c r="I4" s="35">
        <f t="shared" si="0"/>
        <v>5</v>
      </c>
      <c r="J4" s="35">
        <f t="shared" si="0"/>
        <v>6</v>
      </c>
      <c r="K4" s="35">
        <f t="shared" si="0"/>
        <v>11</v>
      </c>
      <c r="L4" s="35">
        <f t="shared" si="0"/>
        <v>0</v>
      </c>
      <c r="M4" s="35">
        <f t="shared" si="0"/>
        <v>0</v>
      </c>
      <c r="N4" s="35">
        <f t="shared" si="0"/>
        <v>1</v>
      </c>
      <c r="O4" s="35">
        <f t="shared" si="0"/>
        <v>0</v>
      </c>
      <c r="P4" s="35">
        <f t="shared" si="0"/>
        <v>0</v>
      </c>
      <c r="Q4" s="35">
        <f t="shared" si="0"/>
        <v>0</v>
      </c>
      <c r="R4" s="35">
        <f t="shared" si="0"/>
        <v>1</v>
      </c>
    </row>
    <row r="5" spans="1:18" ht="27" customHeight="1" x14ac:dyDescent="0.5">
      <c r="A5" s="36" t="s">
        <v>395</v>
      </c>
      <c r="B5" s="30"/>
      <c r="C5" s="37"/>
      <c r="D5" s="30">
        <v>2</v>
      </c>
      <c r="E5" s="38"/>
      <c r="F5" s="38"/>
      <c r="G5" s="30"/>
      <c r="H5" s="37"/>
      <c r="I5" s="30"/>
      <c r="J5" s="37"/>
      <c r="K5" s="30"/>
      <c r="L5" s="37"/>
      <c r="M5" s="30"/>
      <c r="N5" s="37"/>
      <c r="O5" s="30"/>
      <c r="P5" s="37"/>
      <c r="Q5" s="30"/>
      <c r="R5" s="37"/>
    </row>
    <row r="6" spans="1:18" ht="27" customHeight="1" x14ac:dyDescent="0.5">
      <c r="A6" s="36" t="s">
        <v>397</v>
      </c>
      <c r="B6" s="30"/>
      <c r="C6" s="37"/>
      <c r="D6" s="30"/>
      <c r="E6" s="38"/>
      <c r="F6" s="38">
        <v>2</v>
      </c>
      <c r="G6" s="30"/>
      <c r="H6" s="37"/>
      <c r="I6" s="30"/>
      <c r="J6" s="37"/>
      <c r="K6" s="30"/>
      <c r="L6" s="37"/>
      <c r="M6" s="30"/>
      <c r="N6" s="37"/>
      <c r="O6" s="30"/>
      <c r="P6" s="37"/>
      <c r="Q6" s="30"/>
      <c r="R6" s="37"/>
    </row>
    <row r="7" spans="1:18" ht="27" customHeight="1" x14ac:dyDescent="0.5">
      <c r="A7" s="36" t="s">
        <v>398</v>
      </c>
      <c r="B7" s="30"/>
      <c r="C7" s="37"/>
      <c r="D7" s="30">
        <v>1</v>
      </c>
      <c r="E7" s="38"/>
      <c r="F7" s="38"/>
      <c r="G7" s="30"/>
      <c r="H7" s="37"/>
      <c r="I7" s="30"/>
      <c r="J7" s="37"/>
      <c r="K7" s="30"/>
      <c r="L7" s="37"/>
      <c r="M7" s="30"/>
      <c r="N7" s="37"/>
      <c r="O7" s="30"/>
      <c r="P7" s="37"/>
      <c r="Q7" s="30"/>
      <c r="R7" s="37"/>
    </row>
    <row r="8" spans="1:18" ht="27" customHeight="1" x14ac:dyDescent="0.5">
      <c r="A8" s="36" t="s">
        <v>399</v>
      </c>
      <c r="B8" s="30"/>
      <c r="C8" s="37"/>
      <c r="D8" s="30">
        <v>2</v>
      </c>
      <c r="E8" s="38"/>
      <c r="F8" s="38"/>
      <c r="G8" s="30"/>
      <c r="H8" s="37"/>
      <c r="I8" s="30"/>
      <c r="J8" s="37"/>
      <c r="K8" s="30"/>
      <c r="L8" s="37"/>
      <c r="M8" s="30"/>
      <c r="N8" s="37"/>
      <c r="O8" s="30"/>
      <c r="P8" s="37"/>
      <c r="Q8" s="30"/>
      <c r="R8" s="37"/>
    </row>
    <row r="9" spans="1:18" ht="27" customHeight="1" x14ac:dyDescent="0.5">
      <c r="A9" s="36" t="s">
        <v>400</v>
      </c>
      <c r="B9" s="30"/>
      <c r="C9" s="37"/>
      <c r="D9" s="30">
        <v>1</v>
      </c>
      <c r="E9" s="38"/>
      <c r="F9" s="38"/>
      <c r="G9" s="30"/>
      <c r="H9" s="37"/>
      <c r="I9" s="30"/>
      <c r="J9" s="37"/>
      <c r="K9" s="30"/>
      <c r="L9" s="37"/>
      <c r="M9" s="30"/>
      <c r="N9" s="37"/>
      <c r="O9" s="30"/>
      <c r="P9" s="37"/>
      <c r="Q9" s="30"/>
      <c r="R9" s="37"/>
    </row>
    <row r="10" spans="1:18" ht="27" customHeight="1" x14ac:dyDescent="0.5">
      <c r="A10" s="36" t="s">
        <v>401</v>
      </c>
      <c r="B10" s="30"/>
      <c r="C10" s="37"/>
      <c r="D10" s="30">
        <v>3</v>
      </c>
      <c r="E10" s="38"/>
      <c r="F10" s="38"/>
      <c r="G10" s="30"/>
      <c r="H10" s="37"/>
      <c r="I10" s="30"/>
      <c r="J10" s="37"/>
      <c r="K10" s="30"/>
      <c r="L10" s="37"/>
      <c r="M10" s="30"/>
      <c r="N10" s="37"/>
      <c r="O10" s="30"/>
      <c r="P10" s="37"/>
      <c r="Q10" s="30"/>
      <c r="R10" s="37"/>
    </row>
    <row r="11" spans="1:18" ht="27" customHeight="1" x14ac:dyDescent="0.5">
      <c r="A11" s="36" t="s">
        <v>402</v>
      </c>
      <c r="B11" s="30"/>
      <c r="C11" s="37"/>
      <c r="D11" s="30">
        <v>1</v>
      </c>
      <c r="E11" s="38"/>
      <c r="F11" s="38"/>
      <c r="G11" s="30"/>
      <c r="H11" s="37"/>
      <c r="I11" s="30"/>
      <c r="J11" s="37"/>
      <c r="K11" s="30"/>
      <c r="L11" s="37"/>
      <c r="M11" s="30"/>
      <c r="N11" s="37"/>
      <c r="O11" s="30"/>
      <c r="P11" s="37"/>
      <c r="Q11" s="30"/>
      <c r="R11" s="37"/>
    </row>
    <row r="12" spans="1:18" ht="27" customHeight="1" x14ac:dyDescent="0.5">
      <c r="A12" s="36" t="s">
        <v>403</v>
      </c>
      <c r="B12" s="30"/>
      <c r="C12" s="37"/>
      <c r="D12" s="30"/>
      <c r="E12" s="38"/>
      <c r="F12" s="38">
        <v>1</v>
      </c>
      <c r="G12" s="30"/>
      <c r="H12" s="37"/>
      <c r="I12" s="30"/>
      <c r="J12" s="37"/>
      <c r="K12" s="30"/>
      <c r="L12" s="37"/>
      <c r="M12" s="30"/>
      <c r="N12" s="37"/>
      <c r="O12" s="30"/>
      <c r="P12" s="37"/>
      <c r="Q12" s="30"/>
      <c r="R12" s="37"/>
    </row>
    <row r="13" spans="1:18" ht="27" customHeight="1" x14ac:dyDescent="0.5">
      <c r="A13" s="36" t="s">
        <v>404</v>
      </c>
      <c r="B13" s="30"/>
      <c r="C13" s="37"/>
      <c r="D13" s="30"/>
      <c r="E13" s="38"/>
      <c r="F13" s="38"/>
      <c r="G13" s="30"/>
      <c r="H13" s="37"/>
      <c r="I13" s="30"/>
      <c r="J13" s="37"/>
      <c r="K13" s="30">
        <v>10</v>
      </c>
      <c r="L13" s="37"/>
      <c r="M13" s="30"/>
      <c r="N13" s="37"/>
      <c r="O13" s="30"/>
      <c r="P13" s="37"/>
      <c r="Q13" s="30"/>
      <c r="R13" s="37"/>
    </row>
    <row r="14" spans="1:18" ht="27" customHeight="1" x14ac:dyDescent="0.5">
      <c r="A14" s="36" t="s">
        <v>405</v>
      </c>
      <c r="B14" s="30"/>
      <c r="C14" s="37"/>
      <c r="D14" s="30"/>
      <c r="E14" s="38">
        <v>1</v>
      </c>
      <c r="F14" s="38"/>
      <c r="G14" s="30"/>
      <c r="H14" s="37"/>
      <c r="I14" s="30"/>
      <c r="J14" s="37"/>
      <c r="K14" s="30">
        <v>1</v>
      </c>
      <c r="L14" s="37"/>
      <c r="M14" s="30"/>
      <c r="N14" s="37"/>
      <c r="O14" s="30"/>
      <c r="P14" s="37"/>
      <c r="Q14" s="30"/>
      <c r="R14" s="37"/>
    </row>
    <row r="15" spans="1:18" ht="27" customHeight="1" x14ac:dyDescent="0.5">
      <c r="A15" s="36" t="s">
        <v>406</v>
      </c>
      <c r="B15" s="30"/>
      <c r="C15" s="37"/>
      <c r="D15" s="30"/>
      <c r="E15" s="38"/>
      <c r="F15" s="38">
        <v>1</v>
      </c>
      <c r="G15" s="30"/>
      <c r="H15" s="37"/>
      <c r="I15" s="30"/>
      <c r="J15" s="37"/>
      <c r="K15" s="30"/>
      <c r="L15" s="37"/>
      <c r="M15" s="30"/>
      <c r="N15" s="37"/>
      <c r="O15" s="30"/>
      <c r="P15" s="37"/>
      <c r="Q15" s="30"/>
      <c r="R15" s="37"/>
    </row>
    <row r="16" spans="1:18" ht="27" customHeight="1" x14ac:dyDescent="0.5">
      <c r="A16" s="36" t="s">
        <v>407</v>
      </c>
      <c r="B16" s="30"/>
      <c r="C16" s="37"/>
      <c r="D16" s="30"/>
      <c r="E16" s="38"/>
      <c r="F16" s="38">
        <v>1</v>
      </c>
      <c r="G16" s="30"/>
      <c r="H16" s="37"/>
      <c r="I16" s="30"/>
      <c r="J16" s="37"/>
      <c r="K16" s="30"/>
      <c r="L16" s="37"/>
      <c r="M16" s="30"/>
      <c r="N16" s="37"/>
      <c r="O16" s="30"/>
      <c r="P16" s="37"/>
      <c r="Q16" s="30"/>
      <c r="R16" s="37"/>
    </row>
    <row r="17" spans="1:18" ht="27" customHeight="1" x14ac:dyDescent="0.5">
      <c r="A17" s="36" t="s">
        <v>408</v>
      </c>
      <c r="B17" s="30"/>
      <c r="C17" s="37"/>
      <c r="D17" s="30"/>
      <c r="E17" s="38"/>
      <c r="F17" s="38"/>
      <c r="G17" s="30"/>
      <c r="H17" s="37"/>
      <c r="I17" s="30">
        <v>3</v>
      </c>
      <c r="J17" s="37"/>
      <c r="K17" s="30"/>
      <c r="L17" s="37"/>
      <c r="M17" s="30"/>
      <c r="N17" s="37"/>
      <c r="O17" s="30"/>
      <c r="P17" s="37"/>
      <c r="Q17" s="30"/>
      <c r="R17" s="37"/>
    </row>
    <row r="18" spans="1:18" ht="27" customHeight="1" x14ac:dyDescent="0.5">
      <c r="A18" s="36" t="s">
        <v>409</v>
      </c>
      <c r="B18" s="30"/>
      <c r="C18" s="37"/>
      <c r="D18" s="30"/>
      <c r="E18" s="38">
        <v>1</v>
      </c>
      <c r="F18" s="38"/>
      <c r="G18" s="30"/>
      <c r="H18" s="37"/>
      <c r="I18" s="30"/>
      <c r="J18" s="37"/>
      <c r="K18" s="30"/>
      <c r="L18" s="37"/>
      <c r="M18" s="30"/>
      <c r="N18" s="37"/>
      <c r="O18" s="30"/>
      <c r="P18" s="37"/>
      <c r="Q18" s="30"/>
      <c r="R18" s="37"/>
    </row>
    <row r="19" spans="1:18" ht="27" customHeight="1" x14ac:dyDescent="0.5">
      <c r="A19" s="36" t="s">
        <v>410</v>
      </c>
      <c r="B19" s="30"/>
      <c r="C19" s="37"/>
      <c r="D19" s="30"/>
      <c r="E19" s="38"/>
      <c r="F19" s="38">
        <v>1</v>
      </c>
      <c r="G19" s="30"/>
      <c r="H19" s="37">
        <v>1</v>
      </c>
      <c r="I19" s="30"/>
      <c r="J19" s="37">
        <v>1</v>
      </c>
      <c r="K19" s="30"/>
      <c r="L19" s="37"/>
      <c r="M19" s="30"/>
      <c r="N19" s="37"/>
      <c r="O19" s="30"/>
      <c r="P19" s="37"/>
      <c r="Q19" s="30"/>
      <c r="R19" s="37"/>
    </row>
    <row r="20" spans="1:18" ht="27" customHeight="1" x14ac:dyDescent="0.5">
      <c r="A20" s="36" t="s">
        <v>411</v>
      </c>
      <c r="B20" s="30"/>
      <c r="C20" s="37"/>
      <c r="D20" s="30"/>
      <c r="E20" s="38"/>
      <c r="F20" s="38"/>
      <c r="G20" s="30">
        <v>1</v>
      </c>
      <c r="H20" s="37"/>
      <c r="I20" s="30"/>
      <c r="J20" s="37"/>
      <c r="K20" s="30"/>
      <c r="L20" s="37"/>
      <c r="M20" s="30"/>
      <c r="N20" s="37"/>
      <c r="O20" s="30"/>
      <c r="P20" s="37"/>
      <c r="Q20" s="30"/>
      <c r="R20" s="37"/>
    </row>
    <row r="21" spans="1:18" ht="27" customHeight="1" x14ac:dyDescent="0.5">
      <c r="A21" s="36" t="s">
        <v>412</v>
      </c>
      <c r="B21" s="30"/>
      <c r="C21" s="37">
        <v>1</v>
      </c>
      <c r="D21" s="30"/>
      <c r="E21" s="38">
        <v>1</v>
      </c>
      <c r="F21" s="38"/>
      <c r="G21" s="30"/>
      <c r="H21" s="37"/>
      <c r="I21" s="30"/>
      <c r="J21" s="37"/>
      <c r="K21" s="30"/>
      <c r="L21" s="37"/>
      <c r="M21" s="30"/>
      <c r="N21" s="37"/>
      <c r="O21" s="30"/>
      <c r="P21" s="37"/>
      <c r="Q21" s="30"/>
      <c r="R21" s="37"/>
    </row>
    <row r="22" spans="1:18" ht="27" customHeight="1" x14ac:dyDescent="0.5">
      <c r="A22" s="36" t="s">
        <v>413</v>
      </c>
      <c r="B22" s="30"/>
      <c r="C22" s="37"/>
      <c r="D22" s="30"/>
      <c r="E22" s="38"/>
      <c r="F22" s="38">
        <v>1</v>
      </c>
      <c r="G22" s="30"/>
      <c r="H22" s="37"/>
      <c r="I22" s="30"/>
      <c r="J22" s="37"/>
      <c r="K22" s="30"/>
      <c r="L22" s="37"/>
      <c r="M22" s="30"/>
      <c r="N22" s="37"/>
      <c r="O22" s="30"/>
      <c r="P22" s="37"/>
      <c r="Q22" s="30"/>
      <c r="R22" s="37"/>
    </row>
    <row r="23" spans="1:18" ht="27" customHeight="1" x14ac:dyDescent="0.5">
      <c r="A23" s="36" t="s">
        <v>414</v>
      </c>
      <c r="B23" s="30"/>
      <c r="C23" s="37"/>
      <c r="D23" s="30"/>
      <c r="E23" s="38"/>
      <c r="F23" s="38"/>
      <c r="G23" s="30"/>
      <c r="H23" s="37"/>
      <c r="I23" s="30">
        <v>2</v>
      </c>
      <c r="J23" s="37"/>
      <c r="K23" s="30"/>
      <c r="L23" s="37"/>
      <c r="M23" s="30"/>
      <c r="N23" s="37">
        <v>1</v>
      </c>
      <c r="O23" s="30"/>
      <c r="P23" s="37"/>
      <c r="Q23" s="30"/>
      <c r="R23" s="37"/>
    </row>
    <row r="24" spans="1:18" ht="27" customHeight="1" x14ac:dyDescent="0.5">
      <c r="A24" s="36" t="s">
        <v>415</v>
      </c>
      <c r="B24" s="30"/>
      <c r="C24" s="37"/>
      <c r="D24" s="30"/>
      <c r="E24" s="38"/>
      <c r="F24" s="38">
        <v>1</v>
      </c>
      <c r="G24" s="30"/>
      <c r="H24" s="37"/>
      <c r="I24" s="30"/>
      <c r="J24" s="37">
        <v>5</v>
      </c>
      <c r="K24" s="30"/>
      <c r="L24" s="37"/>
      <c r="M24" s="30"/>
      <c r="N24" s="37"/>
      <c r="O24" s="30"/>
      <c r="P24" s="37"/>
      <c r="Q24" s="30"/>
      <c r="R24" s="37">
        <v>1</v>
      </c>
    </row>
    <row r="25" spans="1:18" ht="27" customHeight="1" x14ac:dyDescent="0.5">
      <c r="A25" s="36"/>
      <c r="B25" s="30"/>
      <c r="C25" s="37"/>
      <c r="D25" s="30"/>
      <c r="E25" s="38"/>
      <c r="F25" s="38"/>
      <c r="G25" s="30"/>
      <c r="H25" s="37"/>
      <c r="I25" s="30"/>
      <c r="J25" s="37"/>
      <c r="K25" s="30"/>
      <c r="L25" s="37"/>
      <c r="M25" s="30"/>
      <c r="N25" s="37"/>
      <c r="O25" s="30"/>
      <c r="P25" s="37"/>
      <c r="Q25" s="30"/>
      <c r="R25" s="37"/>
    </row>
    <row r="26" spans="1:18" ht="27" customHeight="1" x14ac:dyDescent="0.5">
      <c r="A26" s="36"/>
      <c r="B26" s="30"/>
      <c r="C26" s="37"/>
      <c r="D26" s="30"/>
      <c r="E26" s="38"/>
      <c r="F26" s="38"/>
      <c r="G26" s="30"/>
      <c r="H26" s="37"/>
      <c r="I26" s="30"/>
      <c r="J26" s="37"/>
      <c r="K26" s="30"/>
      <c r="L26" s="37"/>
      <c r="M26" s="30"/>
      <c r="N26" s="37"/>
      <c r="O26" s="30"/>
      <c r="P26" s="37"/>
      <c r="Q26" s="30"/>
      <c r="R26" s="37"/>
    </row>
    <row r="27" spans="1:18" ht="27" customHeight="1" x14ac:dyDescent="0.5">
      <c r="A27" s="36"/>
      <c r="B27" s="30"/>
      <c r="C27" s="37"/>
      <c r="D27" s="30"/>
      <c r="E27" s="38"/>
      <c r="F27" s="38"/>
      <c r="G27" s="30"/>
      <c r="H27" s="37"/>
      <c r="I27" s="30"/>
      <c r="J27" s="37"/>
      <c r="K27" s="30"/>
      <c r="L27" s="37"/>
      <c r="M27" s="30"/>
      <c r="N27" s="37"/>
      <c r="O27" s="30"/>
      <c r="P27" s="37"/>
      <c r="Q27" s="30"/>
      <c r="R27" s="37"/>
    </row>
    <row r="28" spans="1:18" ht="27" customHeight="1" x14ac:dyDescent="0.5">
      <c r="A28" s="36"/>
      <c r="B28" s="30"/>
      <c r="C28" s="37"/>
      <c r="D28" s="30"/>
      <c r="E28" s="38"/>
      <c r="F28" s="38"/>
      <c r="G28" s="30"/>
      <c r="H28" s="37"/>
      <c r="I28" s="30"/>
      <c r="J28" s="37"/>
      <c r="K28" s="30"/>
      <c r="L28" s="37"/>
      <c r="M28" s="30"/>
      <c r="N28" s="37"/>
      <c r="O28" s="30"/>
      <c r="P28" s="37"/>
      <c r="Q28" s="30"/>
      <c r="R28" s="37"/>
    </row>
    <row r="29" spans="1:18" ht="27" customHeight="1" x14ac:dyDescent="0.5">
      <c r="A29" s="36"/>
      <c r="B29" s="30"/>
      <c r="C29" s="37"/>
      <c r="D29" s="30"/>
      <c r="E29" s="38"/>
      <c r="F29" s="38"/>
      <c r="G29" s="30"/>
      <c r="H29" s="37"/>
      <c r="I29" s="30"/>
      <c r="J29" s="37"/>
      <c r="K29" s="30"/>
      <c r="L29" s="37"/>
      <c r="M29" s="30"/>
      <c r="N29" s="37"/>
      <c r="O29" s="30"/>
      <c r="P29" s="37"/>
      <c r="Q29" s="30"/>
      <c r="R29" s="37"/>
    </row>
  </sheetData>
  <mergeCells count="1">
    <mergeCell ref="E1:F1"/>
  </mergeCells>
  <phoneticPr fontId="3" type="noConversion"/>
  <pageMargins left="0.25" right="0.25" top="0.75" bottom="0.75" header="0.3" footer="0.3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20</vt:i4>
      </vt:variant>
      <vt:variant>
        <vt:lpstr>이름이 지정된 범위</vt:lpstr>
      </vt:variant>
      <vt:variant>
        <vt:i4>40</vt:i4>
      </vt:variant>
    </vt:vector>
  </HeadingPairs>
  <TitlesOfParts>
    <vt:vector size="60" baseType="lpstr">
      <vt:lpstr>공장출고지서26.08.03(이마트)</vt:lpstr>
      <vt:lpstr>8.3</vt:lpstr>
      <vt:lpstr>8.4</vt:lpstr>
      <vt:lpstr>공장출고지서26.08.05(이마트)</vt:lpstr>
      <vt:lpstr>8.5</vt:lpstr>
      <vt:lpstr>8.6</vt:lpstr>
      <vt:lpstr>공장출고지서26.08.07(이마트)</vt:lpstr>
      <vt:lpstr>8.7</vt:lpstr>
      <vt:lpstr>삼일농산8.19</vt:lpstr>
      <vt:lpstr>공장출고지서26.08.10(이마트)</vt:lpstr>
      <vt:lpstr>8.10</vt:lpstr>
      <vt:lpstr>8.11</vt:lpstr>
      <vt:lpstr>공장출고지서26.08.12(이마트)</vt:lpstr>
      <vt:lpstr>8.12</vt:lpstr>
      <vt:lpstr>8.14</vt:lpstr>
      <vt:lpstr>공장출고지서26.08.14(이마트)</vt:lpstr>
      <vt:lpstr>공장출고지서26.08.17(이마트)</vt:lpstr>
      <vt:lpstr>8.18</vt:lpstr>
      <vt:lpstr>공장출고지서26.08.19(이마트)</vt:lpstr>
      <vt:lpstr>8.19</vt:lpstr>
      <vt:lpstr>'8.10'!Print_Area</vt:lpstr>
      <vt:lpstr>'8.11'!Print_Area</vt:lpstr>
      <vt:lpstr>'8.12'!Print_Area</vt:lpstr>
      <vt:lpstr>'8.14'!Print_Area</vt:lpstr>
      <vt:lpstr>'8.18'!Print_Area</vt:lpstr>
      <vt:lpstr>'8.19'!Print_Area</vt:lpstr>
      <vt:lpstr>'8.3'!Print_Area</vt:lpstr>
      <vt:lpstr>'8.4'!Print_Area</vt:lpstr>
      <vt:lpstr>'8.5'!Print_Area</vt:lpstr>
      <vt:lpstr>'8.6'!Print_Area</vt:lpstr>
      <vt:lpstr>'8.7'!Print_Area</vt:lpstr>
      <vt:lpstr>'공장출고지서26.08.03(이마트)'!Print_Area</vt:lpstr>
      <vt:lpstr>'공장출고지서26.08.05(이마트)'!Print_Area</vt:lpstr>
      <vt:lpstr>'공장출고지서26.08.07(이마트)'!Print_Area</vt:lpstr>
      <vt:lpstr>'공장출고지서26.08.10(이마트)'!Print_Area</vt:lpstr>
      <vt:lpstr>'공장출고지서26.08.12(이마트)'!Print_Area</vt:lpstr>
      <vt:lpstr>'공장출고지서26.08.14(이마트)'!Print_Area</vt:lpstr>
      <vt:lpstr>'공장출고지서26.08.17(이마트)'!Print_Area</vt:lpstr>
      <vt:lpstr>'공장출고지서26.08.19(이마트)'!Print_Area</vt:lpstr>
      <vt:lpstr>삼일농산8.19!Print_Area</vt:lpstr>
      <vt:lpstr>'8.10'!Print_Titles</vt:lpstr>
      <vt:lpstr>'8.11'!Print_Titles</vt:lpstr>
      <vt:lpstr>'8.12'!Print_Titles</vt:lpstr>
      <vt:lpstr>'8.14'!Print_Titles</vt:lpstr>
      <vt:lpstr>'8.18'!Print_Titles</vt:lpstr>
      <vt:lpstr>'8.19'!Print_Titles</vt:lpstr>
      <vt:lpstr>'8.3'!Print_Titles</vt:lpstr>
      <vt:lpstr>'8.4'!Print_Titles</vt:lpstr>
      <vt:lpstr>'8.5'!Print_Titles</vt:lpstr>
      <vt:lpstr>'8.6'!Print_Titles</vt:lpstr>
      <vt:lpstr>'8.7'!Print_Titles</vt:lpstr>
      <vt:lpstr>'공장출고지서26.08.03(이마트)'!Print_Titles</vt:lpstr>
      <vt:lpstr>'공장출고지서26.08.05(이마트)'!Print_Titles</vt:lpstr>
      <vt:lpstr>'공장출고지서26.08.07(이마트)'!Print_Titles</vt:lpstr>
      <vt:lpstr>'공장출고지서26.08.10(이마트)'!Print_Titles</vt:lpstr>
      <vt:lpstr>'공장출고지서26.08.12(이마트)'!Print_Titles</vt:lpstr>
      <vt:lpstr>'공장출고지서26.08.14(이마트)'!Print_Titles</vt:lpstr>
      <vt:lpstr>'공장출고지서26.08.17(이마트)'!Print_Titles</vt:lpstr>
      <vt:lpstr>'공장출고지서26.08.19(이마트)'!Print_Titles</vt:lpstr>
      <vt:lpstr>삼일농산8.19!Print_Titles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2026-08-18T07:25:00Z</cp:lastPrinted>
  <dcterms:created xsi:type="dcterms:W3CDTF">2026-08-02T23:52:24Z</dcterms:created>
  <dcterms:modified xsi:type="dcterms:W3CDTF">2026-08-19T01:42:35Z</dcterms:modified>
</cp:coreProperties>
</file>